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Master_Deals" sheetId="2" state="visible" r:id="rId2"/>
    <sheet name="Israel M&amp;A NOT" sheetId="3" state="visible" r:id="rId3"/>
    <sheet name="Israel M&amp;A Deal Amounts" sheetId="4" state="visible" r:id="rId4"/>
    <sheet name="Israel" sheetId="5" state="visible" r:id="rId5"/>
    <sheet name="USA" sheetId="6" state="visible" r:id="rId6"/>
    <sheet name="Europe" sheetId="7" state="visible" r:id="rId7"/>
    <sheet name="Definitions" sheetId="8" state="visible" r:id="rId8"/>
    <sheet name="Europe_Pending" sheetId="9" state="visible" r:id="rId9"/>
    <sheet name="Europe_Audit_Log" sheetId="10" state="visible" r:id="rId10"/>
    <sheet name="Sources_Audit" sheetId="11" state="visible" r:id="rId11"/>
    <sheet name="Checks" sheetId="12" state="visible" r:id="rId12"/>
  </sheets>
  <definedNames/>
</workbook>
</file>

<file path=xl/styles.xml><?xml version="1.0" encoding="utf-8"?>
<styleSheet xmlns="http://schemas.openxmlformats.org/spreadsheetml/2006/main">
  <numFmts count="8">
    <numFmt numFmtId="164" formatCode="yyyy\-mm\-dd"/>
    <numFmt numFmtId="165" formatCode="#,##0.00;\(#,##0.00\);\-"/>
    <numFmt numFmtId="166" formatCode="#,##0;\(#,##0\);\-"/>
    <numFmt numFmtId="167" formatCode="\$#,##0.0;&quot;($&quot;#,##0.0\);\-"/>
    <numFmt numFmtId="168" formatCode="0.00\x"/>
    <numFmt numFmtId="169" formatCode="yyyy-mm-dd"/>
    <numFmt numFmtId="170" formatCode="#,##0.0;[Red](#,##0.0);-"/>
    <numFmt numFmtId="171" formatCode="$#,##0.0;[Red]($#,##0.0);-"/>
  </numFmts>
  <fonts count="26">
    <font>
      <name val="Calibri"/>
      <color theme="1"/>
      <sz val="11"/>
    </font>
    <font>
      <name val="Calibri"/>
      <b val="1"/>
      <color rgb="FFFFFFFF"/>
      <sz val="18"/>
    </font>
    <font>
      <name val="Calibri"/>
      <i val="1"/>
      <color rgb="FF111827"/>
      <sz val="11"/>
    </font>
    <font>
      <name val="Calibri"/>
      <b val="1"/>
      <color rgb="FF1F3864"/>
      <sz val="22"/>
    </font>
    <font>
      <name val="Calibri"/>
      <b val="1"/>
      <color rgb="FFFFFFFF"/>
      <sz val="11"/>
    </font>
    <font>
      <name val="Calibri"/>
      <sz val="11"/>
    </font>
    <font>
      <name val="Calibri"/>
      <i val="1"/>
      <color rgb="FF595959"/>
      <sz val="12"/>
    </font>
    <font>
      <name val="Calibri"/>
      <b val="1"/>
      <color rgb="FF305496"/>
      <sz val="13"/>
    </font>
    <font>
      <name val="Calibri"/>
      <b val="1"/>
      <color rgb="FF4472C4"/>
      <sz val="11"/>
    </font>
    <font>
      <name val="Calibri"/>
      <color rgb="FF262626"/>
      <sz val="11"/>
    </font>
    <font>
      <name val="Calibri"/>
      <color rgb="FF262626"/>
      <sz val="10"/>
    </font>
    <font>
      <name val="Calibri"/>
      <b val="1"/>
      <color rgb="FF262626"/>
      <sz val="10"/>
    </font>
    <font>
      <name val="Calibri"/>
      <b val="1"/>
      <sz val="11"/>
    </font>
    <font>
      <name val="Calibri"/>
      <color theme="10"/>
      <sz val="11"/>
    </font>
    <font>
      <name val="-webkit-standard"/>
      <color rgb="FF000000"/>
      <sz val="14"/>
    </font>
    <font>
      <name val="Calibri"/>
      <b val="1"/>
      <color rgb="FFFFFFFF"/>
      <sz val="10"/>
    </font>
    <font>
      <name val="Calibri"/>
      <color rgb="FF000000"/>
      <sz val="9"/>
    </font>
    <font>
      <name val="Calibri"/>
      <i val="1"/>
      <color rgb="FF203864"/>
      <sz val="11"/>
    </font>
    <font>
      <name val="Calibri"/>
      <b val="1"/>
      <color rgb="FF203864"/>
      <sz val="11"/>
    </font>
    <font>
      <name val="Calibri"/>
      <b val="1"/>
      <color rgb="FF203864"/>
      <sz val="14"/>
    </font>
    <font>
      <name val="Aptos"/>
      <b val="1"/>
      <color rgb="FFFFFFFF"/>
      <sz val="18"/>
    </font>
    <font>
      <name val="Aptos"/>
      <i val="1"/>
      <color rgb="FF203864"/>
      <sz val="11"/>
    </font>
    <font>
      <name val="Aptos"/>
      <color theme="1"/>
      <sz val="11"/>
    </font>
    <font>
      <name val="Aptos"/>
      <b val="1"/>
      <color rgb="FF203864"/>
      <sz val="11"/>
    </font>
    <font>
      <name val="Aptos"/>
      <b val="1"/>
      <color rgb="FF203864"/>
      <sz val="14"/>
    </font>
    <font>
      <name val="Aptos"/>
      <b val="1"/>
      <color rgb="FFFFFFFF"/>
      <sz val="11"/>
    </font>
  </fonts>
  <fills count="16">
    <fill>
      <patternFill/>
    </fill>
    <fill>
      <patternFill patternType="gray125"/>
    </fill>
    <fill>
      <patternFill patternType="solid">
        <fgColor rgb="FF1F3864"/>
      </patternFill>
    </fill>
    <fill>
      <patternFill patternType="solid">
        <fgColor rgb="FFF2F4F8"/>
      </patternFill>
    </fill>
    <fill>
      <patternFill patternType="solid">
        <fgColor rgb="FFFFFFFF"/>
      </patternFill>
    </fill>
    <fill>
      <patternFill patternType="solid">
        <fgColor rgb="FF4472C4"/>
      </patternFill>
    </fill>
    <fill>
      <patternFill patternType="solid">
        <fgColor rgb="FF305496"/>
      </patternFill>
    </fill>
    <fill>
      <patternFill patternType="solid">
        <fgColor rgb="FFFFFFFF"/>
      </patternFill>
    </fill>
    <fill>
      <patternFill patternType="solid">
        <fgColor rgb="FFF2F4F8"/>
      </patternFill>
    </fill>
    <fill>
      <patternFill patternType="solid">
        <fgColor rgb="FF1F3864"/>
      </patternFill>
    </fill>
    <fill>
      <patternFill patternType="solid">
        <fgColor rgb="FFFFFF00"/>
      </patternFill>
    </fill>
    <fill>
      <patternFill patternType="solid">
        <fgColor rgb="FFF2F4F8"/>
      </patternFill>
    </fill>
    <fill>
      <patternFill patternType="solid">
        <fgColor rgb="FFFFFFFF"/>
      </patternFill>
    </fill>
    <fill>
      <patternFill patternType="solid">
        <fgColor rgb="FF203864"/>
      </patternFill>
    </fill>
    <fill>
      <patternFill patternType="solid">
        <fgColor rgb="FFD9E2F3"/>
      </patternFill>
    </fill>
    <fill>
      <patternFill patternType="solid">
        <fgColor rgb="FFFFFFFF"/>
      </patternFill>
    </fill>
  </fills>
  <borders count="26">
    <border/>
    <border>
      <left style="thin">
        <color rgb="FFBFBFBF"/>
      </left>
      <right style="thin">
        <color rgb="FFBFBFBF"/>
      </righ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ck">
        <color rgb="FF000000"/>
      </bottom>
    </border>
    <border>
      <top style="thin">
        <color rgb="FFBFBFBF"/>
      </top>
      <bottom style="thick">
        <color rgb="FF000000"/>
      </bottom>
    </border>
    <border>
      <bottom style="thick">
        <color rgb="FF000000"/>
      </bottom>
    </border>
    <border>
      <left style="thin">
        <color rgb="FFBFBFBF"/>
      </left>
      <right style="thin">
        <color rgb="FFBFBFBF"/>
      </right>
      <bottom style="thin">
        <color rgb="FFBFBFBF"/>
      </bottom>
    </border>
    <border>
      <bottom style="thin">
        <color rgb="FFBFBFBF"/>
      </bottom>
    </border>
    <border/>
    <border>
      <left style="thin">
        <color rgb="FFBFBFBF"/>
      </left>
      <right style="thin">
        <color rgb="FFBFBFBF"/>
      </righ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ck">
        <color rgb="FF000000"/>
      </bottom>
    </border>
    <border>
      <top style="thin">
        <color rgb="FFBFBFBF"/>
      </top>
      <bottom style="thick">
        <color rgb="FF000000"/>
      </bottom>
    </border>
    <border>
      <bottom style="thick">
        <color rgb="FF000000"/>
      </bottom>
    </border>
    <border>
      <left style="thin">
        <color rgb="FFBFBFBF"/>
      </left>
      <right style="thin">
        <color rgb="FFBFBFBF"/>
      </right>
      <bottom style="thin">
        <color rgb="FFBFBFBF"/>
      </bottom>
    </border>
    <border>
      <bottom style="thin">
        <color rgb="FFBFBFBF"/>
      </bottom>
    </border>
    <border>
      <left style="thin">
        <color rgb="FFBFBFBF"/>
      </left>
      <right style="thin">
        <color rgb="FFBFBFBF"/>
      </right>
      <top style="thin">
        <color rgb="FFBFBFBF"/>
      </top>
    </border>
    <border>
      <left style="thin">
        <color rgb="FFBFBFBF"/>
      </left>
      <right style="thin">
        <color rgb="FFBFBFBF"/>
      </right>
      <top style="thin">
        <color rgb="FFBFBFBF"/>
      </top>
    </border>
    <border>
      <left style="thin">
        <color rgb="FFA6A6A6"/>
      </left>
      <right style="thin">
        <color rgb="FFA6A6A6"/>
      </right>
      <top style="thin">
        <color rgb="FFA6A6A6"/>
      </top>
      <bottom style="thin">
        <color rgb="FFA6A6A6"/>
      </bottom>
    </border>
    <border>
      <left style="thin">
        <color rgb="FFD9D9D9"/>
      </left>
      <right style="thin">
        <color rgb="FFD9D9D9"/>
      </right>
      <top style="thin">
        <color rgb="FFD9D9D9"/>
      </top>
      <bottom style="thin">
        <color rgb="FFD9D9D9"/>
      </bottom>
    </border>
    <border>
      <top style="thin">
        <color rgb="FFD9D9D9"/>
      </top>
    </border>
    <border>
      <right style="thin">
        <color rgb="FFD9D9D9"/>
      </right>
      <top style="thin">
        <color rgb="FFD9D9D9"/>
      </top>
    </border>
    <border>
      <top style="thin">
        <color rgb="FFD9D9D9"/>
      </top>
      <bottom style="thin">
        <color rgb="FFD9D9D9"/>
      </bottom>
    </border>
    <border>
      <right style="thin">
        <color rgb="FFD9D9D9"/>
      </right>
      <top style="thin">
        <color rgb="FFD9D9D9"/>
      </top>
      <bottom style="thin">
        <color rgb="FFD9D9D9"/>
      </bottom>
    </border>
  </borders>
  <cellStyleXfs count="2">
    <xf numFmtId="0" fontId="0" fillId="0" borderId="9"/>
    <xf numFmtId="0" fontId="13" fillId="0" borderId="9"/>
  </cellStyleXfs>
  <cellXfs count="40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left" vertical="center"/>
    </xf>
    <xf numFmtId="0" fontId="4" fillId="0" borderId="0" applyAlignment="1" pivotButton="0" quotePrefix="0" xfId="0">
      <alignment horizontal="center"/>
    </xf>
    <xf numFmtId="0" fontId="5" fillId="0" borderId="0" applyAlignment="1" pivotButton="0" quotePrefix="0" xfId="0">
      <alignment wrapText="1"/>
    </xf>
    <xf numFmtId="0" fontId="6" fillId="0" borderId="0" applyAlignment="1" pivotButton="0" quotePrefix="0" xfId="0">
      <alignment wrapText="1"/>
    </xf>
    <xf numFmtId="0" fontId="7" fillId="0" borderId="0" applyAlignment="1" pivotButton="0" quotePrefix="0" xfId="0">
      <alignment wrapText="1"/>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4" fillId="2" borderId="1" applyAlignment="1" pivotButton="0" quotePrefix="0" xfId="0">
      <alignment horizontal="center" vertical="center" wrapText="1"/>
    </xf>
    <xf numFmtId="0" fontId="4" fillId="0" borderId="0" applyAlignment="1" pivotButton="0" quotePrefix="0" xfId="0">
      <alignment horizontal="center" vertical="center" wrapText="1"/>
    </xf>
    <xf numFmtId="0" fontId="10" fillId="3" borderId="1" applyAlignment="1" pivotButton="0" quotePrefix="0" xfId="0">
      <alignment horizontal="center" vertical="center" wrapText="1"/>
    </xf>
    <xf numFmtId="0" fontId="10" fillId="3" borderId="1" applyAlignment="1" pivotButton="0" quotePrefix="0" xfId="0">
      <alignment horizontal="left" vertical="top" wrapText="1"/>
    </xf>
    <xf numFmtId="164" fontId="10" fillId="3" borderId="1" applyAlignment="1" pivotButton="0" quotePrefix="0" xfId="0">
      <alignment horizontal="center" vertical="center"/>
    </xf>
    <xf numFmtId="1" fontId="10" fillId="3" borderId="1" applyAlignment="1" pivotButton="0" quotePrefix="0" xfId="0">
      <alignment horizontal="right" vertical="center"/>
    </xf>
    <xf numFmtId="165" fontId="10" fillId="3" borderId="1" applyAlignment="1" pivotButton="0" quotePrefix="0" xfId="0">
      <alignment horizontal="right" vertical="center"/>
    </xf>
    <xf numFmtId="0" fontId="10" fillId="0" borderId="0" applyAlignment="1" pivotButton="0" quotePrefix="0" xfId="0">
      <alignment horizontal="left" vertical="top" wrapText="1"/>
    </xf>
    <xf numFmtId="0" fontId="10" fillId="4" borderId="1" applyAlignment="1" pivotButton="0" quotePrefix="0" xfId="0">
      <alignment horizontal="center" vertical="center" wrapText="1"/>
    </xf>
    <xf numFmtId="0" fontId="10" fillId="4" borderId="1" applyAlignment="1" pivotButton="0" quotePrefix="0" xfId="0">
      <alignment horizontal="left" vertical="top" wrapText="1"/>
    </xf>
    <xf numFmtId="164" fontId="10" fillId="4" borderId="1" applyAlignment="1" pivotButton="0" quotePrefix="0" xfId="0">
      <alignment horizontal="center" vertical="center"/>
    </xf>
    <xf numFmtId="1" fontId="10" fillId="4" borderId="1" applyAlignment="1" pivotButton="0" quotePrefix="0" xfId="0">
      <alignment horizontal="right" vertical="center"/>
    </xf>
    <xf numFmtId="165" fontId="10" fillId="4" borderId="1" applyAlignment="1" pivotButton="0" quotePrefix="0" xfId="0">
      <alignment horizontal="right" vertical="center"/>
    </xf>
    <xf numFmtId="0" fontId="4" fillId="5" borderId="1" applyAlignment="1" pivotButton="0" quotePrefix="0" xfId="0">
      <alignment horizontal="center" vertical="center" wrapText="1"/>
    </xf>
    <xf numFmtId="1" fontId="11" fillId="4" borderId="1" applyAlignment="1" pivotButton="0" quotePrefix="0" xfId="0">
      <alignment horizontal="left" vertical="center"/>
    </xf>
    <xf numFmtId="166" fontId="10" fillId="4" borderId="1" applyAlignment="1" pivotButton="0" quotePrefix="0" xfId="0">
      <alignment horizontal="right" vertical="center"/>
    </xf>
    <xf numFmtId="0" fontId="10" fillId="4" borderId="1" applyAlignment="1" pivotButton="0" quotePrefix="0" xfId="0">
      <alignment horizontal="right" vertical="center"/>
    </xf>
    <xf numFmtId="1" fontId="11" fillId="3" borderId="1" applyAlignment="1" pivotButton="0" quotePrefix="0" xfId="0">
      <alignment horizontal="left" vertical="center"/>
    </xf>
    <xf numFmtId="166" fontId="10" fillId="3" borderId="1" applyAlignment="1" pivotButton="0" quotePrefix="0" xfId="0">
      <alignment horizontal="right" vertical="center"/>
    </xf>
    <xf numFmtId="0" fontId="10" fillId="3" borderId="1" applyAlignment="1" pivotButton="0" quotePrefix="0" xfId="0">
      <alignment horizontal="right" vertical="center"/>
    </xf>
    <xf numFmtId="0" fontId="4" fillId="6" borderId="1" applyAlignment="1" pivotButton="0" quotePrefix="0" xfId="0">
      <alignment horizontal="left" vertical="center"/>
    </xf>
    <xf numFmtId="166" fontId="4" fillId="6" borderId="1" applyAlignment="1" pivotButton="0" quotePrefix="0" xfId="0">
      <alignment horizontal="right" vertical="center"/>
    </xf>
    <xf numFmtId="167" fontId="10" fillId="4" borderId="1" applyAlignment="1" pivotButton="0" quotePrefix="0" xfId="0">
      <alignment horizontal="right" vertical="center"/>
    </xf>
    <xf numFmtId="167" fontId="10" fillId="3" borderId="1" applyAlignment="1" pivotButton="0" quotePrefix="0" xfId="0">
      <alignment horizontal="right" vertical="center"/>
    </xf>
    <xf numFmtId="167" fontId="4" fillId="6" borderId="1" applyAlignment="1" pivotButton="0" quotePrefix="0" xfId="0">
      <alignment horizontal="right" vertical="center"/>
    </xf>
    <xf numFmtId="0" fontId="4" fillId="6" borderId="1" applyAlignment="1" pivotButton="0" quotePrefix="0" xfId="0">
      <alignment horizontal="right" vertical="center"/>
    </xf>
    <xf numFmtId="168" fontId="10" fillId="3" borderId="1" applyAlignment="1" pivotButton="0" quotePrefix="0" xfId="0">
      <alignment horizontal="right" vertical="center"/>
    </xf>
    <xf numFmtId="168" fontId="10" fillId="4" borderId="1" applyAlignment="1" pivotButton="0" quotePrefix="0" xfId="0">
      <alignment horizontal="right" vertical="center"/>
    </xf>
    <xf numFmtId="0" fontId="11" fillId="3"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wrapText="1"/>
    </xf>
    <xf numFmtId="164" fontId="10" fillId="3" borderId="1" applyAlignment="1" pivotButton="0" quotePrefix="0" xfId="0">
      <alignment horizontal="center" vertical="center" wrapText="1"/>
    </xf>
    <xf numFmtId="1" fontId="10" fillId="3" borderId="1" applyAlignment="1" pivotButton="0" quotePrefix="0" xfId="0">
      <alignment horizontal="right" vertical="center" wrapText="1"/>
    </xf>
    <xf numFmtId="165" fontId="10" fillId="3" borderId="1" applyAlignment="1" pivotButton="0" quotePrefix="0" xfId="0">
      <alignment horizontal="right" vertical="center" wrapText="1"/>
    </xf>
    <xf numFmtId="168" fontId="10" fillId="3" borderId="1" applyAlignment="1" pivotButton="0" quotePrefix="0" xfId="0">
      <alignment horizontal="right" vertical="center" wrapText="1"/>
    </xf>
    <xf numFmtId="164" fontId="10" fillId="4" borderId="1" applyAlignment="1" pivotButton="0" quotePrefix="0" xfId="0">
      <alignment horizontal="center" vertical="center" wrapText="1"/>
    </xf>
    <xf numFmtId="1" fontId="10" fillId="4" borderId="1" applyAlignment="1" pivotButton="0" quotePrefix="0" xfId="0">
      <alignment horizontal="right" vertical="center" wrapText="1"/>
    </xf>
    <xf numFmtId="165" fontId="10" fillId="4" borderId="1" applyAlignment="1" pivotButton="0" quotePrefix="0" xfId="0">
      <alignment horizontal="right" vertical="center" wrapText="1"/>
    </xf>
    <xf numFmtId="168" fontId="10" fillId="4" borderId="1" applyAlignment="1" pivotButton="0" quotePrefix="0" xfId="0">
      <alignment horizontal="right" vertical="center" wrapText="1"/>
    </xf>
    <xf numFmtId="0" fontId="12" fillId="2" borderId="0" applyAlignment="1" pivotButton="0" quotePrefix="0" xfId="0">
      <alignment horizontal="center" vertical="center" wrapText="1"/>
    </xf>
    <xf numFmtId="2" fontId="0" fillId="0" borderId="0" pivotButton="0" quotePrefix="0" xfId="0"/>
    <xf numFmtId="14" fontId="0" fillId="0" borderId="0" applyAlignment="1" pivotButton="0" quotePrefix="0" xfId="0">
      <alignment wrapText="1"/>
    </xf>
    <xf numFmtId="0" fontId="14" fillId="0" borderId="0" pivotButton="0" quotePrefix="0" xfId="0"/>
    <xf numFmtId="0" fontId="13" fillId="0" borderId="0" applyAlignment="1" pivotButton="0" quotePrefix="0" xfId="1">
      <alignment wrapText="1"/>
    </xf>
    <xf numFmtId="0" fontId="10" fillId="7" borderId="1" applyAlignment="1" pivotButton="0" quotePrefix="0" xfId="0">
      <alignment horizontal="left" vertical="top" wrapText="1"/>
    </xf>
    <xf numFmtId="0" fontId="10" fillId="8" borderId="1" applyAlignment="1" pivotButton="0" quotePrefix="0" xfId="0">
      <alignment horizontal="left" vertical="top" wrapText="1"/>
    </xf>
    <xf numFmtId="0" fontId="4" fillId="9" borderId="1" applyAlignment="1" pivotButton="0" quotePrefix="0" xfId="0">
      <alignment horizontal="center" vertical="center" wrapText="1"/>
    </xf>
    <xf numFmtId="0" fontId="4" fillId="9" borderId="2" applyAlignment="1" pivotButton="0" quotePrefix="0" xfId="0">
      <alignment horizontal="center" vertical="center" wrapText="1"/>
    </xf>
    <xf numFmtId="0" fontId="4" fillId="9" borderId="3" applyAlignment="1" pivotButton="0" quotePrefix="0" xfId="0">
      <alignment horizontal="center" vertical="center" wrapText="1"/>
    </xf>
    <xf numFmtId="0" fontId="10" fillId="8" borderId="1" applyAlignment="1" pivotButton="0" quotePrefix="0" xfId="0">
      <alignment horizontal="center" vertical="top" wrapText="1"/>
    </xf>
    <xf numFmtId="1" fontId="10" fillId="8" borderId="1" applyAlignment="1" pivotButton="0" quotePrefix="0" xfId="0">
      <alignment horizontal="right" vertical="top" wrapText="1"/>
    </xf>
    <xf numFmtId="165" fontId="10" fillId="8" borderId="1" applyAlignment="1" pivotButton="0" quotePrefix="0" xfId="0">
      <alignment horizontal="right" vertical="top" wrapText="1"/>
    </xf>
    <xf numFmtId="0" fontId="9" fillId="8" borderId="2" applyAlignment="1" pivotButton="0" quotePrefix="0" xfId="0">
      <alignment vertical="top" wrapText="1"/>
    </xf>
    <xf numFmtId="168" fontId="10" fillId="8" borderId="1" applyAlignment="1" pivotButton="0" quotePrefix="0" xfId="0">
      <alignment horizontal="right" vertical="top" wrapText="1"/>
    </xf>
    <xf numFmtId="0" fontId="9" fillId="8" borderId="1" applyAlignment="1" pivotButton="0" quotePrefix="0" xfId="0">
      <alignment horizontal="left" vertical="top" wrapText="1"/>
    </xf>
    <xf numFmtId="0" fontId="9" fillId="8" borderId="3" applyAlignment="1" pivotButton="0" quotePrefix="0" xfId="0">
      <alignment vertical="top" wrapText="1"/>
    </xf>
    <xf numFmtId="0" fontId="10" fillId="7" borderId="1" applyAlignment="1" pivotButton="0" quotePrefix="0" xfId="0">
      <alignment horizontal="center" vertical="top" wrapText="1"/>
    </xf>
    <xf numFmtId="1" fontId="10" fillId="7" borderId="1" applyAlignment="1" pivotButton="0" quotePrefix="0" xfId="0">
      <alignment horizontal="right" vertical="top" wrapText="1"/>
    </xf>
    <xf numFmtId="165" fontId="10" fillId="7" borderId="1" applyAlignment="1" pivotButton="0" quotePrefix="0" xfId="0">
      <alignment horizontal="right" vertical="top" wrapText="1"/>
    </xf>
    <xf numFmtId="0" fontId="9" fillId="7" borderId="2" applyAlignment="1" pivotButton="0" quotePrefix="0" xfId="0">
      <alignment vertical="top" wrapText="1"/>
    </xf>
    <xf numFmtId="168" fontId="10" fillId="7" borderId="1" applyAlignment="1" pivotButton="0" quotePrefix="0" xfId="0">
      <alignment horizontal="right" vertical="top" wrapText="1"/>
    </xf>
    <xf numFmtId="0" fontId="9" fillId="7" borderId="1" applyAlignment="1" pivotButton="0" quotePrefix="0" xfId="0">
      <alignment horizontal="left" vertical="top" wrapText="1"/>
    </xf>
    <xf numFmtId="0" fontId="9" fillId="7" borderId="3" applyAlignment="1" pivotButton="0" quotePrefix="0" xfId="0">
      <alignment vertical="top" wrapText="1"/>
    </xf>
    <xf numFmtId="2" fontId="9" fillId="8" borderId="2" applyAlignment="1" pivotButton="0" quotePrefix="0" xfId="0">
      <alignment vertical="top" wrapText="1"/>
    </xf>
    <xf numFmtId="2" fontId="9" fillId="7" borderId="2" applyAlignment="1" pivotButton="0" quotePrefix="0" xfId="0">
      <alignment vertical="top" wrapText="1"/>
    </xf>
    <xf numFmtId="164" fontId="10" fillId="8" borderId="1" applyAlignment="1" pivotButton="0" quotePrefix="0" xfId="0">
      <alignment horizontal="center" vertical="top" wrapText="1"/>
    </xf>
    <xf numFmtId="1" fontId="10" fillId="8" borderId="1" applyAlignment="1" pivotButton="0" quotePrefix="0" xfId="0">
      <alignment horizontal="center" vertical="top" wrapText="1"/>
    </xf>
    <xf numFmtId="164" fontId="10" fillId="7" borderId="1" applyAlignment="1" pivotButton="0" quotePrefix="0" xfId="0">
      <alignment horizontal="center" vertical="top" wrapText="1"/>
    </xf>
    <xf numFmtId="1" fontId="10" fillId="7" borderId="1" applyAlignment="1" pivotButton="0" quotePrefix="0" xfId="0">
      <alignment horizontal="center" vertical="top" wrapText="1"/>
    </xf>
    <xf numFmtId="0" fontId="10" fillId="8" borderId="1" applyAlignment="1" pivotButton="0" quotePrefix="0" xfId="0">
      <alignment horizontal="center" vertical="top" wrapText="1"/>
    </xf>
    <xf numFmtId="0" fontId="10" fillId="8" borderId="1" applyAlignment="1" pivotButton="0" quotePrefix="0" xfId="0">
      <alignment horizontal="left" vertical="top" wrapText="1"/>
    </xf>
    <xf numFmtId="0" fontId="9" fillId="8" borderId="2" applyAlignment="1" pivotButton="0" quotePrefix="0" xfId="0">
      <alignment vertical="top" wrapText="1"/>
    </xf>
    <xf numFmtId="0" fontId="10" fillId="7" borderId="1" applyAlignment="1" pivotButton="0" quotePrefix="0" xfId="0">
      <alignment horizontal="center" vertical="top" wrapText="1"/>
    </xf>
    <xf numFmtId="0" fontId="10" fillId="7" borderId="1" applyAlignment="1" pivotButton="0" quotePrefix="0" xfId="0">
      <alignment horizontal="left" vertical="top" wrapText="1"/>
    </xf>
    <xf numFmtId="0" fontId="9" fillId="7" borderId="2" applyAlignment="1" pivotButton="0" quotePrefix="0" xfId="0">
      <alignment vertical="top" wrapText="1"/>
    </xf>
    <xf numFmtId="0" fontId="10" fillId="8" borderId="4" applyAlignment="1" pivotButton="0" quotePrefix="0" xfId="0">
      <alignment horizontal="center" vertical="top" wrapText="1"/>
    </xf>
    <xf numFmtId="0" fontId="10" fillId="8" borderId="4" applyAlignment="1" pivotButton="0" quotePrefix="0" xfId="0">
      <alignment horizontal="left" vertical="top" wrapText="1"/>
    </xf>
    <xf numFmtId="164" fontId="10" fillId="8" borderId="4" applyAlignment="1" pivotButton="0" quotePrefix="0" xfId="0">
      <alignment horizontal="center" vertical="top" wrapText="1"/>
    </xf>
    <xf numFmtId="1" fontId="10" fillId="8" borderId="4" applyAlignment="1" pivotButton="0" quotePrefix="0" xfId="0">
      <alignment horizontal="center" vertical="top" wrapText="1"/>
    </xf>
    <xf numFmtId="1" fontId="10" fillId="8" borderId="4" applyAlignment="1" pivotButton="0" quotePrefix="0" xfId="0">
      <alignment horizontal="right" vertical="top" wrapText="1"/>
    </xf>
    <xf numFmtId="165" fontId="10" fillId="8" borderId="4" applyAlignment="1" pivotButton="0" quotePrefix="0" xfId="0">
      <alignment horizontal="right" vertical="top" wrapText="1"/>
    </xf>
    <xf numFmtId="2" fontId="9" fillId="8" borderId="5" applyAlignment="1" pivotButton="0" quotePrefix="0" xfId="0">
      <alignment vertical="top" wrapText="1"/>
    </xf>
    <xf numFmtId="168" fontId="10" fillId="8" borderId="4" applyAlignment="1" pivotButton="0" quotePrefix="0" xfId="0">
      <alignment horizontal="right" vertical="top" wrapText="1"/>
    </xf>
    <xf numFmtId="0" fontId="9" fillId="8" borderId="5" applyAlignment="1" pivotButton="0" quotePrefix="0" xfId="0">
      <alignment vertical="top" wrapText="1"/>
    </xf>
    <xf numFmtId="0" fontId="0" fillId="0" borderId="6" pivotButton="0" quotePrefix="0" xfId="0"/>
    <xf numFmtId="0" fontId="10" fillId="7" borderId="7" applyAlignment="1" pivotButton="0" quotePrefix="0" xfId="0">
      <alignment horizontal="center" vertical="top" wrapText="1"/>
    </xf>
    <xf numFmtId="0" fontId="10" fillId="7" borderId="7" applyAlignment="1" pivotButton="0" quotePrefix="0" xfId="0">
      <alignment horizontal="left" vertical="top" wrapText="1"/>
    </xf>
    <xf numFmtId="164" fontId="10" fillId="7" borderId="7" applyAlignment="1" pivotButton="0" quotePrefix="0" xfId="0">
      <alignment horizontal="center" vertical="top" wrapText="1"/>
    </xf>
    <xf numFmtId="1" fontId="10" fillId="7" borderId="7" applyAlignment="1" pivotButton="0" quotePrefix="0" xfId="0">
      <alignment horizontal="center" vertical="top" wrapText="1"/>
    </xf>
    <xf numFmtId="1" fontId="10" fillId="7" borderId="7" applyAlignment="1" pivotButton="0" quotePrefix="0" xfId="0">
      <alignment horizontal="right" vertical="top" wrapText="1"/>
    </xf>
    <xf numFmtId="165" fontId="10" fillId="7" borderId="7" applyAlignment="1" pivotButton="0" quotePrefix="0" xfId="0">
      <alignment horizontal="right" vertical="top" wrapText="1"/>
    </xf>
    <xf numFmtId="2" fontId="9" fillId="7" borderId="8" applyAlignment="1" pivotButton="0" quotePrefix="0" xfId="0">
      <alignment vertical="top" wrapText="1"/>
    </xf>
    <xf numFmtId="168" fontId="10" fillId="7" borderId="7" applyAlignment="1" pivotButton="0" quotePrefix="0" xfId="0">
      <alignment horizontal="right" vertical="top" wrapText="1"/>
    </xf>
    <xf numFmtId="0" fontId="9" fillId="7" borderId="8" applyAlignment="1" pivotButton="0" quotePrefix="0" xfId="0">
      <alignment vertical="top" wrapText="1"/>
    </xf>
    <xf numFmtId="0" fontId="10" fillId="10" borderId="1" applyAlignment="1" pivotButton="0" quotePrefix="0" xfId="0">
      <alignment horizontal="center" vertical="top" wrapText="1"/>
    </xf>
    <xf numFmtId="0" fontId="0" fillId="0" borderId="9" pivotButton="0" quotePrefix="0" xfId="0"/>
    <xf numFmtId="0" fontId="1" fillId="0" borderId="9" applyAlignment="1" pivotButton="0" quotePrefix="0" xfId="0">
      <alignment horizontal="center"/>
    </xf>
    <xf numFmtId="0" fontId="2" fillId="0" borderId="9" applyAlignment="1" pivotButton="0" quotePrefix="0" xfId="0">
      <alignment horizontal="center"/>
    </xf>
    <xf numFmtId="0" fontId="3" fillId="0" borderId="9" applyAlignment="1" pivotButton="0" quotePrefix="0" xfId="0">
      <alignment horizontal="left" vertical="center"/>
    </xf>
    <xf numFmtId="0" fontId="4" fillId="0" borderId="9" applyAlignment="1" pivotButton="0" quotePrefix="0" xfId="0">
      <alignment horizontal="center"/>
    </xf>
    <xf numFmtId="0" fontId="5" fillId="0" borderId="9" applyAlignment="1" pivotButton="0" quotePrefix="0" xfId="0">
      <alignment wrapText="1"/>
    </xf>
    <xf numFmtId="0" fontId="6" fillId="0" borderId="9" applyAlignment="1" pivotButton="0" quotePrefix="0" xfId="0">
      <alignment wrapText="1"/>
    </xf>
    <xf numFmtId="0" fontId="7" fillId="0" borderId="9" applyAlignment="1" pivotButton="0" quotePrefix="0" xfId="0">
      <alignment wrapText="1"/>
    </xf>
    <xf numFmtId="0" fontId="8" fillId="0" borderId="9" applyAlignment="1" pivotButton="0" quotePrefix="0" xfId="0">
      <alignment horizontal="left" vertical="center"/>
    </xf>
    <xf numFmtId="0" fontId="9" fillId="0" borderId="9" applyAlignment="1" pivotButton="0" quotePrefix="0" xfId="0">
      <alignment horizontal="left" vertical="center"/>
    </xf>
    <xf numFmtId="0" fontId="4" fillId="2" borderId="10" applyAlignment="1" pivotButton="0" quotePrefix="0" xfId="0">
      <alignment horizontal="center" vertical="center" wrapText="1"/>
    </xf>
    <xf numFmtId="0" fontId="4" fillId="0" borderId="9" applyAlignment="1" pivotButton="0" quotePrefix="0" xfId="0">
      <alignment horizontal="center" vertical="center" wrapText="1"/>
    </xf>
    <xf numFmtId="0" fontId="10" fillId="3" borderId="10" applyAlignment="1" pivotButton="0" quotePrefix="0" xfId="0">
      <alignment horizontal="center" vertical="center" wrapText="1"/>
    </xf>
    <xf numFmtId="0" fontId="10" fillId="3" borderId="10" applyAlignment="1" pivotButton="0" quotePrefix="0" xfId="0">
      <alignment horizontal="left" vertical="top" wrapText="1"/>
    </xf>
    <xf numFmtId="164" fontId="10" fillId="3" borderId="10" applyAlignment="1" pivotButton="0" quotePrefix="0" xfId="0">
      <alignment horizontal="center" vertical="center"/>
    </xf>
    <xf numFmtId="1" fontId="10" fillId="3" borderId="10" applyAlignment="1" pivotButton="0" quotePrefix="0" xfId="0">
      <alignment horizontal="right" vertical="center"/>
    </xf>
    <xf numFmtId="165" fontId="10" fillId="3" borderId="10" applyAlignment="1" pivotButton="0" quotePrefix="0" xfId="0">
      <alignment horizontal="right" vertical="center"/>
    </xf>
    <xf numFmtId="0" fontId="10" fillId="0" borderId="9" applyAlignment="1" pivotButton="0" quotePrefix="0" xfId="0">
      <alignment horizontal="left" vertical="top" wrapText="1"/>
    </xf>
    <xf numFmtId="0" fontId="10" fillId="4" borderId="10" applyAlignment="1" pivotButton="0" quotePrefix="0" xfId="0">
      <alignment horizontal="center" vertical="center" wrapText="1"/>
    </xf>
    <xf numFmtId="0" fontId="10" fillId="4" borderId="10" applyAlignment="1" pivotButton="0" quotePrefix="0" xfId="0">
      <alignment horizontal="left" vertical="top" wrapText="1"/>
    </xf>
    <xf numFmtId="164" fontId="10" fillId="4" borderId="10" applyAlignment="1" pivotButton="0" quotePrefix="0" xfId="0">
      <alignment horizontal="center" vertical="center"/>
    </xf>
    <xf numFmtId="1" fontId="10" fillId="4" borderId="10" applyAlignment="1" pivotButton="0" quotePrefix="0" xfId="0">
      <alignment horizontal="right" vertical="center"/>
    </xf>
    <xf numFmtId="165" fontId="10" fillId="4" borderId="10" applyAlignment="1" pivotButton="0" quotePrefix="0" xfId="0">
      <alignment horizontal="right" vertical="center"/>
    </xf>
    <xf numFmtId="0" fontId="4" fillId="5" borderId="10" applyAlignment="1" pivotButton="0" quotePrefix="0" xfId="0">
      <alignment horizontal="center" vertical="center" wrapText="1"/>
    </xf>
    <xf numFmtId="1" fontId="11" fillId="4" borderId="10" applyAlignment="1" pivotButton="0" quotePrefix="0" xfId="0">
      <alignment horizontal="left" vertical="center"/>
    </xf>
    <xf numFmtId="166" fontId="10" fillId="4" borderId="10" applyAlignment="1" pivotButton="0" quotePrefix="0" xfId="0">
      <alignment horizontal="right" vertical="center"/>
    </xf>
    <xf numFmtId="0" fontId="10" fillId="4" borderId="10" applyAlignment="1" pivotButton="0" quotePrefix="0" xfId="0">
      <alignment horizontal="right" vertical="center"/>
    </xf>
    <xf numFmtId="1" fontId="11" fillId="3" borderId="10" applyAlignment="1" pivotButton="0" quotePrefix="0" xfId="0">
      <alignment horizontal="left" vertical="center"/>
    </xf>
    <xf numFmtId="166" fontId="10" fillId="3" borderId="10" applyAlignment="1" pivotButton="0" quotePrefix="0" xfId="0">
      <alignment horizontal="right" vertical="center"/>
    </xf>
    <xf numFmtId="0" fontId="10" fillId="3" borderId="10" applyAlignment="1" pivotButton="0" quotePrefix="0" xfId="0">
      <alignment horizontal="right" vertical="center"/>
    </xf>
    <xf numFmtId="0" fontId="4" fillId="6" borderId="10" applyAlignment="1" pivotButton="0" quotePrefix="0" xfId="0">
      <alignment horizontal="left" vertical="center"/>
    </xf>
    <xf numFmtId="166" fontId="4" fillId="6" borderId="10" applyAlignment="1" pivotButton="0" quotePrefix="0" xfId="0">
      <alignment horizontal="right" vertical="center"/>
    </xf>
    <xf numFmtId="167" fontId="10" fillId="4" borderId="10" applyAlignment="1" pivotButton="0" quotePrefix="0" xfId="0">
      <alignment horizontal="right" vertical="center"/>
    </xf>
    <xf numFmtId="167" fontId="10" fillId="3" borderId="10" applyAlignment="1" pivotButton="0" quotePrefix="0" xfId="0">
      <alignment horizontal="right" vertical="center"/>
    </xf>
    <xf numFmtId="167" fontId="4" fillId="6" borderId="10" applyAlignment="1" pivotButton="0" quotePrefix="0" xfId="0">
      <alignment horizontal="right" vertical="center"/>
    </xf>
    <xf numFmtId="0" fontId="4" fillId="6" borderId="10" applyAlignment="1" pivotButton="0" quotePrefix="0" xfId="0">
      <alignment horizontal="right" vertical="center"/>
    </xf>
    <xf numFmtId="168" fontId="10" fillId="3" borderId="10" applyAlignment="1" pivotButton="0" quotePrefix="0" xfId="0">
      <alignment horizontal="right" vertical="center"/>
    </xf>
    <xf numFmtId="168" fontId="10" fillId="4" borderId="10" applyAlignment="1" pivotButton="0" quotePrefix="0" xfId="0">
      <alignment horizontal="right" vertical="center"/>
    </xf>
    <xf numFmtId="0" fontId="11" fillId="3" borderId="10" applyAlignment="1" pivotButton="0" quotePrefix="0" xfId="0">
      <alignment horizontal="left" vertical="top" wrapText="1"/>
    </xf>
    <xf numFmtId="0" fontId="11" fillId="4" borderId="10" applyAlignment="1" pivotButton="0" quotePrefix="0" xfId="0">
      <alignment horizontal="left" vertical="top" wrapText="1"/>
    </xf>
    <xf numFmtId="0" fontId="0" fillId="0" borderId="9" applyAlignment="1" pivotButton="0" quotePrefix="0" xfId="0">
      <alignment wrapText="1"/>
    </xf>
    <xf numFmtId="164" fontId="10" fillId="3" borderId="10" applyAlignment="1" pivotButton="0" quotePrefix="0" xfId="0">
      <alignment horizontal="center" vertical="center" wrapText="1"/>
    </xf>
    <xf numFmtId="1" fontId="10" fillId="3" borderId="10" applyAlignment="1" pivotButton="0" quotePrefix="0" xfId="0">
      <alignment horizontal="right" vertical="center" wrapText="1"/>
    </xf>
    <xf numFmtId="165" fontId="10" fillId="3" borderId="10" applyAlignment="1" pivotButton="0" quotePrefix="0" xfId="0">
      <alignment horizontal="right" vertical="center" wrapText="1"/>
    </xf>
    <xf numFmtId="168" fontId="10" fillId="3" borderId="10" applyAlignment="1" pivotButton="0" quotePrefix="0" xfId="0">
      <alignment horizontal="right" vertical="center" wrapText="1"/>
    </xf>
    <xf numFmtId="164" fontId="10" fillId="4" borderId="10" applyAlignment="1" pivotButton="0" quotePrefix="0" xfId="0">
      <alignment horizontal="center" vertical="center" wrapText="1"/>
    </xf>
    <xf numFmtId="1" fontId="10" fillId="4" borderId="10" applyAlignment="1" pivotButton="0" quotePrefix="0" xfId="0">
      <alignment horizontal="right" vertical="center" wrapText="1"/>
    </xf>
    <xf numFmtId="165" fontId="10" fillId="4" borderId="10" applyAlignment="1" pivotButton="0" quotePrefix="0" xfId="0">
      <alignment horizontal="right" vertical="center" wrapText="1"/>
    </xf>
    <xf numFmtId="168" fontId="10" fillId="4" borderId="10" applyAlignment="1" pivotButton="0" quotePrefix="0" xfId="0">
      <alignment horizontal="right" vertical="center" wrapText="1"/>
    </xf>
    <xf numFmtId="0" fontId="12" fillId="2" borderId="9" applyAlignment="1" pivotButton="0" quotePrefix="0" xfId="0">
      <alignment horizontal="center" vertical="center" wrapText="1"/>
    </xf>
    <xf numFmtId="2" fontId="0" fillId="0" borderId="9" pivotButton="0" quotePrefix="0" xfId="0"/>
    <xf numFmtId="14" fontId="0" fillId="0" borderId="9" applyAlignment="1" pivotButton="0" quotePrefix="0" xfId="0">
      <alignment wrapText="1"/>
    </xf>
    <xf numFmtId="0" fontId="14" fillId="0" borderId="9" pivotButton="0" quotePrefix="0" xfId="0"/>
    <xf numFmtId="0" fontId="13" fillId="0" borderId="9" applyAlignment="1" pivotButton="0" quotePrefix="0" xfId="0">
      <alignment wrapText="1"/>
    </xf>
    <xf numFmtId="0" fontId="4" fillId="2" borderId="11" applyAlignment="1" pivotButton="0" quotePrefix="0" xfId="0">
      <alignment horizontal="center" vertical="center" wrapText="1"/>
    </xf>
    <xf numFmtId="0" fontId="4" fillId="2" borderId="12" applyAlignment="1" pivotButton="0" quotePrefix="0" xfId="0">
      <alignment horizontal="center" vertical="center" wrapText="1"/>
    </xf>
    <xf numFmtId="0" fontId="10" fillId="3" borderId="10" applyAlignment="1" pivotButton="0" quotePrefix="0" xfId="0">
      <alignment horizontal="center" vertical="top" wrapText="1"/>
    </xf>
    <xf numFmtId="1" fontId="10" fillId="3" borderId="10" applyAlignment="1" pivotButton="0" quotePrefix="0" xfId="0">
      <alignment horizontal="right" vertical="top" wrapText="1"/>
    </xf>
    <xf numFmtId="165" fontId="10" fillId="3" borderId="10" applyAlignment="1" pivotButton="0" quotePrefix="0" xfId="0">
      <alignment horizontal="right" vertical="top" wrapText="1"/>
    </xf>
    <xf numFmtId="0" fontId="9" fillId="3" borderId="11" applyAlignment="1" pivotButton="0" quotePrefix="0" xfId="0">
      <alignment vertical="top" wrapText="1"/>
    </xf>
    <xf numFmtId="168" fontId="10" fillId="3" borderId="10" applyAlignment="1" pivotButton="0" quotePrefix="0" xfId="0">
      <alignment horizontal="right" vertical="top" wrapText="1"/>
    </xf>
    <xf numFmtId="0" fontId="9" fillId="3" borderId="10" applyAlignment="1" pivotButton="0" quotePrefix="0" xfId="0">
      <alignment horizontal="left" vertical="top" wrapText="1"/>
    </xf>
    <xf numFmtId="0" fontId="9" fillId="3" borderId="12" applyAlignment="1" pivotButton="0" quotePrefix="0" xfId="0">
      <alignment vertical="top" wrapText="1"/>
    </xf>
    <xf numFmtId="0" fontId="10" fillId="4" borderId="10" applyAlignment="1" pivotButton="0" quotePrefix="0" xfId="0">
      <alignment horizontal="center" vertical="top" wrapText="1"/>
    </xf>
    <xf numFmtId="1" fontId="10" fillId="4" borderId="10" applyAlignment="1" pivotButton="0" quotePrefix="0" xfId="0">
      <alignment horizontal="right" vertical="top" wrapText="1"/>
    </xf>
    <xf numFmtId="165" fontId="10" fillId="4" borderId="10" applyAlignment="1" pivotButton="0" quotePrefix="0" xfId="0">
      <alignment horizontal="right" vertical="top" wrapText="1"/>
    </xf>
    <xf numFmtId="0" fontId="9" fillId="4" borderId="11" applyAlignment="1" pivotButton="0" quotePrefix="0" xfId="0">
      <alignment vertical="top" wrapText="1"/>
    </xf>
    <xf numFmtId="168" fontId="10" fillId="4" borderId="10" applyAlignment="1" pivotButton="0" quotePrefix="0" xfId="0">
      <alignment horizontal="right" vertical="top" wrapText="1"/>
    </xf>
    <xf numFmtId="0" fontId="9" fillId="4" borderId="10" applyAlignment="1" pivotButton="0" quotePrefix="0" xfId="0">
      <alignment horizontal="left" vertical="top" wrapText="1"/>
    </xf>
    <xf numFmtId="0" fontId="9" fillId="4" borderId="12" applyAlignment="1" pivotButton="0" quotePrefix="0" xfId="0">
      <alignment vertical="top" wrapText="1"/>
    </xf>
    <xf numFmtId="2" fontId="9" fillId="3" borderId="11" applyAlignment="1" pivotButton="0" quotePrefix="0" xfId="0">
      <alignment vertical="top" wrapText="1"/>
    </xf>
    <xf numFmtId="2" fontId="9" fillId="4" borderId="11" applyAlignment="1" pivotButton="0" quotePrefix="0" xfId="0">
      <alignment vertical="top" wrapText="1"/>
    </xf>
    <xf numFmtId="164" fontId="10" fillId="3" borderId="10" applyAlignment="1" pivotButton="0" quotePrefix="0" xfId="0">
      <alignment horizontal="center" vertical="top" wrapText="1"/>
    </xf>
    <xf numFmtId="1" fontId="10" fillId="3" borderId="10" applyAlignment="1" pivotButton="0" quotePrefix="0" xfId="0">
      <alignment horizontal="center" vertical="top" wrapText="1"/>
    </xf>
    <xf numFmtId="164" fontId="10" fillId="4" borderId="10" applyAlignment="1" pivotButton="0" quotePrefix="0" xfId="0">
      <alignment horizontal="center" vertical="top" wrapText="1"/>
    </xf>
    <xf numFmtId="1" fontId="10" fillId="4" borderId="10" applyAlignment="1" pivotButton="0" quotePrefix="0" xfId="0">
      <alignment horizontal="center" vertical="top" wrapText="1"/>
    </xf>
    <xf numFmtId="0" fontId="10" fillId="3" borderId="13" applyAlignment="1" pivotButton="0" quotePrefix="0" xfId="0">
      <alignment horizontal="center" vertical="top" wrapText="1"/>
    </xf>
    <xf numFmtId="0" fontId="10" fillId="3" borderId="13" applyAlignment="1" pivotButton="0" quotePrefix="0" xfId="0">
      <alignment horizontal="left" vertical="top" wrapText="1"/>
    </xf>
    <xf numFmtId="164" fontId="10" fillId="3" borderId="13" applyAlignment="1" pivotButton="0" quotePrefix="0" xfId="0">
      <alignment horizontal="center" vertical="top" wrapText="1"/>
    </xf>
    <xf numFmtId="1" fontId="10" fillId="3" borderId="13" applyAlignment="1" pivotButton="0" quotePrefix="0" xfId="0">
      <alignment horizontal="center" vertical="top" wrapText="1"/>
    </xf>
    <xf numFmtId="1" fontId="10" fillId="3" borderId="13" applyAlignment="1" pivotButton="0" quotePrefix="0" xfId="0">
      <alignment horizontal="right" vertical="top" wrapText="1"/>
    </xf>
    <xf numFmtId="165" fontId="10" fillId="3" borderId="13" applyAlignment="1" pivotButton="0" quotePrefix="0" xfId="0">
      <alignment horizontal="right" vertical="top" wrapText="1"/>
    </xf>
    <xf numFmtId="2" fontId="9" fillId="3" borderId="14" applyAlignment="1" pivotButton="0" quotePrefix="0" xfId="0">
      <alignment vertical="top" wrapText="1"/>
    </xf>
    <xf numFmtId="168" fontId="10" fillId="3" borderId="13" applyAlignment="1" pivotButton="0" quotePrefix="0" xfId="0">
      <alignment horizontal="right" vertical="top" wrapText="1"/>
    </xf>
    <xf numFmtId="0" fontId="9" fillId="3" borderId="14" applyAlignment="1" pivotButton="0" quotePrefix="0" xfId="0">
      <alignment vertical="top" wrapText="1"/>
    </xf>
    <xf numFmtId="0" fontId="0" fillId="0" borderId="15" pivotButton="0" quotePrefix="0" xfId="0"/>
    <xf numFmtId="0" fontId="10" fillId="4" borderId="16" applyAlignment="1" pivotButton="0" quotePrefix="0" xfId="0">
      <alignment horizontal="center" vertical="top" wrapText="1"/>
    </xf>
    <xf numFmtId="0" fontId="10" fillId="4" borderId="16" applyAlignment="1" pivotButton="0" quotePrefix="0" xfId="0">
      <alignment horizontal="left" vertical="top" wrapText="1"/>
    </xf>
    <xf numFmtId="164" fontId="10" fillId="4" borderId="16" applyAlignment="1" pivotButton="0" quotePrefix="0" xfId="0">
      <alignment horizontal="center" vertical="top" wrapText="1"/>
    </xf>
    <xf numFmtId="1" fontId="10" fillId="4" borderId="16" applyAlignment="1" pivotButton="0" quotePrefix="0" xfId="0">
      <alignment horizontal="center" vertical="top" wrapText="1"/>
    </xf>
    <xf numFmtId="1" fontId="10" fillId="4" borderId="16" applyAlignment="1" pivotButton="0" quotePrefix="0" xfId="0">
      <alignment horizontal="right" vertical="top" wrapText="1"/>
    </xf>
    <xf numFmtId="165" fontId="10" fillId="4" borderId="16" applyAlignment="1" pivotButton="0" quotePrefix="0" xfId="0">
      <alignment horizontal="right" vertical="top" wrapText="1"/>
    </xf>
    <xf numFmtId="2" fontId="9" fillId="4" borderId="17" applyAlignment="1" pivotButton="0" quotePrefix="0" xfId="0">
      <alignment vertical="top" wrapText="1"/>
    </xf>
    <xf numFmtId="168" fontId="10" fillId="4" borderId="16" applyAlignment="1" pivotButton="0" quotePrefix="0" xfId="0">
      <alignment horizontal="right" vertical="top" wrapText="1"/>
    </xf>
    <xf numFmtId="0" fontId="9" fillId="4" borderId="17" applyAlignment="1" pivotButton="0" quotePrefix="0" xfId="0">
      <alignment vertical="top" wrapText="1"/>
    </xf>
    <xf numFmtId="0" fontId="10" fillId="10" borderId="10" applyAlignment="1" pivotButton="0" quotePrefix="0" xfId="0">
      <alignment horizontal="center" vertical="top" wrapText="1"/>
    </xf>
    <xf numFmtId="0" fontId="10" fillId="0" borderId="0" pivotButton="0" quotePrefix="0" xfId="0"/>
    <xf numFmtId="0" fontId="10" fillId="0" borderId="9" pivotButton="0" quotePrefix="0" xfId="0"/>
    <xf numFmtId="0" fontId="10" fillId="0" borderId="0" applyAlignment="1" pivotButton="0" quotePrefix="0" xfId="0">
      <alignment vertical="top"/>
    </xf>
    <xf numFmtId="0" fontId="10" fillId="0" borderId="9" applyAlignment="1" pivotButton="0" quotePrefix="0" xfId="0">
      <alignment vertical="top"/>
    </xf>
    <xf numFmtId="0" fontId="10" fillId="0" borderId="0" applyAlignment="1" pivotButton="0" quotePrefix="0" xfId="0">
      <alignment vertical="top" wrapText="1"/>
    </xf>
    <xf numFmtId="0" fontId="10" fillId="0" borderId="9" applyAlignment="1" pivotButton="0" quotePrefix="0" xfId="0">
      <alignment vertical="top" wrapText="1"/>
    </xf>
    <xf numFmtId="0" fontId="10" fillId="0" borderId="0" applyAlignment="1" pivotButton="0" quotePrefix="0" xfId="0">
      <alignment horizontal="center" vertical="top" wrapText="1"/>
    </xf>
    <xf numFmtId="0" fontId="10" fillId="0" borderId="9" applyAlignment="1" pivotButton="0" quotePrefix="0" xfId="0">
      <alignment horizontal="center" vertical="top" wrapText="1"/>
    </xf>
    <xf numFmtId="0" fontId="10" fillId="0" borderId="0" applyAlignment="1" pivotButton="0" quotePrefix="0" xfId="0">
      <alignment horizontal="left" vertical="top" wrapText="1"/>
    </xf>
    <xf numFmtId="0" fontId="10" fillId="0" borderId="0" applyAlignment="1" pivotButton="0" quotePrefix="0" xfId="0">
      <alignment horizontal="right" vertical="top" wrapText="1"/>
    </xf>
    <xf numFmtId="0" fontId="10" fillId="0" borderId="9" applyAlignment="1" pivotButton="0" quotePrefix="0" xfId="0">
      <alignment horizontal="right" vertical="top" wrapText="1"/>
    </xf>
    <xf numFmtId="0" fontId="10" fillId="0" borderId="0" applyAlignment="1" pivotButton="0" quotePrefix="0" xfId="0">
      <alignment horizontal="general" vertical="top" wrapText="1"/>
    </xf>
    <xf numFmtId="0" fontId="10" fillId="0" borderId="9" applyAlignment="1" pivotButton="0" quotePrefix="0" xfId="0">
      <alignment horizontal="general" vertical="top" wrapText="1"/>
    </xf>
    <xf numFmtId="0" fontId="9" fillId="0" borderId="0" applyAlignment="1" pivotButton="0" quotePrefix="0" xfId="0">
      <alignment horizontal="general" vertical="top" wrapText="1"/>
    </xf>
    <xf numFmtId="0" fontId="9" fillId="0" borderId="9" applyAlignment="1" pivotButton="0" quotePrefix="0" xfId="0">
      <alignment horizontal="general" vertical="top" wrapText="1"/>
    </xf>
    <xf numFmtId="164" fontId="10" fillId="0" borderId="0" applyAlignment="1" pivotButton="0" quotePrefix="0" xfId="0">
      <alignment horizontal="center" vertical="top" wrapText="1"/>
    </xf>
    <xf numFmtId="164" fontId="10" fillId="0" borderId="9" applyAlignment="1" pivotButton="0" quotePrefix="0" xfId="0">
      <alignment horizontal="center" vertical="top" wrapText="1"/>
    </xf>
    <xf numFmtId="165" fontId="10" fillId="0" borderId="0" applyAlignment="1" pivotButton="0" quotePrefix="0" xfId="0">
      <alignment horizontal="right" vertical="top" wrapText="1"/>
    </xf>
    <xf numFmtId="165" fontId="10" fillId="0" borderId="9" applyAlignment="1" pivotButton="0" quotePrefix="0" xfId="0">
      <alignment horizontal="right" vertical="top" wrapText="1"/>
    </xf>
    <xf numFmtId="165" fontId="10" fillId="0" borderId="0" applyAlignment="1" pivotButton="0" quotePrefix="0" xfId="0">
      <alignment horizontal="left" vertical="top" wrapText="1"/>
    </xf>
    <xf numFmtId="165" fontId="10" fillId="0" borderId="9" applyAlignment="1" pivotButton="0" quotePrefix="0" xfId="0">
      <alignment horizontal="left" vertical="top" wrapText="1"/>
    </xf>
    <xf numFmtId="168" fontId="10" fillId="0" borderId="0" applyAlignment="1" pivotButton="0" quotePrefix="0" xfId="0">
      <alignment horizontal="right" vertical="top" wrapText="1"/>
    </xf>
    <xf numFmtId="168" fontId="10" fillId="0" borderId="9" applyAlignment="1" pivotButton="0" quotePrefix="0" xfId="0">
      <alignment horizontal="right" vertical="top" wrapText="1"/>
    </xf>
    <xf numFmtId="0" fontId="10" fillId="11" borderId="0" applyAlignment="1" pivotButton="0" quotePrefix="0" xfId="0">
      <alignment horizontal="center" vertical="top" wrapText="1"/>
    </xf>
    <xf numFmtId="0" fontId="10" fillId="11" borderId="0" applyAlignment="1" pivotButton="0" quotePrefix="0" xfId="0">
      <alignment horizontal="left" vertical="top" wrapText="1"/>
    </xf>
    <xf numFmtId="164" fontId="10" fillId="11" borderId="0" applyAlignment="1" pivotButton="0" quotePrefix="0" xfId="0">
      <alignment horizontal="center" vertical="top" wrapText="1"/>
    </xf>
    <xf numFmtId="0" fontId="10" fillId="11" borderId="0" applyAlignment="1" pivotButton="0" quotePrefix="0" xfId="0">
      <alignment horizontal="right" vertical="top" wrapText="1"/>
    </xf>
    <xf numFmtId="165" fontId="10" fillId="11" borderId="0" applyAlignment="1" pivotButton="0" quotePrefix="0" xfId="0">
      <alignment horizontal="right" vertical="top" wrapText="1"/>
    </xf>
    <xf numFmtId="0" fontId="9" fillId="11" borderId="0" applyAlignment="1" pivotButton="0" quotePrefix="0" xfId="0">
      <alignment horizontal="general" vertical="top" wrapText="1"/>
    </xf>
    <xf numFmtId="168" fontId="10" fillId="11" borderId="0" applyAlignment="1" pivotButton="0" quotePrefix="0" xfId="0">
      <alignment horizontal="right" vertical="top" wrapText="1"/>
    </xf>
    <xf numFmtId="165" fontId="10" fillId="11" borderId="0" applyAlignment="1" pivotButton="0" quotePrefix="0" xfId="0">
      <alignment horizontal="left" vertical="top" wrapText="1"/>
    </xf>
    <xf numFmtId="0" fontId="10" fillId="11" borderId="9" applyAlignment="1" pivotButton="0" quotePrefix="0" xfId="0">
      <alignment horizontal="center" vertical="top" wrapText="1"/>
    </xf>
    <xf numFmtId="0" fontId="10" fillId="11" borderId="9" applyAlignment="1" pivotButton="0" quotePrefix="0" xfId="0">
      <alignment horizontal="left" vertical="top" wrapText="1"/>
    </xf>
    <xf numFmtId="164" fontId="10" fillId="11" borderId="9" applyAlignment="1" pivotButton="0" quotePrefix="0" xfId="0">
      <alignment horizontal="center" vertical="top" wrapText="1"/>
    </xf>
    <xf numFmtId="0" fontId="10" fillId="11" borderId="9" applyAlignment="1" pivotButton="0" quotePrefix="0" xfId="0">
      <alignment horizontal="right" vertical="top" wrapText="1"/>
    </xf>
    <xf numFmtId="165" fontId="10" fillId="11" borderId="9" applyAlignment="1" pivotButton="0" quotePrefix="0" xfId="0">
      <alignment horizontal="right" vertical="top" wrapText="1"/>
    </xf>
    <xf numFmtId="0" fontId="9" fillId="11" borderId="9" applyAlignment="1" pivotButton="0" quotePrefix="0" xfId="0">
      <alignment horizontal="general" vertical="top" wrapText="1"/>
    </xf>
    <xf numFmtId="168" fontId="10" fillId="11" borderId="9" applyAlignment="1" pivotButton="0" quotePrefix="0" xfId="0">
      <alignment horizontal="right" vertical="top" wrapText="1"/>
    </xf>
    <xf numFmtId="165" fontId="10" fillId="11" borderId="9" applyAlignment="1" pivotButton="0" quotePrefix="0" xfId="0">
      <alignment horizontal="left" vertical="top" wrapText="1"/>
    </xf>
    <xf numFmtId="0" fontId="10" fillId="12" borderId="0" applyAlignment="1" pivotButton="0" quotePrefix="0" xfId="0">
      <alignment horizontal="center" vertical="top" wrapText="1"/>
    </xf>
    <xf numFmtId="0" fontId="10" fillId="12" borderId="0" applyAlignment="1" pivotButton="0" quotePrefix="0" xfId="0">
      <alignment horizontal="left" vertical="top" wrapText="1"/>
    </xf>
    <xf numFmtId="164" fontId="10" fillId="12" borderId="0" applyAlignment="1" pivotButton="0" quotePrefix="0" xfId="0">
      <alignment horizontal="center" vertical="top" wrapText="1"/>
    </xf>
    <xf numFmtId="0" fontId="10" fillId="12" borderId="0" applyAlignment="1" pivotButton="0" quotePrefix="0" xfId="0">
      <alignment horizontal="right" vertical="top" wrapText="1"/>
    </xf>
    <xf numFmtId="165" fontId="10" fillId="12" borderId="0" applyAlignment="1" pivotButton="0" quotePrefix="0" xfId="0">
      <alignment horizontal="right" vertical="top" wrapText="1"/>
    </xf>
    <xf numFmtId="0" fontId="9" fillId="12" borderId="0" applyAlignment="1" pivotButton="0" quotePrefix="0" xfId="0">
      <alignment horizontal="general" vertical="top" wrapText="1"/>
    </xf>
    <xf numFmtId="168" fontId="10" fillId="12" borderId="0" applyAlignment="1" pivotButton="0" quotePrefix="0" xfId="0">
      <alignment horizontal="right" vertical="top" wrapText="1"/>
    </xf>
    <xf numFmtId="165" fontId="10" fillId="12" borderId="0" applyAlignment="1" pivotButton="0" quotePrefix="0" xfId="0">
      <alignment horizontal="left" vertical="top" wrapText="1"/>
    </xf>
    <xf numFmtId="0" fontId="10" fillId="12" borderId="9" applyAlignment="1" pivotButton="0" quotePrefix="0" xfId="0">
      <alignment horizontal="center" vertical="top" wrapText="1"/>
    </xf>
    <xf numFmtId="0" fontId="10" fillId="12" borderId="9" applyAlignment="1" pivotButton="0" quotePrefix="0" xfId="0">
      <alignment horizontal="left" vertical="top" wrapText="1"/>
    </xf>
    <xf numFmtId="164" fontId="10" fillId="12" borderId="9" applyAlignment="1" pivotButton="0" quotePrefix="0" xfId="0">
      <alignment horizontal="center" vertical="top" wrapText="1"/>
    </xf>
    <xf numFmtId="0" fontId="10" fillId="12" borderId="9" applyAlignment="1" pivotButton="0" quotePrefix="0" xfId="0">
      <alignment horizontal="right" vertical="top" wrapText="1"/>
    </xf>
    <xf numFmtId="165" fontId="10" fillId="12" borderId="9" applyAlignment="1" pivotButton="0" quotePrefix="0" xfId="0">
      <alignment horizontal="right" vertical="top" wrapText="1"/>
    </xf>
    <xf numFmtId="0" fontId="9" fillId="12" borderId="9" applyAlignment="1" pivotButton="0" quotePrefix="0" xfId="0">
      <alignment horizontal="general" vertical="top" wrapText="1"/>
    </xf>
    <xf numFmtId="168" fontId="10" fillId="12" borderId="9" applyAlignment="1" pivotButton="0" quotePrefix="0" xfId="0">
      <alignment horizontal="right" vertical="top" wrapText="1"/>
    </xf>
    <xf numFmtId="165" fontId="10" fillId="12" borderId="9" applyAlignment="1" pivotButton="0" quotePrefix="0" xfId="0">
      <alignment horizontal="left" vertical="top" wrapText="1"/>
    </xf>
    <xf numFmtId="0" fontId="10" fillId="11" borderId="2" applyAlignment="1" pivotButton="0" quotePrefix="0" xfId="0">
      <alignment horizontal="center" vertical="top" wrapText="1"/>
    </xf>
    <xf numFmtId="0" fontId="10" fillId="11" borderId="2" applyAlignment="1" pivotButton="0" quotePrefix="0" xfId="0">
      <alignment horizontal="left" vertical="top" wrapText="1"/>
    </xf>
    <xf numFmtId="164" fontId="10" fillId="11" borderId="2" applyAlignment="1" pivotButton="0" quotePrefix="0" xfId="0">
      <alignment horizontal="center" vertical="top" wrapText="1"/>
    </xf>
    <xf numFmtId="0" fontId="10" fillId="11" borderId="2" applyAlignment="1" pivotButton="0" quotePrefix="0" xfId="0">
      <alignment horizontal="right" vertical="top" wrapText="1"/>
    </xf>
    <xf numFmtId="165" fontId="10" fillId="11" borderId="2" applyAlignment="1" pivotButton="0" quotePrefix="0" xfId="0">
      <alignment horizontal="right" vertical="top" wrapText="1"/>
    </xf>
    <xf numFmtId="0" fontId="9" fillId="11" borderId="2" applyAlignment="1" pivotButton="0" quotePrefix="0" xfId="0">
      <alignment horizontal="general" vertical="top" wrapText="1"/>
    </xf>
    <xf numFmtId="168" fontId="10" fillId="11" borderId="2" applyAlignment="1" pivotButton="0" quotePrefix="0" xfId="0">
      <alignment horizontal="right" vertical="top" wrapText="1"/>
    </xf>
    <xf numFmtId="165" fontId="10" fillId="11" borderId="2" applyAlignment="1" pivotButton="0" quotePrefix="0" xfId="0">
      <alignment horizontal="left" vertical="top" wrapText="1"/>
    </xf>
    <xf numFmtId="0" fontId="10" fillId="11" borderId="11" applyAlignment="1" pivotButton="0" quotePrefix="0" xfId="0">
      <alignment horizontal="center" vertical="top" wrapText="1"/>
    </xf>
    <xf numFmtId="0" fontId="10" fillId="11" borderId="11" applyAlignment="1" pivotButton="0" quotePrefix="0" xfId="0">
      <alignment horizontal="left" vertical="top" wrapText="1"/>
    </xf>
    <xf numFmtId="164" fontId="10" fillId="11" borderId="11" applyAlignment="1" pivotButton="0" quotePrefix="0" xfId="0">
      <alignment horizontal="center" vertical="top" wrapText="1"/>
    </xf>
    <xf numFmtId="0" fontId="10" fillId="11" borderId="11" applyAlignment="1" pivotButton="0" quotePrefix="0" xfId="0">
      <alignment horizontal="right" vertical="top" wrapText="1"/>
    </xf>
    <xf numFmtId="165" fontId="10" fillId="11" borderId="11" applyAlignment="1" pivotButton="0" quotePrefix="0" xfId="0">
      <alignment horizontal="right" vertical="top" wrapText="1"/>
    </xf>
    <xf numFmtId="0" fontId="9" fillId="11" borderId="11" applyAlignment="1" pivotButton="0" quotePrefix="0" xfId="0">
      <alignment horizontal="general" vertical="top" wrapText="1"/>
    </xf>
    <xf numFmtId="168" fontId="10" fillId="11" borderId="11" applyAlignment="1" pivotButton="0" quotePrefix="0" xfId="0">
      <alignment horizontal="right" vertical="top" wrapText="1"/>
    </xf>
    <xf numFmtId="165" fontId="10" fillId="11" borderId="11" applyAlignment="1" pivotButton="0" quotePrefix="0" xfId="0">
      <alignment horizontal="left" vertical="top" wrapText="1"/>
    </xf>
    <xf numFmtId="0" fontId="10" fillId="12" borderId="2" applyAlignment="1" pivotButton="0" quotePrefix="0" xfId="0">
      <alignment horizontal="center" vertical="top" wrapText="1"/>
    </xf>
    <xf numFmtId="0" fontId="10" fillId="12" borderId="2" applyAlignment="1" pivotButton="0" quotePrefix="0" xfId="0">
      <alignment horizontal="left" vertical="top" wrapText="1"/>
    </xf>
    <xf numFmtId="164" fontId="10" fillId="12" borderId="2" applyAlignment="1" pivotButton="0" quotePrefix="0" xfId="0">
      <alignment horizontal="center" vertical="top" wrapText="1"/>
    </xf>
    <xf numFmtId="0" fontId="10" fillId="12" borderId="2" applyAlignment="1" pivotButton="0" quotePrefix="0" xfId="0">
      <alignment horizontal="right" vertical="top" wrapText="1"/>
    </xf>
    <xf numFmtId="165" fontId="10" fillId="12" borderId="2" applyAlignment="1" pivotButton="0" quotePrefix="0" xfId="0">
      <alignment horizontal="right" vertical="top" wrapText="1"/>
    </xf>
    <xf numFmtId="0" fontId="9" fillId="12" borderId="2" applyAlignment="1" pivotButton="0" quotePrefix="0" xfId="0">
      <alignment horizontal="general" vertical="top" wrapText="1"/>
    </xf>
    <xf numFmtId="168" fontId="10" fillId="12" borderId="2" applyAlignment="1" pivotButton="0" quotePrefix="0" xfId="0">
      <alignment horizontal="right" vertical="top" wrapText="1"/>
    </xf>
    <xf numFmtId="165" fontId="10" fillId="12" borderId="2" applyAlignment="1" pivotButton="0" quotePrefix="0" xfId="0">
      <alignment horizontal="left" vertical="top" wrapText="1"/>
    </xf>
    <xf numFmtId="0" fontId="10" fillId="12" borderId="11" applyAlignment="1" pivotButton="0" quotePrefix="0" xfId="0">
      <alignment horizontal="center" vertical="top" wrapText="1"/>
    </xf>
    <xf numFmtId="0" fontId="10" fillId="12" borderId="11" applyAlignment="1" pivotButton="0" quotePrefix="0" xfId="0">
      <alignment horizontal="left" vertical="top" wrapText="1"/>
    </xf>
    <xf numFmtId="164" fontId="10" fillId="12" borderId="11" applyAlignment="1" pivotButton="0" quotePrefix="0" xfId="0">
      <alignment horizontal="center" vertical="top" wrapText="1"/>
    </xf>
    <xf numFmtId="0" fontId="10" fillId="12" borderId="11" applyAlignment="1" pivotButton="0" quotePrefix="0" xfId="0">
      <alignment horizontal="right" vertical="top" wrapText="1"/>
    </xf>
    <xf numFmtId="165" fontId="10" fillId="12" borderId="11" applyAlignment="1" pivotButton="0" quotePrefix="0" xfId="0">
      <alignment horizontal="right" vertical="top" wrapText="1"/>
    </xf>
    <xf numFmtId="0" fontId="9" fillId="12" borderId="11" applyAlignment="1" pivotButton="0" quotePrefix="0" xfId="0">
      <alignment horizontal="general" vertical="top" wrapText="1"/>
    </xf>
    <xf numFmtId="168" fontId="10" fillId="12" borderId="11" applyAlignment="1" pivotButton="0" quotePrefix="0" xfId="0">
      <alignment horizontal="right" vertical="top" wrapText="1"/>
    </xf>
    <xf numFmtId="165" fontId="10" fillId="12" borderId="11" applyAlignment="1" pivotButton="0" quotePrefix="0" xfId="0">
      <alignment horizontal="left" vertical="top" wrapText="1"/>
    </xf>
    <xf numFmtId="0" fontId="10" fillId="11" borderId="1" applyAlignment="1" pivotButton="0" quotePrefix="0" xfId="0">
      <alignment horizontal="center" vertical="top" wrapText="1"/>
    </xf>
    <xf numFmtId="0" fontId="10" fillId="12" borderId="1" applyAlignment="1" pivotButton="0" quotePrefix="0" xfId="0">
      <alignment horizontal="center" vertical="top" wrapText="1"/>
    </xf>
    <xf numFmtId="0" fontId="10" fillId="11" borderId="10" applyAlignment="1" pivotButton="0" quotePrefix="0" xfId="0">
      <alignment horizontal="center" vertical="top" wrapText="1"/>
    </xf>
    <xf numFmtId="0" fontId="10" fillId="12" borderId="10" applyAlignment="1" pivotButton="0" quotePrefix="0" xfId="0">
      <alignment horizontal="center" vertical="top" wrapText="1"/>
    </xf>
    <xf numFmtId="0" fontId="10" fillId="11" borderId="1" applyAlignment="1" pivotButton="0" quotePrefix="0" xfId="0">
      <alignment horizontal="left" vertical="top" wrapText="1"/>
    </xf>
    <xf numFmtId="0" fontId="10" fillId="12" borderId="1" applyAlignment="1" pivotButton="0" quotePrefix="0" xfId="0">
      <alignment horizontal="left" vertical="top" wrapText="1"/>
    </xf>
    <xf numFmtId="0" fontId="10" fillId="11" borderId="10" applyAlignment="1" pivotButton="0" quotePrefix="0" xfId="0">
      <alignment horizontal="left" vertical="top" wrapText="1"/>
    </xf>
    <xf numFmtId="0" fontId="10" fillId="12" borderId="10" applyAlignment="1" pivotButton="0" quotePrefix="0" xfId="0">
      <alignment horizontal="left" vertical="top" wrapText="1"/>
    </xf>
    <xf numFmtId="0" fontId="10" fillId="11" borderId="7" applyAlignment="1" pivotButton="0" quotePrefix="0" xfId="0">
      <alignment horizontal="center" vertical="top" wrapText="1"/>
    </xf>
    <xf numFmtId="0" fontId="10" fillId="12" borderId="18" applyAlignment="1" pivotButton="0" quotePrefix="0" xfId="0">
      <alignment horizontal="center" vertical="top" wrapText="1"/>
    </xf>
    <xf numFmtId="0" fontId="10" fillId="11" borderId="16" applyAlignment="1" pivotButton="0" quotePrefix="0" xfId="0">
      <alignment horizontal="center" vertical="top" wrapText="1"/>
    </xf>
    <xf numFmtId="0" fontId="10" fillId="12" borderId="19" applyAlignment="1" pivotButton="0" quotePrefix="0" xfId="0">
      <alignment horizontal="center" vertical="top" wrapText="1"/>
    </xf>
    <xf numFmtId="0" fontId="10" fillId="11" borderId="7" applyAlignment="1" pivotButton="0" quotePrefix="0" xfId="0">
      <alignment horizontal="left" vertical="top" wrapText="1"/>
    </xf>
    <xf numFmtId="0" fontId="10" fillId="12" borderId="18" applyAlignment="1" pivotButton="0" quotePrefix="0" xfId="0">
      <alignment horizontal="left" vertical="top" wrapText="1"/>
    </xf>
    <xf numFmtId="0" fontId="10" fillId="11" borderId="16" applyAlignment="1" pivotButton="0" quotePrefix="0" xfId="0">
      <alignment horizontal="left" vertical="top" wrapText="1"/>
    </xf>
    <xf numFmtId="0" fontId="10" fillId="12" borderId="19" applyAlignment="1" pivotButton="0" quotePrefix="0" xfId="0">
      <alignment horizontal="left" vertical="top" wrapText="1"/>
    </xf>
    <xf numFmtId="164" fontId="10" fillId="11" borderId="7" applyAlignment="1" pivotButton="0" quotePrefix="0" xfId="0">
      <alignment horizontal="center" vertical="top" wrapText="1"/>
    </xf>
    <xf numFmtId="164" fontId="10" fillId="12" borderId="1" applyAlignment="1" pivotButton="0" quotePrefix="0" xfId="0">
      <alignment horizontal="center" vertical="top" wrapText="1"/>
    </xf>
    <xf numFmtId="164" fontId="10" fillId="11" borderId="1" applyAlignment="1" pivotButton="0" quotePrefix="0" xfId="0">
      <alignment horizontal="center" vertical="top" wrapText="1"/>
    </xf>
    <xf numFmtId="164" fontId="10" fillId="12" borderId="18" applyAlignment="1" pivotButton="0" quotePrefix="0" xfId="0">
      <alignment horizontal="center" vertical="top" wrapText="1"/>
    </xf>
    <xf numFmtId="164" fontId="10" fillId="11" borderId="16" applyAlignment="1" pivotButton="0" quotePrefix="0" xfId="0">
      <alignment horizontal="center" vertical="top" wrapText="1"/>
    </xf>
    <xf numFmtId="164" fontId="10" fillId="12" borderId="10" applyAlignment="1" pivotButton="0" quotePrefix="0" xfId="0">
      <alignment horizontal="center" vertical="top" wrapText="1"/>
    </xf>
    <xf numFmtId="164" fontId="10" fillId="11" borderId="10" applyAlignment="1" pivotButton="0" quotePrefix="0" xfId="0">
      <alignment horizontal="center" vertical="top" wrapText="1"/>
    </xf>
    <xf numFmtId="164" fontId="10" fillId="12" borderId="19" applyAlignment="1" pivotButton="0" quotePrefix="0" xfId="0">
      <alignment horizontal="center" vertical="top" wrapText="1"/>
    </xf>
    <xf numFmtId="0" fontId="10" fillId="11" borderId="7" applyAlignment="1" pivotButton="0" quotePrefix="0" xfId="0">
      <alignment horizontal="right" vertical="top" wrapText="1"/>
    </xf>
    <xf numFmtId="0" fontId="10" fillId="12" borderId="1" applyAlignment="1" pivotButton="0" quotePrefix="0" xfId="0">
      <alignment horizontal="right" vertical="top" wrapText="1"/>
    </xf>
    <xf numFmtId="0" fontId="10" fillId="11" borderId="1" applyAlignment="1" pivotButton="0" quotePrefix="0" xfId="0">
      <alignment horizontal="right" vertical="top" wrapText="1"/>
    </xf>
    <xf numFmtId="0" fontId="10" fillId="12" borderId="18" applyAlignment="1" pivotButton="0" quotePrefix="0" xfId="0">
      <alignment horizontal="right" vertical="top" wrapText="1"/>
    </xf>
    <xf numFmtId="0" fontId="10" fillId="11" borderId="16" applyAlignment="1" pivotButton="0" quotePrefix="0" xfId="0">
      <alignment horizontal="right" vertical="top" wrapText="1"/>
    </xf>
    <xf numFmtId="0" fontId="10" fillId="12" borderId="10" applyAlignment="1" pivotButton="0" quotePrefix="0" xfId="0">
      <alignment horizontal="right" vertical="top" wrapText="1"/>
    </xf>
    <xf numFmtId="0" fontId="10" fillId="11" borderId="10" applyAlignment="1" pivotButton="0" quotePrefix="0" xfId="0">
      <alignment horizontal="right" vertical="top" wrapText="1"/>
    </xf>
    <xf numFmtId="0" fontId="10" fillId="12" borderId="19" applyAlignment="1" pivotButton="0" quotePrefix="0" xfId="0">
      <alignment horizontal="right" vertical="top" wrapText="1"/>
    </xf>
    <xf numFmtId="165" fontId="10" fillId="11" borderId="7" applyAlignment="1" pivotButton="0" quotePrefix="0" xfId="0">
      <alignment horizontal="right" vertical="top" wrapText="1"/>
    </xf>
    <xf numFmtId="165" fontId="10" fillId="12" borderId="1" applyAlignment="1" pivotButton="0" quotePrefix="0" xfId="0">
      <alignment horizontal="right" vertical="top" wrapText="1"/>
    </xf>
    <xf numFmtId="165" fontId="10" fillId="11" borderId="1" applyAlignment="1" pivotButton="0" quotePrefix="0" xfId="0">
      <alignment horizontal="right" vertical="top" wrapText="1"/>
    </xf>
    <xf numFmtId="165" fontId="10" fillId="12" borderId="18" applyAlignment="1" pivotButton="0" quotePrefix="0" xfId="0">
      <alignment horizontal="right" vertical="top" wrapText="1"/>
    </xf>
    <xf numFmtId="165" fontId="10" fillId="11" borderId="16" applyAlignment="1" pivotButton="0" quotePrefix="0" xfId="0">
      <alignment horizontal="right" vertical="top" wrapText="1"/>
    </xf>
    <xf numFmtId="165" fontId="10" fillId="12" borderId="10" applyAlignment="1" pivotButton="0" quotePrefix="0" xfId="0">
      <alignment horizontal="right" vertical="top" wrapText="1"/>
    </xf>
    <xf numFmtId="165" fontId="10" fillId="11" borderId="10" applyAlignment="1" pivotButton="0" quotePrefix="0" xfId="0">
      <alignment horizontal="right" vertical="top" wrapText="1"/>
    </xf>
    <xf numFmtId="165" fontId="10" fillId="12" borderId="19" applyAlignment="1" pivotButton="0" quotePrefix="0" xfId="0">
      <alignment horizontal="right" vertical="top" wrapText="1"/>
    </xf>
    <xf numFmtId="168" fontId="10" fillId="11" borderId="7" applyAlignment="1" pivotButton="0" quotePrefix="0" xfId="0">
      <alignment horizontal="right" vertical="top" wrapText="1"/>
    </xf>
    <xf numFmtId="168" fontId="10" fillId="12" borderId="1" applyAlignment="1" pivotButton="0" quotePrefix="0" xfId="0">
      <alignment horizontal="right" vertical="top" wrapText="1"/>
    </xf>
    <xf numFmtId="168" fontId="10" fillId="11" borderId="1" applyAlignment="1" pivotButton="0" quotePrefix="0" xfId="0">
      <alignment horizontal="right" vertical="top" wrapText="1"/>
    </xf>
    <xf numFmtId="168" fontId="10" fillId="12" borderId="18" applyAlignment="1" pivotButton="0" quotePrefix="0" xfId="0">
      <alignment horizontal="right" vertical="top" wrapText="1"/>
    </xf>
    <xf numFmtId="168" fontId="10" fillId="11" borderId="16" applyAlignment="1" pivotButton="0" quotePrefix="0" xfId="0">
      <alignment horizontal="right" vertical="top" wrapText="1"/>
    </xf>
    <xf numFmtId="168" fontId="10" fillId="12" borderId="10" applyAlignment="1" pivotButton="0" quotePrefix="0" xfId="0">
      <alignment horizontal="right" vertical="top" wrapText="1"/>
    </xf>
    <xf numFmtId="168" fontId="10" fillId="11" borderId="10" applyAlignment="1" pivotButton="0" quotePrefix="0" xfId="0">
      <alignment horizontal="right" vertical="top" wrapText="1"/>
    </xf>
    <xf numFmtId="168" fontId="10" fillId="12" borderId="19" applyAlignment="1" pivotButton="0" quotePrefix="0" xfId="0">
      <alignment horizontal="right" vertical="top" wrapText="1"/>
    </xf>
    <xf numFmtId="165" fontId="10" fillId="11" borderId="7" applyAlignment="1" pivotButton="0" quotePrefix="0" xfId="0">
      <alignment horizontal="left" vertical="top" wrapText="1"/>
    </xf>
    <xf numFmtId="165" fontId="10" fillId="12" borderId="1" applyAlignment="1" pivotButton="0" quotePrefix="0" xfId="0">
      <alignment horizontal="left" vertical="top" wrapText="1"/>
    </xf>
    <xf numFmtId="165" fontId="10" fillId="11" borderId="1" applyAlignment="1" pivotButton="0" quotePrefix="0" xfId="0">
      <alignment horizontal="left" vertical="top" wrapText="1"/>
    </xf>
    <xf numFmtId="165" fontId="10" fillId="12" borderId="18" applyAlignment="1" pivotButton="0" quotePrefix="0" xfId="0">
      <alignment horizontal="left" vertical="top" wrapText="1"/>
    </xf>
    <xf numFmtId="165" fontId="10" fillId="11" borderId="16" applyAlignment="1" pivotButton="0" quotePrefix="0" xfId="0">
      <alignment horizontal="left" vertical="top" wrapText="1"/>
    </xf>
    <xf numFmtId="165" fontId="10" fillId="12" borderId="10" applyAlignment="1" pivotButton="0" quotePrefix="0" xfId="0">
      <alignment horizontal="left" vertical="top" wrapText="1"/>
    </xf>
    <xf numFmtId="165" fontId="10" fillId="11" borderId="10" applyAlignment="1" pivotButton="0" quotePrefix="0" xfId="0">
      <alignment horizontal="left" vertical="top" wrapText="1"/>
    </xf>
    <xf numFmtId="165" fontId="10" fillId="12" borderId="19" applyAlignment="1" pivotButton="0" quotePrefix="0" xfId="0">
      <alignment horizontal="left" vertical="top" wrapText="1"/>
    </xf>
    <xf numFmtId="0" fontId="0" fillId="13" borderId="0" pivotButton="0" quotePrefix="0" xfId="0"/>
    <xf numFmtId="0" fontId="15" fillId="13" borderId="0" pivotButton="0" quotePrefix="0" xfId="0"/>
    <xf numFmtId="0" fontId="15" fillId="13" borderId="20" pivotButton="0" quotePrefix="0" xfId="0"/>
    <xf numFmtId="0" fontId="15" fillId="13" borderId="20" applyAlignment="1" pivotButton="0" quotePrefix="0" xfId="0">
      <alignment wrapText="1"/>
    </xf>
    <xf numFmtId="0" fontId="15" fillId="13" borderId="20" applyAlignment="1" pivotButton="0" quotePrefix="0" xfId="0">
      <alignment horizontal="center" wrapText="1"/>
    </xf>
    <xf numFmtId="0" fontId="15" fillId="13" borderId="20" applyAlignment="1" pivotButton="0" quotePrefix="0" xfId="0">
      <alignment horizontal="center" vertical="center" wrapText="1"/>
    </xf>
    <xf numFmtId="0" fontId="16" fillId="0" borderId="0" pivotButton="0" quotePrefix="0" xfId="0"/>
    <xf numFmtId="0" fontId="16" fillId="0" borderId="21" pivotButton="0" quotePrefix="0" xfId="0"/>
    <xf numFmtId="0" fontId="16" fillId="0" borderId="21" applyAlignment="1" pivotButton="0" quotePrefix="0" xfId="0">
      <alignment wrapText="1"/>
    </xf>
    <xf numFmtId="0" fontId="16" fillId="0" borderId="21" applyAlignment="1" pivotButton="0" quotePrefix="0" xfId="0">
      <alignment vertical="top" wrapText="1"/>
    </xf>
    <xf numFmtId="169" fontId="16" fillId="0" borderId="21" applyAlignment="1" pivotButton="0" quotePrefix="0" xfId="0">
      <alignment vertical="top" wrapText="1"/>
    </xf>
    <xf numFmtId="1" fontId="16" fillId="0" borderId="21" applyAlignment="1" pivotButton="0" quotePrefix="0" xfId="0">
      <alignment vertical="top" wrapText="1"/>
    </xf>
    <xf numFmtId="170" fontId="16" fillId="0" borderId="21" applyAlignment="1" pivotButton="0" quotePrefix="0" xfId="0">
      <alignment vertical="top" wrapText="1"/>
    </xf>
    <xf numFmtId="171" fontId="16" fillId="0" borderId="21" applyAlignment="1" pivotButton="0" quotePrefix="0" xfId="0">
      <alignment vertical="top" wrapText="1"/>
    </xf>
    <xf numFmtId="170" fontId="16" fillId="0" borderId="21" applyAlignment="1" pivotButton="0" quotePrefix="0" xfId="0">
      <alignment horizontal="right" vertical="top" wrapText="1"/>
    </xf>
    <xf numFmtId="0" fontId="16" fillId="0" borderId="21" applyAlignment="1" pivotButton="0" quotePrefix="0" xfId="0">
      <alignment horizontal="right" vertical="top" wrapText="1"/>
    </xf>
    <xf numFmtId="171" fontId="16" fillId="0" borderId="21" applyAlignment="1" pivotButton="0" quotePrefix="0" xfId="0">
      <alignment horizontal="right" vertical="top" wrapText="1"/>
    </xf>
    <xf numFmtId="0" fontId="4" fillId="13" borderId="0" pivotButton="0" quotePrefix="0" xfId="0"/>
    <xf numFmtId="0" fontId="4" fillId="13" borderId="0" applyAlignment="1" pivotButton="0" quotePrefix="0" xfId="0">
      <alignment wrapText="1"/>
    </xf>
    <xf numFmtId="0" fontId="0" fillId="0" borderId="21" pivotButton="0" quotePrefix="0" xfId="0"/>
    <xf numFmtId="0" fontId="0" fillId="0" borderId="21" applyAlignment="1" pivotButton="0" quotePrefix="0" xfId="0">
      <alignment wrapText="1"/>
    </xf>
    <xf numFmtId="0" fontId="0" fillId="0" borderId="21" applyAlignment="1" pivotButton="0" quotePrefix="0" xfId="0">
      <alignment vertical="top" wrapText="1"/>
    </xf>
    <xf numFmtId="0" fontId="1" fillId="13" borderId="0" pivotButton="0" quotePrefix="0" xfId="0"/>
    <xf numFmtId="0" fontId="1" fillId="13" borderId="0" applyAlignment="1" pivotButton="0" quotePrefix="0" xfId="0">
      <alignment vertical="center"/>
    </xf>
    <xf numFmtId="0" fontId="0" fillId="14" borderId="0" pivotButton="0" quotePrefix="0" xfId="0"/>
    <xf numFmtId="0" fontId="17" fillId="14" borderId="0" pivotButton="0" quotePrefix="0" xfId="0"/>
    <xf numFmtId="0" fontId="17" fillId="14" borderId="0" applyAlignment="1" pivotButton="0" quotePrefix="0" xfId="0">
      <alignment vertical="center"/>
    </xf>
    <xf numFmtId="0" fontId="18" fillId="14" borderId="0" pivotButton="0" quotePrefix="0" xfId="0"/>
    <xf numFmtId="0" fontId="18" fillId="14" borderId="20" pivotButton="0" quotePrefix="0" xfId="0"/>
    <xf numFmtId="0" fontId="0" fillId="15" borderId="0" pivotButton="0" quotePrefix="0" xfId="0"/>
    <xf numFmtId="0" fontId="19" fillId="15" borderId="0" pivotButton="0" quotePrefix="0" xfId="0"/>
    <xf numFmtId="0" fontId="19" fillId="15" borderId="20" pivotButton="0" quotePrefix="0" xfId="0"/>
    <xf numFmtId="3" fontId="19" fillId="15" borderId="20" pivotButton="0" quotePrefix="0" xfId="0"/>
    <xf numFmtId="3" fontId="19" fillId="15" borderId="20" applyAlignment="1" pivotButton="0" quotePrefix="0" xfId="0">
      <alignment horizontal="center"/>
    </xf>
    <xf numFmtId="0" fontId="4" fillId="13" borderId="0" applyAlignment="1" pivotButton="0" quotePrefix="0" xfId="0">
      <alignment horizontal="center"/>
    </xf>
    <xf numFmtId="3" fontId="0" fillId="0" borderId="21" pivotButton="0" quotePrefix="0" xfId="0"/>
    <xf numFmtId="3" fontId="0" fillId="0" borderId="21" applyAlignment="1" pivotButton="0" quotePrefix="0" xfId="0">
      <alignment horizontal="center"/>
    </xf>
    <xf numFmtId="0" fontId="18" fillId="14" borderId="21" pivotButton="0" quotePrefix="0" xfId="0"/>
    <xf numFmtId="0" fontId="0" fillId="0" borderId="21" applyAlignment="1" pivotButton="0" quotePrefix="0" xfId="0">
      <alignment vertical="center" wrapText="1"/>
    </xf>
    <xf numFmtId="0" fontId="18" fillId="0" borderId="21" applyAlignment="1" pivotButton="0" quotePrefix="0" xfId="0">
      <alignment wrapText="1"/>
    </xf>
    <xf numFmtId="0" fontId="20" fillId="13" borderId="0" applyAlignment="1" pivotButton="0" quotePrefix="0" xfId="0">
      <alignment vertical="center"/>
    </xf>
    <xf numFmtId="0" fontId="21" fillId="14" borderId="0" applyAlignment="1" pivotButton="0" quotePrefix="0" xfId="0">
      <alignment vertical="center"/>
    </xf>
    <xf numFmtId="0" fontId="22" fillId="0" borderId="0" pivotButton="0" quotePrefix="0" xfId="0"/>
    <xf numFmtId="0" fontId="23" fillId="14" borderId="20" pivotButton="0" quotePrefix="0" xfId="0"/>
    <xf numFmtId="3" fontId="24" fillId="15" borderId="20" applyAlignment="1" pivotButton="0" quotePrefix="0" xfId="0">
      <alignment horizontal="center"/>
    </xf>
    <xf numFmtId="0" fontId="25" fillId="13" borderId="0" applyAlignment="1" pivotButton="0" quotePrefix="0" xfId="0">
      <alignment horizontal="center"/>
    </xf>
    <xf numFmtId="3" fontId="22" fillId="0" borderId="21" applyAlignment="1" pivotButton="0" quotePrefix="0" xfId="0">
      <alignment horizontal="center"/>
    </xf>
    <xf numFmtId="0" fontId="25" fillId="13" borderId="0" pivotButton="0" quotePrefix="0" xfId="0"/>
    <xf numFmtId="0" fontId="23" fillId="14" borderId="21" pivotButton="0" quotePrefix="0" xfId="0"/>
    <xf numFmtId="0" fontId="22" fillId="0" borderId="21" applyAlignment="1" pivotButton="0" quotePrefix="0" xfId="0">
      <alignment vertical="center" wrapText="1"/>
    </xf>
    <xf numFmtId="0" fontId="23" fillId="0" borderId="21" applyAlignment="1" pivotButton="0" quotePrefix="0" xfId="0">
      <alignment wrapText="1"/>
    </xf>
    <xf numFmtId="0" fontId="22" fillId="0" borderId="21" applyAlignment="1" pivotButton="0" quotePrefix="0" xfId="0">
      <alignment wrapText="1"/>
    </xf>
    <xf numFmtId="0" fontId="20" fillId="13" borderId="9" applyAlignment="1" pivotButton="0" quotePrefix="0" xfId="0">
      <alignment vertical="center"/>
    </xf>
    <xf numFmtId="0" fontId="21" fillId="14" borderId="9" applyAlignment="1" pivotButton="0" quotePrefix="0" xfId="0">
      <alignment vertical="center"/>
    </xf>
    <xf numFmtId="3" fontId="24" fillId="15" borderId="20" applyAlignment="1" pivotButton="0" quotePrefix="0" xfId="0">
      <alignment horizontal="center"/>
    </xf>
    <xf numFmtId="3" fontId="22" fillId="0" borderId="21" applyAlignment="1" pivotButton="0" quotePrefix="0" xfId="0">
      <alignment horizontal="center"/>
    </xf>
    <xf numFmtId="0" fontId="25" fillId="13" borderId="9" pivotButton="0" quotePrefix="0" xfId="0"/>
    <xf numFmtId="0" fontId="0" fillId="0" borderId="24" pivotButton="0" quotePrefix="0" xfId="0"/>
    <xf numFmtId="0" fontId="0" fillId="0" borderId="25" pivotButton="0" quotePrefix="0" xfId="0"/>
    <xf numFmtId="169" fontId="16" fillId="0" borderId="21" applyAlignment="1" pivotButton="0" quotePrefix="0" xfId="0">
      <alignment vertical="top" wrapText="1"/>
    </xf>
    <xf numFmtId="1" fontId="16" fillId="0" borderId="21" applyAlignment="1" pivotButton="0" quotePrefix="0" xfId="0">
      <alignment vertical="top" wrapText="1"/>
    </xf>
    <xf numFmtId="170" fontId="16" fillId="0" borderId="21" applyAlignment="1" pivotButton="0" quotePrefix="0" xfId="0">
      <alignment vertical="top" wrapText="1"/>
    </xf>
    <xf numFmtId="171" fontId="16" fillId="0" borderId="21" applyAlignment="1" pivotButton="0" quotePrefix="0" xfId="0">
      <alignment vertical="top" wrapText="1"/>
    </xf>
    <xf numFmtId="170" fontId="16" fillId="0" borderId="21" applyAlignment="1" pivotButton="0" quotePrefix="0" xfId="0">
      <alignment horizontal="right" vertical="top" wrapText="1"/>
    </xf>
    <xf numFmtId="171" fontId="16" fillId="0" borderId="21" applyAlignment="1" pivotButton="0" quotePrefix="0" xfId="0">
      <alignment horizontal="right" vertical="top" wrapText="1"/>
    </xf>
  </cellXfs>
  <cellStyles count="2">
    <cellStyle name="Normal" xfId="0"/>
    <cellStyle name="Hyperlink" xfId="1"/>
  </cellStyles>
  <dxfs count="2">
    <dxf>
      <font>
        <b val="1"/>
        <color rgb="FF006100"/>
      </font>
      <fill>
        <patternFill patternType="solid">
          <bgColor rgb="FFC6EFCE"/>
        </patternFill>
      </fill>
    </dxf>
    <dxf>
      <font>
        <b val="1"/>
        <color rgb="FF9C0006"/>
      </font>
      <fill>
        <patternFill patternType="solid">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4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70AD47"/>
      <rgbColor rgb="FF1F3864"/>
      <rgbColor rgb="FF339966"/>
      <rgbColor rgb="FF111827"/>
      <rgbColor rgb="FF333300"/>
      <rgbColor rgb="FF993300"/>
      <rgbColor rgb="FF993366"/>
      <rgbColor rgb="FF305496"/>
      <rgbColor rgb="FF26262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lstStyle/>
          <a:p>
            <a:r>
              <a:t>Verified completed transactions by year</a:t>
            </a:r>
          </a:p>
        </rich>
      </tx>
    </title>
    <plotArea>
      <barChart>
        <barDir val="col"/>
        <grouping val="clustered"/>
        <varyColors val="0"/>
        <ser>
          <idx val="0"/>
          <order val="0"/>
          <tx>
            <v>Transactions</v>
          </tx>
          <spPr>
            <a:ln>
              <a:prstDash val="solid"/>
            </a:ln>
          </spPr>
          <cat>
            <strRef>
              <f>'Dashboard'!$E$6:$E$9</f>
              <strCache>
                <ptCount val="0"/>
              </strCache>
            </strRef>
          </cat>
          <val>
            <numRef>
              <f>'Dashboard'!$F$6:$F$9</f>
              <numCache>
                <formatCode>#,##0</formatCode>
                <ptCount val="0"/>
              </numCache>
            </numRef>
          </val>
        </ser>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w="9525">
              <a:solidFill>
                <a:srgbClr val="CCCCCC"/>
              </a:solidFill>
              <a:prstDash val="dash"/>
            </a:ln>
          </spPr>
        </majorGridlines>
        <numFmt formatCode="0" sourceLinked="0"/>
        <majorTickMark val="none"/>
        <minorTickMark val="none"/>
        <crossAx val="48650112"/>
        <crossBetween val="between"/>
      </valAx>
    </plotArea>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0</colOff>
      <row>4</row>
      <rowOff>0</rowOff>
    </from>
    <to>
      <col>11</col>
      <colOff>0</colOff>
      <row>10</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MasterVerifiedTable" displayName="MasterVerifiedTable" ref="A1:W219" headerRowCount="1" totalsRowCount="0" totalsRowShown="0">
  <tableColumns count="23">
    <tableColumn id="1" name="Deal ID"/>
    <tableColumn id="2" name="Region"/>
    <tableColumn id="3" name="Target Country"/>
    <tableColumn id="4" name="Target / Asset"/>
    <tableColumn id="5" name="Acquirer"/>
    <tableColumn id="6" name="Acquirer Country"/>
    <tableColumn id="7" name="Seller"/>
    <tableColumn id="8" name="Announcement Date"/>
    <tableColumn id="9" name="Completion Date"/>
    <tableColumn id="10" name="Deal Year"/>
    <tableColumn id="11" name="Transaction Type"/>
    <tableColumn id="12" name="Deal Structure"/>
    <tableColumn id="13" name="Deal Status"/>
    <tableColumn id="14" name="Deal Value (USD mn)"/>
    <tableColumn id="15" name="Currency"/>
    <tableColumn id="16" name="Hardware / Software / Services"/>
    <tableColumn id="17" name="A&amp;D Domain"/>
    <tableColumn id="18" name="Inclusion Tier"/>
    <tableColumn id="19" name="Relevance Rationale"/>
    <tableColumn id="20" name="Reliability"/>
    <tableColumn id="21" name="Source URL"/>
    <tableColumn id="22" name="Source Type"/>
    <tableColumn id="23" name="Notes"/>
  </tableColumns>
  <tableStyleInfo name="TableStyleMedium2" showFirstColumn="0" showLastColumn="0" showRowStripes="1" showColumnStripes="0"/>
</table>
</file>

<file path=xl/tables/table2.xml><?xml version="1.0" encoding="utf-8"?>
<table xmlns="http://schemas.openxmlformats.org/spreadsheetml/2006/main" id="2" name="EuropeVerifiedTable" displayName="EuropeVerifiedTable" ref="A1:AB130" headerRowCount="1" totalsRowCount="0" totalsRowShown="0">
  <autoFilter ref="A1:AB130"/>
  <tableColumns count="28">
    <tableColumn id="1" name="Deal ID"/>
    <tableColumn id="2" name="Region"/>
    <tableColumn id="3" name="Target Country"/>
    <tableColumn id="4" name="Target / Business"/>
    <tableColumn id="5" name="Acquirer"/>
    <tableColumn id="6" name="Acquirer Country"/>
    <tableColumn id="7" name="Seller"/>
    <tableColumn id="8" name="Announcement Date"/>
    <tableColumn id="9" name="Completion / IPO Date"/>
    <tableColumn id="10" name="Deal Year"/>
    <tableColumn id="11" name="Transaction Type"/>
    <tableColumn id="12" name="Deal Structure"/>
    <tableColumn id="13" name="Ownership Acquired"/>
    <tableColumn id="14" name="Deal Status"/>
    <tableColumn id="15" name="Native Deal Value (mn)"/>
    <tableColumn id="16" name="Currency"/>
    <tableColumn id="17" name="Deal Value (USD mn)"/>
    <tableColumn id="18" name="Value Basis"/>
    <tableColumn id="19" name="Hardware / Software / Services"/>
    <tableColumn id="20" name="A&amp;D Domain"/>
    <tableColumn id="21" name="Inclusion Tier"/>
    <tableColumn id="22" name="Scope Evidence"/>
    <tableColumn id="23" name="Deal Synopsis"/>
    <tableColumn id="24" name="Company Website"/>
    <tableColumn id="25" name="Verification Status"/>
    <tableColumn id="26" name="Primary Source URL"/>
    <tableColumn id="27" name="Secondary Source URL"/>
    <tableColumn id="28" name="Audit Notes"/>
  </tableColumns>
  <tableStyleInfo name="TableStyleMedium2" showFirstColumn="0" showLastColumn="0" showRowStripes="1" showColumnStripes="0"/>
</table>
</file>

<file path=xl/tables/table3.xml><?xml version="1.0" encoding="utf-8"?>
<table xmlns="http://schemas.openxmlformats.org/spreadsheetml/2006/main" id="3" name="EuropePendingTable" displayName="EuropePendingTable" ref="A1:AB15" headerRowCount="1" totalsRowCount="0" totalsRowShown="0">
  <autoFilter ref="A1:AB15"/>
  <tableColumns count="28">
    <tableColumn id="1" name="Deal ID"/>
    <tableColumn id="2" name="Region"/>
    <tableColumn id="3" name="Target Country"/>
    <tableColumn id="4" name="Target / Business"/>
    <tableColumn id="5" name="Acquirer"/>
    <tableColumn id="6" name="Acquirer Country"/>
    <tableColumn id="7" name="Seller"/>
    <tableColumn id="8" name="Announcement Date"/>
    <tableColumn id="9" name="Completion / IPO Date"/>
    <tableColumn id="10" name="Deal Year"/>
    <tableColumn id="11" name="Transaction Type"/>
    <tableColumn id="12" name="Deal Structure"/>
    <tableColumn id="13" name="Ownership Acquired"/>
    <tableColumn id="14" name="Deal Status"/>
    <tableColumn id="15" name="Native Deal Value (mn)"/>
    <tableColumn id="16" name="Currency"/>
    <tableColumn id="17" name="Deal Value (USD mn)"/>
    <tableColumn id="18" name="Value Basis"/>
    <tableColumn id="19" name="Hardware / Software / Services"/>
    <tableColumn id="20" name="A&amp;D Domain"/>
    <tableColumn id="21" name="Inclusion Tier"/>
    <tableColumn id="22" name="Scope Evidence"/>
    <tableColumn id="23" name="Deal Synopsis"/>
    <tableColumn id="24" name="Company Website"/>
    <tableColumn id="25" name="Verification Status"/>
    <tableColumn id="26" name="Primary Source URL"/>
    <tableColumn id="27" name="Secondary Source URL"/>
    <tableColumn id="28" name="Audit Notes"/>
  </tableColumns>
  <tableStyleInfo name="TableStyleMedium2" showFirstColumn="0" showLastColumn="0" showRowStripes="1" showColumnStripes="0"/>
</table>
</file>

<file path=xl/tables/table4.xml><?xml version="1.0" encoding="utf-8"?>
<table xmlns="http://schemas.openxmlformats.org/spreadsheetml/2006/main" id="4" name="EuropeAuditTable" displayName="EuropeAuditTable" ref="A1:K252" headerRowCount="1" totalsRowCount="0" totalsRowShown="0">
  <autoFilter ref="A1:K252"/>
  <tableColumns count="11">
    <tableColumn id="1" name="Original Excel Row"/>
    <tableColumn id="2" name="Original Deal ID"/>
    <tableColumn id="3" name="Original Target"/>
    <tableColumn id="4" name="Final Deal ID"/>
    <tableColumn id="5" name="Final / Reviewed Target"/>
    <tableColumn id="6" name="Decision"/>
    <tableColumn id="7" name="Confidence"/>
    <tableColumn id="8" name="Correction / Exclusion Note"/>
    <tableColumn id="9" name="Scope Evidence"/>
    <tableColumn id="10" name="Primary Source"/>
    <tableColumn id="11" name="Primary Source URL"/>
  </tableColumns>
  <tableStyleInfo name="TableStyleMedium2" showFirstColumn="0" showLastColumn="0" showRowStripes="1" showColumnStripes="0"/>
</table>
</file>

<file path=xl/tables/table5.xml><?xml version="1.0" encoding="utf-8"?>
<table xmlns="http://schemas.openxmlformats.org/spreadsheetml/2006/main" id="5" name="SourcesAuditTable" displayName="SourcesAuditTable" ref="A1:H144" headerRowCount="1" totalsRowCount="0" totalsRowShown="0">
  <autoFilter ref="A1:H144"/>
  <tableColumns count="8">
    <tableColumn id="1" name="Deal ID"/>
    <tableColumn id="2" name="Target"/>
    <tableColumn id="3" name="Claim Verified"/>
    <tableColumn id="4" name="Primary Source"/>
    <tableColumn id="5" name="Primary Source URL"/>
    <tableColumn id="6" name="Secondary Source URL"/>
    <tableColumn id="7" name="Reviewed Through"/>
    <tableColumn id="8" name="Source / Correction Not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7.xml.rels><Relationships xmlns="http://schemas.openxmlformats.org/package/2006/relationships"><Relationship Type="http://schemas.openxmlformats.org/officeDocument/2006/relationships/table" Target="/xl/tables/table2.xml" Id="rId1" /></Relationships>
</file>

<file path=xl/worksheets/_rels/sheet9.xml.rels><Relationships xmlns="http://schemas.openxmlformats.org/package/2006/relationships"><Relationship Type="http://schemas.openxmlformats.org/officeDocument/2006/relationships/table" Target="/xl/tables/table3.xml" Id="rId1" /></Relationships>
</file>

<file path=xl/worksheets/_rels/sheet10.xml.rels><Relationships xmlns="http://schemas.openxmlformats.org/package/2006/relationships"><Relationship Type="http://schemas.openxmlformats.org/officeDocument/2006/relationships/table" Target="/xl/tables/table4.xml" Id="rId1" /></Relationships>
</file>

<file path=xl/worksheets/_rels/sheet11.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tabColor rgb="FF1F3864"/>
    <outlinePr summaryBelow="1" summaryRight="1"/>
    <pageSetUpPr/>
  </sheetPr>
  <dimension ref="B2:K26"/>
  <sheetViews>
    <sheetView showGridLines="0" workbookViewId="0">
      <selection activeCell="A1" sqref="A1"/>
    </sheetView>
  </sheetViews>
  <sheetFormatPr baseColWidth="8" defaultColWidth="8.7109375" defaultRowHeight="15"/>
  <cols>
    <col width="4" customWidth="1" min="1" max="1"/>
    <col width="30" customWidth="1" min="2" max="2"/>
    <col width="28" customWidth="1" min="3" max="3"/>
    <col width="3" customWidth="1" min="4" max="4"/>
    <col width="18" customWidth="1" min="5" max="5"/>
    <col width="18" customWidth="1" min="6" max="6"/>
    <col width="12" customWidth="1" min="7" max="7"/>
    <col width="12" customWidth="1" min="8" max="8"/>
    <col width="12" customWidth="1" min="9" max="9"/>
    <col width="12" customWidth="1" min="10" max="10"/>
    <col width="12" customWidth="1" min="11" max="11"/>
  </cols>
  <sheetData>
    <row r="1" ht="22.5" customHeight="1"/>
    <row r="2" ht="34" customHeight="1">
      <c r="B2" s="396" t="inlineStr">
        <is>
          <t>Verified European Aerospace &amp; Defence Technology Transactions</t>
        </is>
      </c>
      <c r="C2" s="105" t="n"/>
      <c r="D2" s="105" t="n"/>
      <c r="E2" s="105" t="n"/>
      <c r="F2" s="105" t="n"/>
      <c r="G2" s="105" t="n"/>
      <c r="H2" s="105" t="n"/>
      <c r="I2" s="105" t="n"/>
      <c r="J2" s="105" t="n"/>
      <c r="K2" s="105" t="n"/>
    </row>
    <row r="3" ht="15" customHeight="1">
      <c r="B3" s="397" t="inlineStr">
        <is>
          <t>Completed IPO and change-of-control transactions | 2023-01-01 to 2026-08-02 | Strict public-source verification</t>
        </is>
      </c>
      <c r="C3" s="105" t="n"/>
      <c r="D3" s="105" t="n"/>
      <c r="E3" s="105" t="n"/>
      <c r="F3" s="105" t="n"/>
      <c r="G3" s="105" t="n"/>
      <c r="H3" s="105" t="n"/>
      <c r="I3" s="105" t="n"/>
      <c r="J3" s="105" t="n"/>
      <c r="K3" s="105" t="n"/>
    </row>
    <row r="4" ht="21.75" customHeight="1">
      <c r="B4" s="386" t="n"/>
      <c r="C4" s="386" t="n"/>
      <c r="D4" s="386" t="n"/>
      <c r="E4" s="386" t="n"/>
      <c r="F4" s="386" t="n"/>
      <c r="G4" s="386" t="n"/>
      <c r="H4" s="386" t="n"/>
      <c r="I4" s="386" t="n"/>
      <c r="J4" s="386" t="n"/>
      <c r="K4" s="386" t="n"/>
    </row>
    <row r="5" ht="13.5" customHeight="1">
      <c r="B5" s="387" t="inlineStr">
        <is>
          <t>Completed transactions</t>
        </is>
      </c>
      <c r="C5" s="398">
        <f>COUNTA('Europe'!A2:A134)</f>
        <v/>
      </c>
      <c r="D5" s="386" t="n"/>
      <c r="E5" s="389" t="inlineStr">
        <is>
          <t>Completion year</t>
        </is>
      </c>
      <c r="F5" s="389" t="inlineStr">
        <is>
          <t>Transactions</t>
        </is>
      </c>
      <c r="G5" s="386" t="n"/>
      <c r="H5" s="386" t="n"/>
      <c r="I5" s="386" t="n"/>
      <c r="J5" s="386" t="n"/>
      <c r="K5" s="386" t="n"/>
    </row>
    <row r="6" ht="25.5" customHeight="1">
      <c r="B6" s="387" t="inlineStr">
        <is>
          <t>M&amp;A</t>
        </is>
      </c>
      <c r="C6" s="398">
        <f>COUNTIF('Europe'!K2:K134,"M&amp;A")</f>
        <v/>
      </c>
      <c r="D6" s="386" t="n"/>
      <c r="E6" s="399" t="n">
        <v>2023</v>
      </c>
      <c r="F6" s="399">
        <f>COUNTIF('Europe'!J2:J134,E6)</f>
        <v/>
      </c>
      <c r="G6" s="386" t="n"/>
      <c r="H6" s="386" t="n"/>
      <c r="I6" s="386" t="n"/>
      <c r="J6" s="386" t="n"/>
      <c r="K6" s="386" t="n"/>
    </row>
    <row r="7" ht="13.5" customHeight="1">
      <c r="B7" s="387" t="inlineStr">
        <is>
          <t>IPOs</t>
        </is>
      </c>
      <c r="C7" s="398">
        <f>COUNTIF('Europe'!K2:K134,"IPO")</f>
        <v/>
      </c>
      <c r="D7" s="386" t="n"/>
      <c r="E7" s="399" t="n">
        <v>2024</v>
      </c>
      <c r="F7" s="399">
        <f>COUNTIF('Europe'!J2:J134,E7)</f>
        <v/>
      </c>
      <c r="G7" s="386" t="n"/>
      <c r="H7" s="386" t="n"/>
      <c r="I7" s="386" t="n"/>
      <c r="J7" s="386" t="n"/>
      <c r="K7" s="386" t="n"/>
    </row>
    <row r="8" ht="21.75" customHeight="1">
      <c r="B8" s="387" t="inlineStr">
        <is>
          <t>Pending pipeline</t>
        </is>
      </c>
      <c r="C8" s="398">
        <f>COUNTA('Europe_Pending'!A2:A15)</f>
        <v/>
      </c>
      <c r="D8" s="386" t="n"/>
      <c r="E8" s="399" t="n">
        <v>2025</v>
      </c>
      <c r="F8" s="399">
        <f>COUNTIF('Europe'!J2:J134,E8)</f>
        <v/>
      </c>
      <c r="G8" s="386" t="n"/>
      <c r="H8" s="386" t="n"/>
      <c r="I8" s="386" t="n"/>
      <c r="J8" s="386" t="n"/>
      <c r="K8" s="386" t="n"/>
    </row>
    <row r="9" ht="21.75" customHeight="1">
      <c r="B9" s="386" t="n"/>
      <c r="C9" s="386" t="n"/>
      <c r="D9" s="386" t="n"/>
      <c r="E9" s="399" t="n">
        <v>2026</v>
      </c>
      <c r="F9" s="399">
        <f>COUNTIF('Europe'!J2:J134,E9)</f>
        <v/>
      </c>
      <c r="G9" s="386" t="n"/>
      <c r="H9" s="386" t="n"/>
      <c r="I9" s="386" t="n"/>
      <c r="J9" s="386" t="n"/>
      <c r="K9" s="386" t="n"/>
    </row>
    <row r="10" ht="21.75" customHeight="1">
      <c r="B10" s="386" t="n"/>
      <c r="C10" s="386" t="n"/>
      <c r="D10" s="386" t="n"/>
      <c r="E10" s="386" t="n"/>
      <c r="F10" s="386" t="n"/>
      <c r="G10" s="386" t="n"/>
      <c r="H10" s="386" t="n"/>
      <c r="I10" s="386" t="n"/>
      <c r="J10" s="386" t="n"/>
      <c r="K10" s="386" t="n"/>
    </row>
    <row r="11" ht="21.75" customHeight="1">
      <c r="B11" s="400" t="inlineStr">
        <is>
          <t>Scope and audit controls</t>
        </is>
      </c>
      <c r="C11" s="105" t="n"/>
      <c r="D11" s="105" t="n"/>
      <c r="E11" s="105" t="n"/>
      <c r="F11" s="105" t="n"/>
      <c r="G11" s="105" t="n"/>
      <c r="H11" s="105" t="n"/>
      <c r="I11" s="105" t="n"/>
      <c r="J11" s="105" t="n"/>
      <c r="K11" s="105" t="n"/>
    </row>
    <row r="12" ht="21.75" customHeight="1">
      <c r="B12" s="392" t="inlineStr">
        <is>
          <t>Completed population</t>
        </is>
      </c>
      <c r="C12" s="393" t="inlineStr">
        <is>
          <t>Europe sheet only; sorted by completion/IPO date.</t>
        </is>
      </c>
      <c r="D12" s="401" t="n"/>
      <c r="E12" s="401" t="n"/>
      <c r="F12" s="401" t="n"/>
      <c r="G12" s="401" t="n"/>
      <c r="H12" s="401" t="n"/>
      <c r="I12" s="401" t="n"/>
      <c r="J12" s="401" t="n"/>
      <c r="K12" s="402" t="n"/>
    </row>
    <row r="13" ht="21.75" customHeight="1">
      <c r="B13" s="392" t="inlineStr">
        <is>
          <t>Pending transactions</t>
        </is>
      </c>
      <c r="C13" s="393" t="inlineStr">
        <is>
          <t>Europe_Pending; excluded from completed KPIs.</t>
        </is>
      </c>
      <c r="D13" s="401" t="n"/>
      <c r="E13" s="401" t="n"/>
      <c r="F13" s="401" t="n"/>
      <c r="G13" s="401" t="n"/>
      <c r="H13" s="401" t="n"/>
      <c r="I13" s="401" t="n"/>
      <c r="J13" s="401" t="n"/>
      <c r="K13" s="402" t="n"/>
    </row>
    <row r="14" ht="21.75" customHeight="1">
      <c r="B14" s="392" t="inlineStr">
        <is>
          <t>Exclusions and corrections</t>
        </is>
      </c>
      <c r="C14" s="393" t="inlineStr">
        <is>
          <t>Europe_Audit_Log records a decision for every original Europe row.</t>
        </is>
      </c>
      <c r="D14" s="401" t="n"/>
      <c r="E14" s="401" t="n"/>
      <c r="F14" s="401" t="n"/>
      <c r="G14" s="401" t="n"/>
      <c r="H14" s="401" t="n"/>
      <c r="I14" s="401" t="n"/>
      <c r="J14" s="401" t="n"/>
      <c r="K14" s="402" t="n"/>
    </row>
    <row r="15" ht="21.75" customHeight="1">
      <c r="B15" s="392" t="inlineStr">
        <is>
          <t>Source record</t>
        </is>
      </c>
      <c r="C15" s="393" t="inlineStr">
        <is>
          <t>Sources_Audit and row-level primary URLs.</t>
        </is>
      </c>
      <c r="D15" s="401" t="n"/>
      <c r="E15" s="401" t="n"/>
      <c r="F15" s="401" t="n"/>
      <c r="G15" s="401" t="n"/>
      <c r="H15" s="401" t="n"/>
      <c r="I15" s="401" t="n"/>
      <c r="J15" s="401" t="n"/>
      <c r="K15" s="402" t="n"/>
    </row>
    <row r="16" ht="21.75" customHeight="1">
      <c r="B16" s="392" t="inlineStr">
        <is>
          <t>Quality control</t>
        </is>
      </c>
      <c r="C16" s="393" t="inlineStr">
        <is>
          <t>Checks sheet reconciles IDs, dates, sources, status and Master_Deals.</t>
        </is>
      </c>
      <c r="D16" s="401" t="n"/>
      <c r="E16" s="401" t="n"/>
      <c r="F16" s="401" t="n"/>
      <c r="G16" s="401" t="n"/>
      <c r="H16" s="401" t="n"/>
      <c r="I16" s="401" t="n"/>
      <c r="J16" s="401" t="n"/>
      <c r="K16" s="402" t="n"/>
    </row>
    <row r="17" ht="21.75" customHeight="1">
      <c r="B17" s="392" t="inlineStr">
        <is>
          <t>Completeness limitation</t>
        </is>
      </c>
      <c r="C17" s="393" t="inlineStr">
        <is>
          <t>Public sources cannot prove the absence of undisclosed private transactions; no unavailable value has been invented.</t>
        </is>
      </c>
      <c r="D17" s="401" t="n"/>
      <c r="E17" s="401" t="n"/>
      <c r="F17" s="401" t="n"/>
      <c r="G17" s="401" t="n"/>
      <c r="H17" s="401" t="n"/>
      <c r="I17" s="401" t="n"/>
      <c r="J17" s="401" t="n"/>
      <c r="K17" s="402" t="n"/>
    </row>
    <row r="18" ht="21.75" customHeight="1">
      <c r="B18" s="386" t="n"/>
      <c r="C18" s="386" t="n"/>
      <c r="D18" s="386" t="n"/>
      <c r="E18" s="386" t="n"/>
      <c r="F18" s="386" t="n"/>
      <c r="G18" s="386" t="n"/>
      <c r="H18" s="386" t="n"/>
      <c r="I18" s="386" t="n"/>
      <c r="J18" s="386" t="n"/>
      <c r="K18" s="386" t="n"/>
    </row>
    <row r="19">
      <c r="B19" s="400" t="inlineStr">
        <is>
          <t>Workbook navigation</t>
        </is>
      </c>
      <c r="C19" s="105" t="n"/>
      <c r="D19" s="105" t="n"/>
      <c r="E19" s="105" t="n"/>
      <c r="F19" s="105" t="n"/>
      <c r="G19" s="105" t="n"/>
      <c r="H19" s="105" t="n"/>
      <c r="I19" s="105" t="n"/>
      <c r="J19" s="105" t="n"/>
      <c r="K19" s="105" t="n"/>
    </row>
    <row r="20">
      <c r="B20" s="394" t="inlineStr">
        <is>
          <t>Europe</t>
        </is>
      </c>
      <c r="C20" s="395" t="inlineStr">
        <is>
          <t>Verified completed transactions</t>
        </is>
      </c>
      <c r="D20" s="386" t="n"/>
      <c r="E20" s="386" t="n"/>
      <c r="F20" s="386" t="n"/>
      <c r="G20" s="386" t="n"/>
      <c r="H20" s="386" t="n"/>
      <c r="I20" s="386" t="n"/>
      <c r="J20" s="386" t="n"/>
      <c r="K20" s="386" t="n"/>
    </row>
    <row r="21">
      <c r="B21" s="394" t="inlineStr">
        <is>
          <t>Europe_Pending</t>
        </is>
      </c>
      <c r="C21" s="395" t="inlineStr">
        <is>
          <t>Announced but uncompleted transactions</t>
        </is>
      </c>
      <c r="D21" s="386" t="n"/>
      <c r="E21" s="386" t="n"/>
      <c r="F21" s="386" t="n"/>
      <c r="G21" s="386" t="n"/>
      <c r="H21" s="386" t="n"/>
      <c r="I21" s="386" t="n"/>
      <c r="J21" s="386" t="n"/>
      <c r="K21" s="386" t="n"/>
    </row>
    <row r="22">
      <c r="B22" s="394" t="inlineStr">
        <is>
          <t>Europe_Audit_Log</t>
        </is>
      </c>
      <c r="C22" s="395" t="inlineStr">
        <is>
          <t>Every original row's retain/exclude/correct decision</t>
        </is>
      </c>
      <c r="D22" s="386" t="n"/>
      <c r="E22" s="386" t="n"/>
      <c r="F22" s="386" t="n"/>
      <c r="G22" s="386" t="n"/>
      <c r="H22" s="386" t="n"/>
      <c r="I22" s="386" t="n"/>
      <c r="J22" s="386" t="n"/>
      <c r="K22" s="386" t="n"/>
    </row>
    <row r="23">
      <c r="B23" s="394" t="inlineStr">
        <is>
          <t>Sources_Audit</t>
        </is>
      </c>
      <c r="C23" s="395" t="inlineStr">
        <is>
          <t>Primary-source register</t>
        </is>
      </c>
      <c r="D23" s="386" t="n"/>
      <c r="E23" s="386" t="n"/>
      <c r="F23" s="386" t="n"/>
      <c r="G23" s="386" t="n"/>
      <c r="H23" s="386" t="n"/>
      <c r="I23" s="386" t="n"/>
      <c r="J23" s="386" t="n"/>
      <c r="K23" s="386" t="n"/>
    </row>
    <row r="24">
      <c r="B24" s="394" t="inlineStr">
        <is>
          <t>Master_Deals</t>
        </is>
      </c>
      <c r="C24" s="395" t="inlineStr">
        <is>
          <t>All regions, with Europe reconciled</t>
        </is>
      </c>
      <c r="D24" s="386" t="n"/>
      <c r="E24" s="386" t="n"/>
      <c r="F24" s="386" t="n"/>
      <c r="G24" s="386" t="n"/>
      <c r="H24" s="386" t="n"/>
      <c r="I24" s="386" t="n"/>
      <c r="J24" s="386" t="n"/>
      <c r="K24" s="386" t="n"/>
    </row>
    <row r="25">
      <c r="B25" s="394" t="inlineStr">
        <is>
          <t>Definitions</t>
        </is>
      </c>
      <c r="C25" s="395" t="inlineStr">
        <is>
          <t>Approved strict scope and conventions</t>
        </is>
      </c>
      <c r="D25" s="386" t="n"/>
      <c r="E25" s="386" t="n"/>
      <c r="F25" s="386" t="n"/>
      <c r="G25" s="386" t="n"/>
      <c r="H25" s="386" t="n"/>
      <c r="I25" s="386" t="n"/>
      <c r="J25" s="386" t="n"/>
      <c r="K25" s="386" t="n"/>
    </row>
    <row r="26">
      <c r="B26" s="394" t="inlineStr">
        <is>
          <t>Checks</t>
        </is>
      </c>
      <c r="C26" s="395" t="inlineStr">
        <is>
          <t>Quality-control results</t>
        </is>
      </c>
      <c r="D26" s="386" t="n"/>
      <c r="E26" s="386" t="n"/>
      <c r="F26" s="386" t="n"/>
      <c r="G26" s="386" t="n"/>
      <c r="H26" s="386" t="n"/>
      <c r="I26" s="386" t="n"/>
      <c r="J26" s="386" t="n"/>
      <c r="K26" s="386" t="n"/>
    </row>
  </sheetData>
  <mergeCells count="10">
    <mergeCell ref="C16:K16"/>
    <mergeCell ref="C15:K15"/>
    <mergeCell ref="C14:K14"/>
    <mergeCell ref="C13:K13"/>
    <mergeCell ref="C17:K17"/>
    <mergeCell ref="B2:K2"/>
    <mergeCell ref="B11:K11"/>
    <mergeCell ref="C12:K12"/>
    <mergeCell ref="B3:K3"/>
    <mergeCell ref="B19:K19"/>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305496"/>
    <outlinePr summaryBelow="1" summaryRight="1"/>
    <pageSetUpPr/>
  </sheetPr>
  <dimension ref="A1:W223"/>
  <sheetViews>
    <sheetView showGridLines="0" workbookViewId="0">
      <selection activeCell="A1" sqref="A1"/>
    </sheetView>
  </sheetViews>
  <sheetFormatPr baseColWidth="8" defaultColWidth="8.7109375" defaultRowHeight="15"/>
  <cols>
    <col width="14" customWidth="1" min="1" max="1"/>
    <col width="12" customWidth="1" min="2" max="2"/>
    <col width="16" customWidth="1" min="3" max="3"/>
    <col width="28" customWidth="1" min="4" max="4"/>
    <col width="24" customWidth="1" min="5" max="5"/>
    <col width="18" customWidth="1" min="6" max="6"/>
    <col width="24" customWidth="1" min="7" max="7"/>
    <col width="15" customWidth="1" min="8" max="8"/>
    <col width="16" customWidth="1" min="9" max="9"/>
    <col width="11" customWidth="1" min="10" max="10"/>
    <col width="14" customWidth="1" min="11" max="11"/>
    <col width="24" customWidth="1" min="12" max="12"/>
    <col width="14" customWidth="1" min="13" max="13"/>
    <col width="17" customWidth="1" min="14" max="14"/>
    <col width="10" customWidth="1" min="15" max="15"/>
    <col width="24" customWidth="1" min="16" max="16"/>
    <col width="26" customWidth="1" min="17" max="17"/>
    <col width="16" customWidth="1" min="18" max="18"/>
    <col width="46" customWidth="1" min="19" max="19"/>
    <col width="22" customWidth="1" min="20" max="20"/>
    <col width="46" customWidth="1" min="21" max="21"/>
    <col width="24" customWidth="1" min="22" max="22"/>
    <col width="54" customWidth="1" min="23" max="23"/>
  </cols>
  <sheetData>
    <row r="1" ht="42" customHeight="1">
      <c r="A1" s="349" t="inlineStr">
        <is>
          <t>Deal ID</t>
        </is>
      </c>
      <c r="B1" s="349" t="inlineStr">
        <is>
          <t>Region</t>
        </is>
      </c>
      <c r="C1" s="349" t="inlineStr">
        <is>
          <t>Target Country</t>
        </is>
      </c>
      <c r="D1" s="349" t="inlineStr">
        <is>
          <t>Target / Asset</t>
        </is>
      </c>
      <c r="E1" s="349" t="inlineStr">
        <is>
          <t>Acquirer</t>
        </is>
      </c>
      <c r="F1" s="349" t="inlineStr">
        <is>
          <t>Acquirer Country</t>
        </is>
      </c>
      <c r="G1" s="349" t="inlineStr">
        <is>
          <t>Seller</t>
        </is>
      </c>
      <c r="H1" s="349" t="inlineStr">
        <is>
          <t>Announcement Date</t>
        </is>
      </c>
      <c r="I1" s="349" t="inlineStr">
        <is>
          <t>Completion Date</t>
        </is>
      </c>
      <c r="J1" s="349" t="inlineStr">
        <is>
          <t>Deal Year</t>
        </is>
      </c>
      <c r="K1" s="349" t="inlineStr">
        <is>
          <t>Transaction Type</t>
        </is>
      </c>
      <c r="L1" s="349" t="inlineStr">
        <is>
          <t>Deal Structure</t>
        </is>
      </c>
      <c r="M1" s="349" t="inlineStr">
        <is>
          <t>Deal Status</t>
        </is>
      </c>
      <c r="N1" s="349" t="inlineStr">
        <is>
          <t>Deal Value (USD mn)</t>
        </is>
      </c>
      <c r="O1" s="349" t="inlineStr">
        <is>
          <t>Currency</t>
        </is>
      </c>
      <c r="P1" s="349" t="inlineStr">
        <is>
          <t>Hardware / Software / Services</t>
        </is>
      </c>
      <c r="Q1" s="349" t="inlineStr">
        <is>
          <t>A&amp;D Domain</t>
        </is>
      </c>
      <c r="R1" s="349" t="inlineStr">
        <is>
          <t>Inclusion Tier</t>
        </is>
      </c>
      <c r="S1" s="349" t="inlineStr">
        <is>
          <t>Relevance Rationale</t>
        </is>
      </c>
      <c r="T1" s="349" t="inlineStr">
        <is>
          <t>Reliability</t>
        </is>
      </c>
      <c r="U1" s="349" t="inlineStr">
        <is>
          <t>Source URL</t>
        </is>
      </c>
      <c r="V1" s="349" t="inlineStr">
        <is>
          <t>Source Type</t>
        </is>
      </c>
      <c r="W1" s="349" t="inlineStr">
        <is>
          <t>Notes</t>
        </is>
      </c>
    </row>
    <row r="2" ht="45" customHeight="1">
      <c r="A2" s="353" t="inlineStr">
        <is>
          <t>ISR-001</t>
        </is>
      </c>
      <c r="B2" s="353" t="inlineStr">
        <is>
          <t>Israel</t>
        </is>
      </c>
      <c r="C2" s="353" t="inlineStr">
        <is>
          <t>Israel</t>
        </is>
      </c>
      <c r="D2" s="353" t="inlineStr">
        <is>
          <t>Orbit Communication Systems</t>
        </is>
      </c>
      <c r="E2" s="353" t="inlineStr">
        <is>
          <t>Kratos Defense &amp; Security Solutions</t>
        </is>
      </c>
      <c r="F2" s="353" t="inlineStr">
        <is>
          <t>USA</t>
        </is>
      </c>
      <c r="G2" s="353" t="inlineStr">
        <is>
          <t>Public shareholders</t>
        </is>
      </c>
      <c r="H2" s="403" t="inlineStr">
        <is>
          <t>2025-11-04</t>
        </is>
      </c>
      <c r="I2" s="403" t="inlineStr">
        <is>
          <t>Expected 2026</t>
        </is>
      </c>
      <c r="J2" s="353" t="n">
        <v>2026</v>
      </c>
      <c r="K2" s="353" t="inlineStr">
        <is>
          <t>M&amp;A</t>
        </is>
      </c>
      <c r="L2" s="353" t="inlineStr">
        <is>
          <t>Full acquisition</t>
        </is>
      </c>
      <c r="M2" s="353" t="inlineStr">
        <is>
          <t>Announced</t>
        </is>
      </c>
      <c r="N2" s="353" t="n">
        <v>356.3</v>
      </c>
      <c r="O2" s="353" t="inlineStr">
        <is>
          <t>USD</t>
        </is>
      </c>
      <c r="P2" s="353" t="inlineStr">
        <is>
          <t>Hardware</t>
        </is>
      </c>
      <c r="Q2" s="353" t="inlineStr">
        <is>
          <t>Satellite communications / defense satcom</t>
        </is>
      </c>
      <c r="R2" s="353" t="inlineStr">
        <is>
          <t>Core A&amp;D</t>
        </is>
      </c>
      <c r="S2" s="353" t="inlineStr">
        <is>
          <t>Israeli satellite-communications and airborne/ground satcom provider with defense and national-security applications.</t>
        </is>
      </c>
      <c r="T2" s="353" t="inlineStr">
        <is>
          <t>High</t>
        </is>
      </c>
      <c r="U2" s="353" t="inlineStr">
        <is>
          <t>https://www.kratosdefense.com/newsroom/kratos-to-acquire-israel-based-orbit-technologies-ltd-for-356-3-million</t>
        </is>
      </c>
      <c r="V2" s="353" t="inlineStr">
        <is>
          <t>Company / reputable press</t>
        </is>
      </c>
      <c r="W2" s="353" t="n"/>
    </row>
    <row r="3" ht="45" customHeight="1">
      <c r="A3" s="353" t="inlineStr">
        <is>
          <t>ISR-002</t>
        </is>
      </c>
      <c r="B3" s="353" t="inlineStr">
        <is>
          <t>Israel</t>
        </is>
      </c>
      <c r="C3" s="353" t="inlineStr">
        <is>
          <t>Israel</t>
        </is>
      </c>
      <c r="D3" s="353" t="inlineStr">
        <is>
          <t>Sentry CS / Sentrycs</t>
        </is>
      </c>
      <c r="E3" s="353" t="inlineStr">
        <is>
          <t>Ondas Holdings</t>
        </is>
      </c>
      <c r="F3" s="353" t="inlineStr">
        <is>
          <t>USA</t>
        </is>
      </c>
      <c r="G3" s="353" t="n"/>
      <c r="H3" s="403" t="inlineStr">
        <is>
          <t>2025-11-04</t>
        </is>
      </c>
      <c r="I3" s="403" t="inlineStr">
        <is>
          <t>2025-11-29</t>
        </is>
      </c>
      <c r="J3" s="353" t="n">
        <v>2025</v>
      </c>
      <c r="K3" s="353" t="inlineStr">
        <is>
          <t>M&amp;A</t>
        </is>
      </c>
      <c r="L3" s="353" t="inlineStr">
        <is>
          <t>Full acquisition</t>
        </is>
      </c>
      <c r="M3" s="353" t="inlineStr">
        <is>
          <t>Completed</t>
        </is>
      </c>
      <c r="N3" s="353" t="n"/>
      <c r="O3" s="353" t="inlineStr">
        <is>
          <t>USD</t>
        </is>
      </c>
      <c r="P3" s="353" t="inlineStr">
        <is>
          <t>Software/Hardware</t>
        </is>
      </c>
      <c r="Q3" s="353" t="inlineStr">
        <is>
          <t>Counter-UAS / RF cyber</t>
        </is>
      </c>
      <c r="R3" s="353" t="inlineStr">
        <is>
          <t>Core A&amp;D</t>
        </is>
      </c>
      <c r="S3" s="353" t="inlineStr">
        <is>
          <t>Counter-drone detection and mitigation for defense, homeland security, airports, and critical infrastructure.</t>
        </is>
      </c>
      <c r="T3" s="353" t="inlineStr">
        <is>
          <t>High</t>
        </is>
      </c>
      <c r="U3" s="353" t="inlineStr">
        <is>
          <t>https://ir.ondas.com/press-releases/detail/251/ondas-to-acquire-sentrycs-a-global-leader-in-counter-uas</t>
        </is>
      </c>
      <c r="V3" s="353" t="inlineStr">
        <is>
          <t>Company / reputable press</t>
        </is>
      </c>
      <c r="W3" s="353" t="n"/>
    </row>
    <row r="4" ht="45" customHeight="1">
      <c r="A4" s="353" t="inlineStr">
        <is>
          <t>ISR-003</t>
        </is>
      </c>
      <c r="B4" s="353" t="inlineStr">
        <is>
          <t>Israel</t>
        </is>
      </c>
      <c r="C4" s="353" t="inlineStr">
        <is>
          <t>Israel</t>
        </is>
      </c>
      <c r="D4" s="353" t="inlineStr">
        <is>
          <t>Roboteam</t>
        </is>
      </c>
      <c r="E4" s="353" t="inlineStr">
        <is>
          <t>Ondas Holdings</t>
        </is>
      </c>
      <c r="F4" s="353" t="inlineStr">
        <is>
          <t>USA</t>
        </is>
      </c>
      <c r="G4" s="353" t="n"/>
      <c r="H4" s="403" t="inlineStr">
        <is>
          <t>2025-11-25</t>
        </is>
      </c>
      <c r="I4" s="403" t="inlineStr">
        <is>
          <t>2025-12-17</t>
        </is>
      </c>
      <c r="J4" s="353" t="n">
        <v>2025</v>
      </c>
      <c r="K4" s="353" t="inlineStr">
        <is>
          <t>M&amp;A</t>
        </is>
      </c>
      <c r="L4" s="353" t="inlineStr">
        <is>
          <t>Full acquisition</t>
        </is>
      </c>
      <c r="M4" s="353" t="inlineStr">
        <is>
          <t>Completed</t>
        </is>
      </c>
      <c r="N4" s="353" t="n"/>
      <c r="O4" s="353" t="inlineStr">
        <is>
          <t>USD</t>
        </is>
      </c>
      <c r="P4" s="353" t="inlineStr">
        <is>
          <t>Hardware</t>
        </is>
      </c>
      <c r="Q4" s="353" t="inlineStr">
        <is>
          <t>UGV / tactical robotics</t>
        </is>
      </c>
      <c r="R4" s="353" t="inlineStr">
        <is>
          <t>Core A&amp;D</t>
        </is>
      </c>
      <c r="S4" s="353" t="inlineStr">
        <is>
          <t>Unmanned ground vehicles for military, EOD, ISR, and hazardous missions.</t>
        </is>
      </c>
      <c r="T4" s="353" t="inlineStr">
        <is>
          <t>High</t>
        </is>
      </c>
      <c r="U4" s="353" t="inlineStr">
        <is>
          <t>https://ir.ondas.com/press-releases/detail/264/ondas-completes-acquisition-of-roboteam-a-global-leader-in</t>
        </is>
      </c>
      <c r="V4" s="353" t="inlineStr">
        <is>
          <t>Company / reputable press</t>
        </is>
      </c>
      <c r="W4" s="353" t="n"/>
    </row>
    <row r="5" ht="45" customHeight="1">
      <c r="A5" s="353" t="inlineStr">
        <is>
          <t>ISR-004</t>
        </is>
      </c>
      <c r="B5" s="353" t="inlineStr">
        <is>
          <t>Israel</t>
        </is>
      </c>
      <c r="C5" s="353" t="inlineStr">
        <is>
          <t>Israel</t>
        </is>
      </c>
      <c r="D5" s="353" t="inlineStr">
        <is>
          <t>Omnisys</t>
        </is>
      </c>
      <c r="E5" s="353" t="inlineStr">
        <is>
          <t>Ondas Holdings</t>
        </is>
      </c>
      <c r="F5" s="353" t="inlineStr">
        <is>
          <t>USA</t>
        </is>
      </c>
      <c r="G5" s="353" t="n"/>
      <c r="H5" s="403" t="inlineStr">
        <is>
          <t>2026-05-18</t>
        </is>
      </c>
      <c r="I5" s="403" t="n"/>
      <c r="J5" s="353" t="n">
        <v>2026</v>
      </c>
      <c r="K5" s="353" t="inlineStr">
        <is>
          <t>M&amp;A</t>
        </is>
      </c>
      <c r="L5" s="353" t="inlineStr">
        <is>
          <t>Full acquisition / stock deal</t>
        </is>
      </c>
      <c r="M5" s="353" t="inlineStr">
        <is>
          <t>Announced</t>
        </is>
      </c>
      <c r="N5" s="353" t="n">
        <v>200</v>
      </c>
      <c r="O5" s="353" t="inlineStr">
        <is>
          <t>USD</t>
        </is>
      </c>
      <c r="P5" s="353" t="inlineStr">
        <is>
          <t>Software</t>
        </is>
      </c>
      <c r="Q5" s="353" t="inlineStr">
        <is>
          <t>Mission planning / C2 / battlefield optimization</t>
        </is>
      </c>
      <c r="R5" s="353" t="inlineStr">
        <is>
          <t>Core A&amp;D</t>
        </is>
      </c>
      <c r="S5" s="353" t="inlineStr">
        <is>
          <t>Military mission-planning and operational-optimization software for defense customers.</t>
        </is>
      </c>
      <c r="T5" s="353" t="inlineStr">
        <is>
          <t>Medium-High</t>
        </is>
      </c>
      <c r="U5" s="353" t="inlineStr">
        <is>
          <t>https://www.calcalistech.com/ctechnews/article/skbzd9dkge</t>
        </is>
      </c>
      <c r="V5" s="353" t="inlineStr">
        <is>
          <t>Business press</t>
        </is>
      </c>
      <c r="W5" s="353" t="inlineStr">
        <is>
          <t>Very recent; verify closing when announced.</t>
        </is>
      </c>
    </row>
    <row r="6" ht="45" customHeight="1">
      <c r="A6" s="353" t="inlineStr">
        <is>
          <t>ISR-005</t>
        </is>
      </c>
      <c r="B6" s="353" t="inlineStr">
        <is>
          <t>Israel</t>
        </is>
      </c>
      <c r="C6" s="353" t="inlineStr">
        <is>
          <t>Israel</t>
        </is>
      </c>
      <c r="D6" s="353" t="inlineStr">
        <is>
          <t>SpearUAV</t>
        </is>
      </c>
      <c r="E6" s="353" t="inlineStr">
        <is>
          <t>UVision Air</t>
        </is>
      </c>
      <c r="F6" s="353" t="inlineStr">
        <is>
          <t>Israel</t>
        </is>
      </c>
      <c r="G6" s="353" t="n"/>
      <c r="H6" s="403" t="inlineStr">
        <is>
          <t>2025-12-08</t>
        </is>
      </c>
      <c r="I6" s="403" t="n"/>
      <c r="J6" s="353" t="n">
        <v>2025</v>
      </c>
      <c r="K6" s="353" t="inlineStr">
        <is>
          <t>M&amp;A</t>
        </is>
      </c>
      <c r="L6" s="353" t="inlineStr">
        <is>
          <t>Acquisition</t>
        </is>
      </c>
      <c r="M6" s="353" t="inlineStr">
        <is>
          <t>Announced / reported</t>
        </is>
      </c>
      <c r="N6" s="353" t="n"/>
      <c r="O6" s="353" t="inlineStr">
        <is>
          <t>USD</t>
        </is>
      </c>
      <c r="P6" s="353" t="inlineStr">
        <is>
          <t>Hardware</t>
        </is>
      </c>
      <c r="Q6" s="353" t="inlineStr">
        <is>
          <t>Loitering munitions / tactical UAV</t>
        </is>
      </c>
      <c r="R6" s="353" t="inlineStr">
        <is>
          <t>Core A&amp;D</t>
        </is>
      </c>
      <c r="S6" s="353" t="inlineStr">
        <is>
          <t>Capsule-launched tactical drones/loitering systems; directly defense-relevant.</t>
        </is>
      </c>
      <c r="T6" s="353" t="inlineStr">
        <is>
          <t>Medium-High</t>
        </is>
      </c>
      <c r="U6" s="353" t="inlineStr">
        <is>
          <t>https://www.globes.co.il/news/article.aspx?did=1001528671</t>
        </is>
      </c>
      <c r="V6" s="353" t="inlineStr">
        <is>
          <t>Business press</t>
        </is>
      </c>
      <c r="W6" s="353" t="inlineStr">
        <is>
          <t>Value undisclosed in public reporting.</t>
        </is>
      </c>
    </row>
    <row r="7" ht="45" customHeight="1">
      <c r="A7" s="353" t="inlineStr">
        <is>
          <t>ISR-006</t>
        </is>
      </c>
      <c r="B7" s="353" t="inlineStr">
        <is>
          <t>Israel</t>
        </is>
      </c>
      <c r="C7" s="353" t="inlineStr">
        <is>
          <t>Israel</t>
        </is>
      </c>
      <c r="D7" s="353" t="inlineStr">
        <is>
          <t>Iron Drone</t>
        </is>
      </c>
      <c r="E7" s="353" t="inlineStr">
        <is>
          <t>Airobotics / Ondas Holdings</t>
        </is>
      </c>
      <c r="F7" s="353" t="inlineStr">
        <is>
          <t>Israel / USA</t>
        </is>
      </c>
      <c r="G7" s="353" t="n"/>
      <c r="H7" s="403" t="inlineStr">
        <is>
          <t>2023-03-06</t>
        </is>
      </c>
      <c r="I7" s="403" t="n"/>
      <c r="J7" s="353" t="n">
        <v>2023</v>
      </c>
      <c r="K7" s="353" t="inlineStr">
        <is>
          <t>M&amp;A</t>
        </is>
      </c>
      <c r="L7" s="353" t="inlineStr">
        <is>
          <t>Acquisition</t>
        </is>
      </c>
      <c r="M7" s="353" t="inlineStr">
        <is>
          <t>Completed</t>
        </is>
      </c>
      <c r="N7" s="353" t="n"/>
      <c r="O7" s="353" t="inlineStr">
        <is>
          <t>USD</t>
        </is>
      </c>
      <c r="P7" s="353" t="inlineStr">
        <is>
          <t>Hardware/Software</t>
        </is>
      </c>
      <c r="Q7" s="353" t="inlineStr">
        <is>
          <t>Counter-UAS / autonomous drones</t>
        </is>
      </c>
      <c r="R7" s="353" t="inlineStr">
        <is>
          <t>Core A&amp;D</t>
        </is>
      </c>
      <c r="S7" s="353" t="inlineStr">
        <is>
          <t>Counter-drone interception and autonomous drone capabilities relevant to security and defense.</t>
        </is>
      </c>
      <c r="T7" s="353" t="inlineStr">
        <is>
          <t>Medium</t>
        </is>
      </c>
      <c r="U7" s="353" t="inlineStr">
        <is>
          <t>https://ir.ondas.com/press-releases/detail/172/ondas-receives-8-0-million-purchase-order-for-iron-drone</t>
        </is>
      </c>
      <c r="V7" s="353" t="inlineStr">
        <is>
          <t>Company press release</t>
        </is>
      </c>
      <c r="W7" s="353" t="inlineStr">
        <is>
          <t>Use if source URL resolves in browser.</t>
        </is>
      </c>
    </row>
    <row r="8" ht="45" customHeight="1">
      <c r="A8" s="353" t="inlineStr">
        <is>
          <t>ISR-007</t>
        </is>
      </c>
      <c r="B8" s="353" t="inlineStr">
        <is>
          <t>Israel</t>
        </is>
      </c>
      <c r="C8" s="353" t="inlineStr">
        <is>
          <t>Israel</t>
        </is>
      </c>
      <c r="D8" s="353" t="inlineStr">
        <is>
          <t>Airobotics</t>
        </is>
      </c>
      <c r="E8" s="353" t="inlineStr">
        <is>
          <t>Ondas Holdings</t>
        </is>
      </c>
      <c r="F8" s="353" t="inlineStr">
        <is>
          <t>USA</t>
        </is>
      </c>
      <c r="G8" s="353" t="inlineStr">
        <is>
          <t>Public shareholders</t>
        </is>
      </c>
      <c r="H8" s="403" t="inlineStr">
        <is>
          <t>2022-07-05</t>
        </is>
      </c>
      <c r="I8" s="403" t="inlineStr">
        <is>
          <t>2023-01-23</t>
        </is>
      </c>
      <c r="J8" s="353" t="n">
        <v>2023</v>
      </c>
      <c r="K8" s="353" t="inlineStr">
        <is>
          <t>M&amp;A</t>
        </is>
      </c>
      <c r="L8" s="353" t="inlineStr">
        <is>
          <t>Full acquisition</t>
        </is>
      </c>
      <c r="M8" s="353" t="inlineStr">
        <is>
          <t>Completed</t>
        </is>
      </c>
      <c r="N8" s="353" t="n"/>
      <c r="O8" s="353" t="inlineStr">
        <is>
          <t>USD</t>
        </is>
      </c>
      <c r="P8" s="353" t="inlineStr">
        <is>
          <t>Hardware/Software</t>
        </is>
      </c>
      <c r="Q8" s="353" t="inlineStr">
        <is>
          <t>Autonomous drone systems</t>
        </is>
      </c>
      <c r="R8" s="353" t="inlineStr">
        <is>
          <t>Adjacent dual-use</t>
        </is>
      </c>
      <c r="S8" s="353" t="inlineStr">
        <is>
          <t>Autonomous drones for security, public-safety and critical-infrastructure missions; not a pure defense transaction.</t>
        </is>
      </c>
      <c r="T8" s="353" t="inlineStr">
        <is>
          <t>Medium-High</t>
        </is>
      </c>
      <c r="U8" s="353" t="inlineStr">
        <is>
          <t>https://ir.ondas.com/press-releases/detail/108/ondas-holdings-completes-acquisition-of-airobotics</t>
        </is>
      </c>
      <c r="V8" s="353" t="inlineStr">
        <is>
          <t>Company press release</t>
        </is>
      </c>
      <c r="W8" s="353" t="n"/>
    </row>
    <row r="9" ht="45" customHeight="1">
      <c r="A9" s="353" t="inlineStr">
        <is>
          <t>ISR-008</t>
        </is>
      </c>
      <c r="B9" s="353" t="inlineStr">
        <is>
          <t>Israel</t>
        </is>
      </c>
      <c r="C9" s="353" t="inlineStr">
        <is>
          <t>Israel</t>
        </is>
      </c>
      <c r="D9" s="353" t="inlineStr">
        <is>
          <t>4M defense</t>
        </is>
      </c>
      <c r="E9" s="353" t="inlineStr">
        <is>
          <t>Ondas Holdings</t>
        </is>
      </c>
      <c r="F9" s="353" t="inlineStr">
        <is>
          <t>USA</t>
        </is>
      </c>
      <c r="G9" s="353" t="n"/>
      <c r="H9" s="403" t="inlineStr">
        <is>
          <t>2025-09-03</t>
        </is>
      </c>
      <c r="I9" s="403" t="n"/>
      <c r="J9" s="353" t="n">
        <v>2025</v>
      </c>
      <c r="K9" s="353" t="inlineStr">
        <is>
          <t>M&amp;A</t>
        </is>
      </c>
      <c r="L9" s="353" t="inlineStr">
        <is>
          <t>Acquisition</t>
        </is>
      </c>
      <c r="M9" s="353" t="inlineStr">
        <is>
          <t>Announced</t>
        </is>
      </c>
      <c r="N9" s="353" t="n"/>
      <c r="O9" s="353" t="inlineStr">
        <is>
          <t>USD</t>
        </is>
      </c>
      <c r="P9" s="353" t="inlineStr">
        <is>
          <t>Software</t>
        </is>
      </c>
      <c r="Q9" s="353" t="inlineStr">
        <is>
          <t>Geospatial / infrastructure intelligence</t>
        </is>
      </c>
      <c r="R9" s="353" t="inlineStr">
        <is>
          <t>Adjacent dual-use</t>
        </is>
      </c>
      <c r="S9" s="353" t="inlineStr">
        <is>
          <t>Subsurface mapping/geospatial data can support infrastructure, security and resilience use cases; weaker defense fit than UAS/C2.</t>
        </is>
      </c>
      <c r="T9" s="353" t="inlineStr">
        <is>
          <t>Medium</t>
        </is>
      </c>
      <c r="U9" s="353" t="inlineStr">
        <is>
          <t>https://ir.ondas.com/press-releases/detail/249/ondas-to-acquire-controlling-interest-in-4m-defense</t>
        </is>
      </c>
      <c r="V9" s="353" t="inlineStr">
        <is>
          <t>Company press releases index</t>
        </is>
      </c>
      <c r="W9" s="353" t="inlineStr">
        <is>
          <t>Check final deal page before publication.</t>
        </is>
      </c>
    </row>
    <row r="10" ht="45" customHeight="1">
      <c r="A10" s="353" t="inlineStr">
        <is>
          <t>ISR-010</t>
        </is>
      </c>
      <c r="B10" s="353" t="inlineStr">
        <is>
          <t>Israel</t>
        </is>
      </c>
      <c r="C10" s="353" t="inlineStr">
        <is>
          <t>USA</t>
        </is>
      </c>
      <c r="D10" s="353" t="inlineStr">
        <is>
          <t>DataPath</t>
        </is>
      </c>
      <c r="E10" s="353" t="inlineStr">
        <is>
          <t>Gilat Satellite Networks</t>
        </is>
      </c>
      <c r="F10" s="353" t="inlineStr">
        <is>
          <t>Israel</t>
        </is>
      </c>
      <c r="G10" s="353" t="inlineStr">
        <is>
          <t>DataPath shareholders</t>
        </is>
      </c>
      <c r="H10" s="403" t="inlineStr">
        <is>
          <t>2023-03-09</t>
        </is>
      </c>
      <c r="I10" s="403" t="inlineStr">
        <is>
          <t>2023-11-15</t>
        </is>
      </c>
      <c r="J10" s="353" t="n">
        <v>2023</v>
      </c>
      <c r="K10" s="353" t="inlineStr">
        <is>
          <t>M&amp;A</t>
        </is>
      </c>
      <c r="L10" s="353" t="inlineStr">
        <is>
          <t>Full acquisition</t>
        </is>
      </c>
      <c r="M10" s="353" t="inlineStr">
        <is>
          <t>Completed</t>
        </is>
      </c>
      <c r="N10" s="353" t="n"/>
      <c r="O10" s="353" t="inlineStr">
        <is>
          <t>USD</t>
        </is>
      </c>
      <c r="P10" s="353" t="inlineStr">
        <is>
          <t>Hardware/Services</t>
        </is>
      </c>
      <c r="Q10" s="353" t="inlineStr">
        <is>
          <t>Satellite communications / defense satcom</t>
        </is>
      </c>
      <c r="R10" s="353" t="inlineStr">
        <is>
          <t>Core A&amp;D</t>
        </is>
      </c>
      <c r="S10" s="353" t="inlineStr">
        <is>
          <t>US satellite communications systems provider serving defense and government customers acquired by Israeli satcom group.</t>
        </is>
      </c>
      <c r="T10" s="353" t="inlineStr">
        <is>
          <t>High</t>
        </is>
      </c>
      <c r="U10" s="353" t="inlineStr">
        <is>
          <t>https://www.gilat.com/pressreleases/gilat-completes-acquisition-of-datapath/</t>
        </is>
      </c>
      <c r="V10" s="353" t="inlineStr">
        <is>
          <t>Company press release</t>
        </is>
      </c>
      <c r="W10" s="353" t="n"/>
    </row>
    <row r="11" ht="45" customHeight="1">
      <c r="A11" s="353" t="inlineStr">
        <is>
          <t>ISR-011</t>
        </is>
      </c>
      <c r="B11" s="353" t="inlineStr">
        <is>
          <t>Israel</t>
        </is>
      </c>
      <c r="C11" s="353" t="inlineStr">
        <is>
          <t>USA</t>
        </is>
      </c>
      <c r="D11" s="353" t="inlineStr">
        <is>
          <t>Stellar Blu Solutions</t>
        </is>
      </c>
      <c r="E11" s="353" t="inlineStr">
        <is>
          <t>Gilat Satellite Networks</t>
        </is>
      </c>
      <c r="F11" s="353" t="inlineStr">
        <is>
          <t>Israel</t>
        </is>
      </c>
      <c r="G11" s="353" t="n"/>
      <c r="H11" s="403" t="inlineStr">
        <is>
          <t>2024-06-17</t>
        </is>
      </c>
      <c r="I11" s="403" t="inlineStr">
        <is>
          <t>2024-09-18</t>
        </is>
      </c>
      <c r="J11" s="353" t="n">
        <v>2024</v>
      </c>
      <c r="K11" s="353" t="inlineStr">
        <is>
          <t>M&amp;A</t>
        </is>
      </c>
      <c r="L11" s="353" t="inlineStr">
        <is>
          <t>Full acquisition</t>
        </is>
      </c>
      <c r="M11" s="353" t="inlineStr">
        <is>
          <t>Completed</t>
        </is>
      </c>
      <c r="N11" s="353" t="n"/>
      <c r="O11" s="353" t="inlineStr">
        <is>
          <t>USD</t>
        </is>
      </c>
      <c r="P11" s="353" t="inlineStr">
        <is>
          <t>Hardware</t>
        </is>
      </c>
      <c r="Q11" s="353" t="inlineStr">
        <is>
          <t>Aviation connectivity / satcom terminals</t>
        </is>
      </c>
      <c r="R11" s="353" t="inlineStr">
        <is>
          <t>Adjacent A&amp;D aerospace</t>
        </is>
      </c>
      <c r="S11" s="353" t="inlineStr">
        <is>
          <t>Aviation satcom terminal business relevant to aerospace connectivity; dual-use rather than pure defense.</t>
        </is>
      </c>
      <c r="T11" s="353" t="inlineStr">
        <is>
          <t>High</t>
        </is>
      </c>
      <c r="U11" s="353" t="inlineStr">
        <is>
          <t>https://www.gilat.com/pressreleases/gilat-completes-acquisition-of-stellar-blu-solutions-llc/</t>
        </is>
      </c>
      <c r="V11" s="353" t="inlineStr">
        <is>
          <t>Company press release</t>
        </is>
      </c>
      <c r="W11" s="353" t="n"/>
    </row>
    <row r="12" ht="45" customHeight="1">
      <c r="A12" s="353" t="inlineStr">
        <is>
          <t>ISR-014</t>
        </is>
      </c>
      <c r="B12" s="353" t="inlineStr">
        <is>
          <t>Israel</t>
        </is>
      </c>
      <c r="C12" s="353" t="inlineStr">
        <is>
          <t>Israel</t>
        </is>
      </c>
      <c r="D12" s="353" t="inlineStr">
        <is>
          <t>CyberArk</t>
        </is>
      </c>
      <c r="E12" s="353" t="inlineStr">
        <is>
          <t>Palo Alto Networks</t>
        </is>
      </c>
      <c r="F12" s="353" t="inlineStr">
        <is>
          <t>USA</t>
        </is>
      </c>
      <c r="G12" s="353" t="inlineStr">
        <is>
          <t>Public shareholders</t>
        </is>
      </c>
      <c r="H12" s="403" t="inlineStr">
        <is>
          <t>2025-07-30</t>
        </is>
      </c>
      <c r="I12" s="403" t="inlineStr">
        <is>
          <t>Expected FY2026</t>
        </is>
      </c>
      <c r="J12" s="353" t="n">
        <v>2026</v>
      </c>
      <c r="K12" s="353" t="inlineStr">
        <is>
          <t>M&amp;A</t>
        </is>
      </c>
      <c r="L12" s="353" t="inlineStr">
        <is>
          <t>Cash-and-stock acquisition</t>
        </is>
      </c>
      <c r="M12" s="353" t="inlineStr">
        <is>
          <t>Announced</t>
        </is>
      </c>
      <c r="N12" s="353" t="n">
        <v>25000</v>
      </c>
      <c r="O12" s="353" t="inlineStr">
        <is>
          <t>USD</t>
        </is>
      </c>
      <c r="P12" s="353" t="inlineStr">
        <is>
          <t>Software</t>
        </is>
      </c>
      <c r="Q12" s="353" t="inlineStr">
        <is>
          <t>Identity security / privileged access</t>
        </is>
      </c>
      <c r="R12" s="353" t="inlineStr">
        <is>
          <t>Adjacent cyber-security</t>
        </is>
      </c>
      <c r="S12" s="353" t="inlineStr">
        <is>
          <t>Large Israeli-founded cybersecurity deal; relevant to defense/security landscape but not pure aerospace/defense.</t>
        </is>
      </c>
      <c r="T12" s="353" t="inlineStr">
        <is>
          <t>High</t>
        </is>
      </c>
      <c r="U12" s="353" t="inlineStr">
        <is>
          <t>https://www.reuters.com/world/middle-east/palo-altos-25-billion-deal-cyberark-targets-rising-ai-driven-threats-2025-07-30/?utm_source=chatgpt.com</t>
        </is>
      </c>
      <c r="V12" s="353" t="inlineStr">
        <is>
          <t>Company press release</t>
        </is>
      </c>
      <c r="W12" s="353" t="n"/>
    </row>
    <row r="13" ht="45" customHeight="1">
      <c r="A13" s="353" t="inlineStr">
        <is>
          <t>ISR-015</t>
        </is>
      </c>
      <c r="B13" s="353" t="inlineStr">
        <is>
          <t>Israel</t>
        </is>
      </c>
      <c r="C13" s="353" t="inlineStr">
        <is>
          <t>Israel-founded / USA</t>
        </is>
      </c>
      <c r="D13" s="353" t="inlineStr">
        <is>
          <t>Wiz</t>
        </is>
      </c>
      <c r="E13" s="353" t="inlineStr">
        <is>
          <t>Google / Alphabet</t>
        </is>
      </c>
      <c r="F13" s="353" t="inlineStr">
        <is>
          <t>USA</t>
        </is>
      </c>
      <c r="G13" s="353" t="n"/>
      <c r="H13" s="403" t="inlineStr">
        <is>
          <t>2025-03-18</t>
        </is>
      </c>
      <c r="I13" s="403" t="inlineStr">
        <is>
          <t>Pending / approvals</t>
        </is>
      </c>
      <c r="J13" s="353" t="n">
        <v>2025</v>
      </c>
      <c r="K13" s="353" t="inlineStr">
        <is>
          <t>M&amp;A</t>
        </is>
      </c>
      <c r="L13" s="353" t="inlineStr">
        <is>
          <t>Full acquisition</t>
        </is>
      </c>
      <c r="M13" s="353" t="inlineStr">
        <is>
          <t>Announced</t>
        </is>
      </c>
      <c r="N13" s="353" t="n">
        <v>32000</v>
      </c>
      <c r="O13" s="353" t="inlineStr">
        <is>
          <t>USD</t>
        </is>
      </c>
      <c r="P13" s="353" t="inlineStr">
        <is>
          <t>Software</t>
        </is>
      </c>
      <c r="Q13" s="353" t="inlineStr">
        <is>
          <t>Cloud security</t>
        </is>
      </c>
      <c r="R13" s="353" t="inlineStr">
        <is>
          <t>Adjacent cyber-security</t>
        </is>
      </c>
      <c r="S13" s="353" t="inlineStr">
        <is>
          <t>Israeli-founded cloud security company; relevant as dual-use cyber/security consolidation, not core A&amp;D.</t>
        </is>
      </c>
      <c r="T13" s="353" t="inlineStr">
        <is>
          <t>High</t>
        </is>
      </c>
      <c r="U13" s="353" t="inlineStr">
        <is>
          <t>https://blog.google/company-news/inside-google/company-announcements/google-agreement-acquire-wiz/?utm_source=chatgpt.com</t>
        </is>
      </c>
      <c r="V13" s="353" t="inlineStr">
        <is>
          <t>Company press release</t>
        </is>
      </c>
      <c r="W13" s="353" t="n"/>
    </row>
    <row r="14" ht="45" customHeight="1">
      <c r="A14" s="353" t="inlineStr">
        <is>
          <t>ISR-016</t>
        </is>
      </c>
      <c r="B14" s="353" t="inlineStr">
        <is>
          <t>Israel</t>
        </is>
      </c>
      <c r="C14" s="353" t="inlineStr">
        <is>
          <t>Israel</t>
        </is>
      </c>
      <c r="D14" s="353" t="inlineStr">
        <is>
          <t>Dig Security</t>
        </is>
      </c>
      <c r="E14" s="353" t="inlineStr">
        <is>
          <t>Palo Alto Networks</t>
        </is>
      </c>
      <c r="F14" s="353" t="inlineStr">
        <is>
          <t>USA</t>
        </is>
      </c>
      <c r="G14" s="353" t="n"/>
      <c r="H14" s="403" t="inlineStr">
        <is>
          <t>2023-10-31</t>
        </is>
      </c>
      <c r="I14" s="403" t="n"/>
      <c r="J14" s="353" t="n">
        <v>2023</v>
      </c>
      <c r="K14" s="353" t="inlineStr">
        <is>
          <t>M&amp;A</t>
        </is>
      </c>
      <c r="L14" s="353" t="inlineStr">
        <is>
          <t>Acquisition</t>
        </is>
      </c>
      <c r="M14" s="353" t="inlineStr">
        <is>
          <t>Completed</t>
        </is>
      </c>
      <c r="N14" s="353" t="n">
        <v>350</v>
      </c>
      <c r="O14" s="353" t="inlineStr">
        <is>
          <t>USD</t>
        </is>
      </c>
      <c r="P14" s="353" t="inlineStr">
        <is>
          <t>Software</t>
        </is>
      </c>
      <c r="Q14" s="353" t="inlineStr">
        <is>
          <t>Cloud data security / DSPM</t>
        </is>
      </c>
      <c r="R14" s="353" t="inlineStr">
        <is>
          <t>Adjacent cyber-security</t>
        </is>
      </c>
      <c r="S14" s="353" t="inlineStr">
        <is>
          <t>Israeli cybersecurity acquisition; relevant to security/dual-use cyber but not pure defense.</t>
        </is>
      </c>
      <c r="T14" s="353" t="inlineStr">
        <is>
          <t>Medium-High</t>
        </is>
      </c>
      <c r="U14" s="353" t="inlineStr">
        <is>
          <t>https://www.paloaltonetworks.com/company/press/2023/palo-alto-networks-completes-acquisition-of-dig-security?utm_source=chatgpt.com</t>
        </is>
      </c>
      <c r="V14" s="353" t="inlineStr">
        <is>
          <t>Legal adviser / business press</t>
        </is>
      </c>
      <c r="W14" s="353" t="inlineStr">
        <is>
          <t>Value usually reported as $300m-$400m; use midpoint.</t>
        </is>
      </c>
    </row>
    <row r="15" ht="45" customHeight="1">
      <c r="A15" s="353" t="inlineStr">
        <is>
          <t>ISR-017</t>
        </is>
      </c>
      <c r="B15" s="353" t="inlineStr">
        <is>
          <t>Israel</t>
        </is>
      </c>
      <c r="C15" s="353" t="inlineStr">
        <is>
          <t>Israel</t>
        </is>
      </c>
      <c r="D15" s="353" t="inlineStr">
        <is>
          <t>Talon Cyber Security</t>
        </is>
      </c>
      <c r="E15" s="353" t="inlineStr">
        <is>
          <t>Palo Alto Networks</t>
        </is>
      </c>
      <c r="F15" s="353" t="inlineStr">
        <is>
          <t>USA</t>
        </is>
      </c>
      <c r="G15" s="353" t="n"/>
      <c r="H15" s="403" t="inlineStr">
        <is>
          <t>2023-11-06</t>
        </is>
      </c>
      <c r="I15" s="403" t="n"/>
      <c r="J15" s="353" t="n">
        <v>2023</v>
      </c>
      <c r="K15" s="353" t="inlineStr">
        <is>
          <t>M&amp;A</t>
        </is>
      </c>
      <c r="L15" s="353" t="inlineStr">
        <is>
          <t>Acquisition</t>
        </is>
      </c>
      <c r="M15" s="353" t="inlineStr">
        <is>
          <t>Completed</t>
        </is>
      </c>
      <c r="N15" s="353" t="n">
        <v>625</v>
      </c>
      <c r="O15" s="353" t="inlineStr">
        <is>
          <t>USD</t>
        </is>
      </c>
      <c r="P15" s="353" t="inlineStr">
        <is>
          <t>Software</t>
        </is>
      </c>
      <c r="Q15" s="353" t="inlineStr">
        <is>
          <t>Secure enterprise browser</t>
        </is>
      </c>
      <c r="R15" s="353" t="inlineStr">
        <is>
          <t>Adjacent cyber-security</t>
        </is>
      </c>
      <c r="S15" s="353" t="inlineStr">
        <is>
          <t>Browser-security acquisition; relevant to cyber/security consolidation.</t>
        </is>
      </c>
      <c r="T15" s="353" t="inlineStr">
        <is>
          <t>Medium-High</t>
        </is>
      </c>
      <c r="U15" s="353" t="inlineStr">
        <is>
          <t>https://www.calcalistech.com/ctechnews/article/r1hd0o87a?utm_source=chatgpt.com</t>
        </is>
      </c>
      <c r="V15" s="353" t="inlineStr">
        <is>
          <t>Business press</t>
        </is>
      </c>
      <c r="W15" s="353" t="inlineStr">
        <is>
          <t>Reported value.</t>
        </is>
      </c>
    </row>
    <row r="16" ht="45" customHeight="1">
      <c r="A16" s="353" t="inlineStr">
        <is>
          <t>ISR-018</t>
        </is>
      </c>
      <c r="B16" s="353" t="inlineStr">
        <is>
          <t>Israel</t>
        </is>
      </c>
      <c r="C16" s="353" t="inlineStr">
        <is>
          <t>Israel</t>
        </is>
      </c>
      <c r="D16" s="353" t="inlineStr">
        <is>
          <t>Noname Security</t>
        </is>
      </c>
      <c r="E16" s="353" t="inlineStr">
        <is>
          <t>Akamai Technologies</t>
        </is>
      </c>
      <c r="F16" s="353" t="inlineStr">
        <is>
          <t>USA</t>
        </is>
      </c>
      <c r="G16" s="353" t="n"/>
      <c r="H16" s="403" t="inlineStr">
        <is>
          <t>2024-05-07</t>
        </is>
      </c>
      <c r="I16" s="403" t="inlineStr">
        <is>
          <t>2024-06-25</t>
        </is>
      </c>
      <c r="J16" s="353" t="n">
        <v>2024</v>
      </c>
      <c r="K16" s="353" t="inlineStr">
        <is>
          <t>M&amp;A</t>
        </is>
      </c>
      <c r="L16" s="353" t="inlineStr">
        <is>
          <t>Full acquisition</t>
        </is>
      </c>
      <c r="M16" s="353" t="inlineStr">
        <is>
          <t>Completed</t>
        </is>
      </c>
      <c r="N16" s="353" t="n">
        <v>450</v>
      </c>
      <c r="O16" s="353" t="inlineStr">
        <is>
          <t>USD</t>
        </is>
      </c>
      <c r="P16" s="353" t="inlineStr">
        <is>
          <t>Software</t>
        </is>
      </c>
      <c r="Q16" s="353" t="inlineStr">
        <is>
          <t>API security</t>
        </is>
      </c>
      <c r="R16" s="353" t="inlineStr">
        <is>
          <t>Adjacent cyber-security</t>
        </is>
      </c>
      <c r="S16" s="353" t="inlineStr">
        <is>
          <t>API-security platform acquired by major security infrastructure company; dual-use cybersecurity relevance.</t>
        </is>
      </c>
      <c r="T16" s="353" t="inlineStr">
        <is>
          <t>High</t>
        </is>
      </c>
      <c r="U16" s="353" t="inlineStr">
        <is>
          <t>https://www.akamai.com/newsroom/press-release/akamai-completes-acquisition-of-api-security-company-noname?utm_source=chatgpt.com</t>
        </is>
      </c>
      <c r="V16" s="353" t="inlineStr">
        <is>
          <t>Company press release</t>
        </is>
      </c>
      <c r="W16" s="353" t="n"/>
    </row>
    <row r="17" ht="45" customHeight="1">
      <c r="A17" s="353" t="inlineStr">
        <is>
          <t>ISR-019</t>
        </is>
      </c>
      <c r="B17" s="353" t="inlineStr">
        <is>
          <t>Israel</t>
        </is>
      </c>
      <c r="C17" s="353" t="inlineStr">
        <is>
          <t>Israel</t>
        </is>
      </c>
      <c r="D17" s="353" t="inlineStr">
        <is>
          <t>Perimeter 81</t>
        </is>
      </c>
      <c r="E17" s="353" t="inlineStr">
        <is>
          <t>Check Point Software Technologies</t>
        </is>
      </c>
      <c r="F17" s="353" t="inlineStr">
        <is>
          <t>Israel</t>
        </is>
      </c>
      <c r="G17" s="353" t="n"/>
      <c r="H17" s="403" t="inlineStr">
        <is>
          <t>2023-08-10</t>
        </is>
      </c>
      <c r="I17" s="403" t="inlineStr">
        <is>
          <t>2023-09-11</t>
        </is>
      </c>
      <c r="J17" s="353" t="n">
        <v>2023</v>
      </c>
      <c r="K17" s="353" t="inlineStr">
        <is>
          <t>M&amp;A</t>
        </is>
      </c>
      <c r="L17" s="353" t="inlineStr">
        <is>
          <t>Acquisition</t>
        </is>
      </c>
      <c r="M17" s="353" t="inlineStr">
        <is>
          <t>Completed</t>
        </is>
      </c>
      <c r="N17" s="353" t="n">
        <v>490</v>
      </c>
      <c r="O17" s="353" t="inlineStr">
        <is>
          <t>USD</t>
        </is>
      </c>
      <c r="P17" s="353" t="inlineStr">
        <is>
          <t>Software</t>
        </is>
      </c>
      <c r="Q17" s="353" t="inlineStr">
        <is>
          <t>SASE / network security</t>
        </is>
      </c>
      <c r="R17" s="353" t="inlineStr">
        <is>
          <t>Adjacent cyber-security</t>
        </is>
      </c>
      <c r="S17" s="353" t="inlineStr">
        <is>
          <t>Israeli network-security/SASE acquisition; relevant to homeland-security and enterprise-cyber landscape.</t>
        </is>
      </c>
      <c r="T17" s="353" t="inlineStr">
        <is>
          <t>High</t>
        </is>
      </c>
      <c r="U17" s="353" t="inlineStr">
        <is>
          <t>https://www.checkpoint.com/press-releases/check-point-to-acquire-perimeter-81-to-deliver-the-fastest-and-most-secure-sase-solution-in-the-industry/?utm_source=chatgpt.com</t>
        </is>
      </c>
      <c r="V17" s="353" t="inlineStr">
        <is>
          <t>Company press release</t>
        </is>
      </c>
      <c r="W17" s="353" t="n"/>
    </row>
    <row r="18" ht="45" customHeight="1">
      <c r="A18" s="353" t="inlineStr">
        <is>
          <t>ISR-020</t>
        </is>
      </c>
      <c r="B18" s="353" t="inlineStr">
        <is>
          <t>Israel</t>
        </is>
      </c>
      <c r="C18" s="353" t="inlineStr">
        <is>
          <t>Israel</t>
        </is>
      </c>
      <c r="D18" s="353" t="inlineStr">
        <is>
          <t>Ermetic</t>
        </is>
      </c>
      <c r="E18" s="353" t="inlineStr">
        <is>
          <t>Tenable</t>
        </is>
      </c>
      <c r="F18" s="353" t="inlineStr">
        <is>
          <t>USA</t>
        </is>
      </c>
      <c r="G18" s="353" t="n"/>
      <c r="H18" s="403" t="inlineStr">
        <is>
          <t>2023-09-07</t>
        </is>
      </c>
      <c r="I18" s="403" t="inlineStr">
        <is>
          <t>2023-10-02</t>
        </is>
      </c>
      <c r="J18" s="353" t="n">
        <v>2023</v>
      </c>
      <c r="K18" s="353" t="inlineStr">
        <is>
          <t>M&amp;A</t>
        </is>
      </c>
      <c r="L18" s="353" t="inlineStr">
        <is>
          <t>Acquisition</t>
        </is>
      </c>
      <c r="M18" s="353" t="inlineStr">
        <is>
          <t>Completed</t>
        </is>
      </c>
      <c r="N18" s="353" t="n">
        <v>265</v>
      </c>
      <c r="O18" s="353" t="inlineStr">
        <is>
          <t>USD</t>
        </is>
      </c>
      <c r="P18" s="353" t="inlineStr">
        <is>
          <t>Software</t>
        </is>
      </c>
      <c r="Q18" s="353" t="inlineStr">
        <is>
          <t>Cloud infrastructure entitlement management</t>
        </is>
      </c>
      <c r="R18" s="353" t="inlineStr">
        <is>
          <t>Adjacent cyber-security</t>
        </is>
      </c>
      <c r="S18" s="353" t="inlineStr">
        <is>
          <t>Cloud security and identity-risk platform; dual-use cyber relevance.</t>
        </is>
      </c>
      <c r="T18" s="353" t="inlineStr">
        <is>
          <t>High</t>
        </is>
      </c>
      <c r="U18" s="353" t="inlineStr">
        <is>
          <t>https://www.tenable.com/press-releases/tenable-announces-intent-to-acquire-ermetic?utm_source=chatgpt.com</t>
        </is>
      </c>
      <c r="V18" s="353" t="inlineStr">
        <is>
          <t>Company press release</t>
        </is>
      </c>
      <c r="W18" s="353" t="n"/>
    </row>
    <row r="19" ht="45" customHeight="1">
      <c r="A19" s="353" t="inlineStr">
        <is>
          <t>ISR-021</t>
        </is>
      </c>
      <c r="B19" s="353" t="inlineStr">
        <is>
          <t>Israel</t>
        </is>
      </c>
      <c r="C19" s="353" t="inlineStr">
        <is>
          <t>Israel</t>
        </is>
      </c>
      <c r="D19" s="353" t="inlineStr">
        <is>
          <t>Axis Security</t>
        </is>
      </c>
      <c r="E19" s="353" t="inlineStr">
        <is>
          <t>Hewlett Packard Enterprise</t>
        </is>
      </c>
      <c r="F19" s="353" t="inlineStr">
        <is>
          <t>USA</t>
        </is>
      </c>
      <c r="G19" s="353" t="n"/>
      <c r="H19" s="403" t="inlineStr">
        <is>
          <t>2023-03-02</t>
        </is>
      </c>
      <c r="I19" s="403" t="inlineStr">
        <is>
          <t>2023-03-31</t>
        </is>
      </c>
      <c r="J19" s="353" t="n">
        <v>2023</v>
      </c>
      <c r="K19" s="353" t="inlineStr">
        <is>
          <t>M&amp;A</t>
        </is>
      </c>
      <c r="L19" s="353" t="inlineStr">
        <is>
          <t>Acquisition</t>
        </is>
      </c>
      <c r="M19" s="353" t="inlineStr">
        <is>
          <t>Completed</t>
        </is>
      </c>
      <c r="N19" s="353" t="n">
        <v>500</v>
      </c>
      <c r="O19" s="353" t="inlineStr">
        <is>
          <t>USD</t>
        </is>
      </c>
      <c r="P19" s="353" t="inlineStr">
        <is>
          <t>Software</t>
        </is>
      </c>
      <c r="Q19" s="353" t="inlineStr">
        <is>
          <t>SASE / secure access</t>
        </is>
      </c>
      <c r="R19" s="353" t="inlineStr">
        <is>
          <t>Adjacent cyber-security</t>
        </is>
      </c>
      <c r="S19" s="353" t="inlineStr">
        <is>
          <t>Secure access / edge cybersecurity relevant to security infrastructure; not pure A&amp;D.</t>
        </is>
      </c>
      <c r="T19" s="353" t="inlineStr">
        <is>
          <t>Medium-High</t>
        </is>
      </c>
      <c r="U19" s="353" t="inlineStr">
        <is>
          <t>https://en.globes.co.il/en/article-hpe-buys-israeli-co-axis-security-for-500m-1001440101?utm_source=chatgpt.com</t>
        </is>
      </c>
      <c r="V19" s="353" t="inlineStr">
        <is>
          <t>Company press release</t>
        </is>
      </c>
      <c r="W19" s="353" t="inlineStr">
        <is>
          <t>Reported value from business press; official release may not disclose price.</t>
        </is>
      </c>
    </row>
    <row r="20" ht="45" customHeight="1">
      <c r="A20" s="353" t="inlineStr">
        <is>
          <t>ISR-022</t>
        </is>
      </c>
      <c r="B20" s="353" t="inlineStr">
        <is>
          <t>Israel</t>
        </is>
      </c>
      <c r="C20" s="353" t="inlineStr">
        <is>
          <t>Israel</t>
        </is>
      </c>
      <c r="D20" s="353" t="inlineStr">
        <is>
          <t>Avalor</t>
        </is>
      </c>
      <c r="E20" s="353" t="inlineStr">
        <is>
          <t>Zscaler</t>
        </is>
      </c>
      <c r="F20" s="353" t="inlineStr">
        <is>
          <t>USA</t>
        </is>
      </c>
      <c r="G20" s="353" t="n"/>
      <c r="H20" s="403" t="inlineStr">
        <is>
          <t>2024-03-13</t>
        </is>
      </c>
      <c r="I20" s="403" t="inlineStr">
        <is>
          <t>2024-03-26</t>
        </is>
      </c>
      <c r="J20" s="353" t="n">
        <v>2024</v>
      </c>
      <c r="K20" s="353" t="inlineStr">
        <is>
          <t>M&amp;A</t>
        </is>
      </c>
      <c r="L20" s="353" t="inlineStr">
        <is>
          <t>Acquisition</t>
        </is>
      </c>
      <c r="M20" s="353" t="inlineStr">
        <is>
          <t>Completed</t>
        </is>
      </c>
      <c r="N20" s="353" t="n">
        <v>350</v>
      </c>
      <c r="O20" s="353" t="inlineStr">
        <is>
          <t>USD</t>
        </is>
      </c>
      <c r="P20" s="353" t="inlineStr">
        <is>
          <t>Software</t>
        </is>
      </c>
      <c r="Q20" s="353" t="inlineStr">
        <is>
          <t>Security data fabric / exposure management</t>
        </is>
      </c>
      <c r="R20" s="353" t="inlineStr">
        <is>
          <t>Adjacent cyber-security</t>
        </is>
      </c>
      <c r="S20" s="353" t="inlineStr">
        <is>
          <t>Israeli security-data platform acquired by Zscaler; relevant to cyber-security consolidation.</t>
        </is>
      </c>
      <c r="T20" s="353" t="inlineStr">
        <is>
          <t>High</t>
        </is>
      </c>
      <c r="U20" s="353" t="inlineStr">
        <is>
          <t>https://www.calcalistech.com/ctechnews/article/b1jvqdgr6?utm_source=chatgpt.com</t>
        </is>
      </c>
      <c r="V20" s="353" t="inlineStr">
        <is>
          <t>Company press release</t>
        </is>
      </c>
      <c r="W20" s="353" t="n"/>
    </row>
    <row r="21" ht="45" customHeight="1">
      <c r="A21" s="353" t="inlineStr">
        <is>
          <t>ISR-023</t>
        </is>
      </c>
      <c r="B21" s="353" t="inlineStr">
        <is>
          <t>Israel</t>
        </is>
      </c>
      <c r="C21" s="353" t="inlineStr">
        <is>
          <t>Israel</t>
        </is>
      </c>
      <c r="D21" s="353" t="inlineStr">
        <is>
          <t>Gem Security</t>
        </is>
      </c>
      <c r="E21" s="353" t="inlineStr">
        <is>
          <t>Wiz</t>
        </is>
      </c>
      <c r="F21" s="353" t="inlineStr">
        <is>
          <t>Israel-founded / USA</t>
        </is>
      </c>
      <c r="G21" s="353" t="n"/>
      <c r="H21" s="403" t="inlineStr">
        <is>
          <t>2024-04-10</t>
        </is>
      </c>
      <c r="I21" s="403" t="n"/>
      <c r="J21" s="353" t="n">
        <v>2024</v>
      </c>
      <c r="K21" s="353" t="inlineStr">
        <is>
          <t>M&amp;A</t>
        </is>
      </c>
      <c r="L21" s="353" t="inlineStr">
        <is>
          <t>Acquisition</t>
        </is>
      </c>
      <c r="M21" s="353" t="inlineStr">
        <is>
          <t>Completed</t>
        </is>
      </c>
      <c r="N21" s="353" t="n">
        <v>350</v>
      </c>
      <c r="O21" s="353" t="inlineStr">
        <is>
          <t>USD</t>
        </is>
      </c>
      <c r="P21" s="353" t="inlineStr">
        <is>
          <t>Software</t>
        </is>
      </c>
      <c r="Q21" s="353" t="inlineStr">
        <is>
          <t>Cloud detection and response</t>
        </is>
      </c>
      <c r="R21" s="353" t="inlineStr">
        <is>
          <t>Adjacent cyber-security</t>
        </is>
      </c>
      <c r="S21" s="353" t="inlineStr">
        <is>
          <t>Cloud threat-detection acquisition by Israeli-founded security platform Wiz.</t>
        </is>
      </c>
      <c r="T21" s="353" t="inlineStr">
        <is>
          <t>Medium-High</t>
        </is>
      </c>
      <c r="U21" s="353" t="inlineStr">
        <is>
          <t>https://www.calcalistech.com/ctechnews/article/bjleedj0t?utm_source=chatgpt.com</t>
        </is>
      </c>
      <c r="V21" s="353" t="inlineStr">
        <is>
          <t>Company blog / press</t>
        </is>
      </c>
      <c r="W21" s="353" t="n"/>
    </row>
    <row r="22" ht="45" customHeight="1">
      <c r="A22" s="353" t="inlineStr">
        <is>
          <t>ISR-024</t>
        </is>
      </c>
      <c r="B22" s="353" t="inlineStr">
        <is>
          <t>Israel</t>
        </is>
      </c>
      <c r="C22" s="353" t="inlineStr">
        <is>
          <t>Israel</t>
        </is>
      </c>
      <c r="D22" s="353" t="inlineStr">
        <is>
          <t>Laminar</t>
        </is>
      </c>
      <c r="E22" s="353" t="inlineStr">
        <is>
          <t>Rubrik</t>
        </is>
      </c>
      <c r="F22" s="353" t="inlineStr">
        <is>
          <t>USA</t>
        </is>
      </c>
      <c r="G22" s="353" t="n"/>
      <c r="H22" s="403" t="inlineStr">
        <is>
          <t>2023-08-08</t>
        </is>
      </c>
      <c r="I22" s="403" t="n"/>
      <c r="J22" s="353" t="n">
        <v>2023</v>
      </c>
      <c r="K22" s="353" t="inlineStr">
        <is>
          <t>M&amp;A</t>
        </is>
      </c>
      <c r="L22" s="353" t="inlineStr">
        <is>
          <t>Acquisition</t>
        </is>
      </c>
      <c r="M22" s="353" t="inlineStr">
        <is>
          <t>Completed</t>
        </is>
      </c>
      <c r="N22" s="353" t="n">
        <v>200</v>
      </c>
      <c r="O22" s="353" t="inlineStr">
        <is>
          <t>USD</t>
        </is>
      </c>
      <c r="P22" s="353" t="inlineStr">
        <is>
          <t>Software</t>
        </is>
      </c>
      <c r="Q22" s="353" t="inlineStr">
        <is>
          <t>Cloud data security</t>
        </is>
      </c>
      <c r="R22" s="353" t="inlineStr">
        <is>
          <t>Adjacent cyber-security</t>
        </is>
      </c>
      <c r="S22" s="353" t="inlineStr">
        <is>
          <t>Cloud data-security acquisition; dual-use cyber relevance.</t>
        </is>
      </c>
      <c r="T22" s="353" t="inlineStr">
        <is>
          <t>High</t>
        </is>
      </c>
      <c r="U22" s="353" t="n"/>
      <c r="V22" s="353" t="inlineStr">
        <is>
          <t>Company press release</t>
        </is>
      </c>
      <c r="W22" s="353" t="inlineStr">
        <is>
          <t>Reported value around $200m-$250m.</t>
        </is>
      </c>
    </row>
    <row r="23" ht="45" customHeight="1">
      <c r="A23" s="353" t="inlineStr">
        <is>
          <t>ISR-025</t>
        </is>
      </c>
      <c r="B23" s="353" t="inlineStr">
        <is>
          <t>Israel</t>
        </is>
      </c>
      <c r="C23" s="353" t="inlineStr">
        <is>
          <t>Israel</t>
        </is>
      </c>
      <c r="D23" s="353" t="inlineStr">
        <is>
          <t>Flow Security</t>
        </is>
      </c>
      <c r="E23" s="353" t="inlineStr">
        <is>
          <t>CrowdStrike</t>
        </is>
      </c>
      <c r="F23" s="353" t="inlineStr">
        <is>
          <t>USA</t>
        </is>
      </c>
      <c r="G23" s="353" t="n"/>
      <c r="H23" s="403" t="inlineStr">
        <is>
          <t>2024-03-05</t>
        </is>
      </c>
      <c r="I23" s="403" t="n"/>
      <c r="J23" s="353" t="n">
        <v>2024</v>
      </c>
      <c r="K23" s="353" t="inlineStr">
        <is>
          <t>M&amp;A</t>
        </is>
      </c>
      <c r="L23" s="353" t="inlineStr">
        <is>
          <t>Acquisition</t>
        </is>
      </c>
      <c r="M23" s="353" t="inlineStr">
        <is>
          <t>Completed</t>
        </is>
      </c>
      <c r="N23" s="353" t="n">
        <v>200</v>
      </c>
      <c r="O23" s="353" t="inlineStr">
        <is>
          <t>USD</t>
        </is>
      </c>
      <c r="P23" s="353" t="inlineStr">
        <is>
          <t>Software</t>
        </is>
      </c>
      <c r="Q23" s="353" t="inlineStr">
        <is>
          <t>Cloud data runtime security</t>
        </is>
      </c>
      <c r="R23" s="353" t="inlineStr">
        <is>
          <t>Adjacent cyber-security</t>
        </is>
      </c>
      <c r="S23" s="353" t="inlineStr">
        <is>
          <t>Cloud data-security acquisition by CrowdStrike; relevant to cyber/security but not pure A&amp;D.</t>
        </is>
      </c>
      <c r="T23" s="353" t="inlineStr">
        <is>
          <t>Medium-High</t>
        </is>
      </c>
      <c r="U23" s="353" t="n"/>
      <c r="V23" s="353" t="inlineStr">
        <is>
          <t>Company press release</t>
        </is>
      </c>
      <c r="W23" s="353" t="inlineStr">
        <is>
          <t>Reported value from business press.</t>
        </is>
      </c>
    </row>
    <row r="24" ht="45" customHeight="1">
      <c r="A24" s="353" t="inlineStr">
        <is>
          <t>ISR-026</t>
        </is>
      </c>
      <c r="B24" s="353" t="inlineStr">
        <is>
          <t>Israel</t>
        </is>
      </c>
      <c r="C24" s="353" t="inlineStr">
        <is>
          <t>Israel</t>
        </is>
      </c>
      <c r="D24" s="353" t="inlineStr">
        <is>
          <t>Bionic</t>
        </is>
      </c>
      <c r="E24" s="353" t="inlineStr">
        <is>
          <t>CrowdStrike</t>
        </is>
      </c>
      <c r="F24" s="353" t="inlineStr">
        <is>
          <t>USA</t>
        </is>
      </c>
      <c r="G24" s="353" t="n"/>
      <c r="H24" s="403" t="inlineStr">
        <is>
          <t>2023-09-19</t>
        </is>
      </c>
      <c r="I24" s="403" t="n"/>
      <c r="J24" s="353" t="n">
        <v>2023</v>
      </c>
      <c r="K24" s="353" t="inlineStr">
        <is>
          <t>M&amp;A</t>
        </is>
      </c>
      <c r="L24" s="353" t="inlineStr">
        <is>
          <t>Acquisition</t>
        </is>
      </c>
      <c r="M24" s="353" t="inlineStr">
        <is>
          <t>Completed</t>
        </is>
      </c>
      <c r="N24" s="353" t="n">
        <v>350</v>
      </c>
      <c r="O24" s="353" t="inlineStr">
        <is>
          <t>USD</t>
        </is>
      </c>
      <c r="P24" s="353" t="inlineStr">
        <is>
          <t>Software</t>
        </is>
      </c>
      <c r="Q24" s="353" t="inlineStr">
        <is>
          <t>Application security posture management</t>
        </is>
      </c>
      <c r="R24" s="353" t="inlineStr">
        <is>
          <t>Adjacent cyber-security</t>
        </is>
      </c>
      <c r="S24" s="353" t="inlineStr">
        <is>
          <t>Israeli app-security company acquired by CrowdStrike; security-adjacent.</t>
        </is>
      </c>
      <c r="T24" s="353" t="inlineStr">
        <is>
          <t>High</t>
        </is>
      </c>
      <c r="U24" s="353" t="n"/>
      <c r="V24" s="353" t="inlineStr">
        <is>
          <t>Company press release</t>
        </is>
      </c>
      <c r="W24" s="353" t="n"/>
    </row>
    <row r="25" ht="45" customHeight="1">
      <c r="A25" s="353" t="inlineStr">
        <is>
          <t>ISR-028</t>
        </is>
      </c>
      <c r="B25" s="353" t="inlineStr">
        <is>
          <t>Israel</t>
        </is>
      </c>
      <c r="C25" s="353" t="inlineStr">
        <is>
          <t>Israel</t>
        </is>
      </c>
      <c r="D25" s="353" t="inlineStr">
        <is>
          <t>Spera Security</t>
        </is>
      </c>
      <c r="E25" s="353" t="inlineStr">
        <is>
          <t>Okta</t>
        </is>
      </c>
      <c r="F25" s="353" t="inlineStr">
        <is>
          <t>USA</t>
        </is>
      </c>
      <c r="G25" s="353" t="n"/>
      <c r="H25" s="403" t="inlineStr">
        <is>
          <t>2023-12-19</t>
        </is>
      </c>
      <c r="I25" s="403" t="inlineStr">
        <is>
          <t>2024-02-01</t>
        </is>
      </c>
      <c r="J25" s="353" t="n">
        <v>2024</v>
      </c>
      <c r="K25" s="353" t="inlineStr">
        <is>
          <t>M&amp;A</t>
        </is>
      </c>
      <c r="L25" s="353" t="inlineStr">
        <is>
          <t>Acquisition</t>
        </is>
      </c>
      <c r="M25" s="353" t="inlineStr">
        <is>
          <t>Completed</t>
        </is>
      </c>
      <c r="N25" s="353" t="n">
        <v>110</v>
      </c>
      <c r="O25" s="353" t="inlineStr">
        <is>
          <t>USD</t>
        </is>
      </c>
      <c r="P25" s="353" t="inlineStr">
        <is>
          <t>Software</t>
        </is>
      </c>
      <c r="Q25" s="353" t="inlineStr">
        <is>
          <t>Identity security posture management</t>
        </is>
      </c>
      <c r="R25" s="353" t="inlineStr">
        <is>
          <t>Adjacent cyber-security</t>
        </is>
      </c>
      <c r="S25" s="353" t="inlineStr">
        <is>
          <t>Identity-security posture management; relevant to cyber/zero-trust security.</t>
        </is>
      </c>
      <c r="T25" s="353" t="inlineStr">
        <is>
          <t>High</t>
        </is>
      </c>
      <c r="U25" s="353" t="n"/>
      <c r="V25" s="353" t="inlineStr">
        <is>
          <t>Company press release</t>
        </is>
      </c>
      <c r="W25" s="353" t="n"/>
    </row>
    <row r="26" ht="45" customHeight="1">
      <c r="A26" s="353" t="inlineStr">
        <is>
          <t>ISR-029</t>
        </is>
      </c>
      <c r="B26" s="353" t="inlineStr">
        <is>
          <t>Israel</t>
        </is>
      </c>
      <c r="C26" s="353" t="inlineStr">
        <is>
          <t>Israel</t>
        </is>
      </c>
      <c r="D26" s="353" t="inlineStr">
        <is>
          <t>SCADAfence</t>
        </is>
      </c>
      <c r="E26" s="353" t="inlineStr">
        <is>
          <t>Honeywell</t>
        </is>
      </c>
      <c r="F26" s="353" t="inlineStr">
        <is>
          <t>USA</t>
        </is>
      </c>
      <c r="G26" s="353" t="n"/>
      <c r="H26" s="403" t="inlineStr">
        <is>
          <t>2023-07-10</t>
        </is>
      </c>
      <c r="I26" s="403" t="inlineStr">
        <is>
          <t>2023-08-14</t>
        </is>
      </c>
      <c r="J26" s="353" t="n">
        <v>2023</v>
      </c>
      <c r="K26" s="353" t="inlineStr">
        <is>
          <t>M&amp;A</t>
        </is>
      </c>
      <c r="L26" s="353" t="inlineStr">
        <is>
          <t>Acquisition</t>
        </is>
      </c>
      <c r="M26" s="353" t="inlineStr">
        <is>
          <t>Completed</t>
        </is>
      </c>
      <c r="N26" s="353" t="n"/>
      <c r="O26" s="353" t="inlineStr">
        <is>
          <t>USD</t>
        </is>
      </c>
      <c r="P26" s="353" t="inlineStr">
        <is>
          <t>Software</t>
        </is>
      </c>
      <c r="Q26" s="353" t="inlineStr">
        <is>
          <t>OT / industrial cybersecurity</t>
        </is>
      </c>
      <c r="R26" s="353" t="inlineStr">
        <is>
          <t>Adjacent cyber / critical infrastructure</t>
        </is>
      </c>
      <c r="S26" s="353" t="inlineStr">
        <is>
          <t>OT cybersecurity for industrial and critical infrastructure environments; strong homeland-security relevance.</t>
        </is>
      </c>
      <c r="T26" s="353" t="inlineStr">
        <is>
          <t>High</t>
        </is>
      </c>
      <c r="U26" s="353" t="n"/>
      <c r="V26" s="353" t="inlineStr">
        <is>
          <t>Company press release</t>
        </is>
      </c>
      <c r="W26" s="353" t="n"/>
    </row>
    <row r="27" ht="45" customHeight="1">
      <c r="A27" s="353" t="inlineStr">
        <is>
          <t>ISR-032</t>
        </is>
      </c>
      <c r="B27" s="353" t="inlineStr">
        <is>
          <t>Israel</t>
        </is>
      </c>
      <c r="C27" s="353" t="inlineStr">
        <is>
          <t>Israel</t>
        </is>
      </c>
      <c r="D27" s="353" t="inlineStr">
        <is>
          <t>Enso Security</t>
        </is>
      </c>
      <c r="E27" s="353" t="inlineStr">
        <is>
          <t>Snyk</t>
        </is>
      </c>
      <c r="F27" s="353" t="inlineStr">
        <is>
          <t>UK / USA</t>
        </is>
      </c>
      <c r="G27" s="353" t="n"/>
      <c r="H27" s="403" t="inlineStr">
        <is>
          <t>2023-06-20</t>
        </is>
      </c>
      <c r="I27" s="403" t="n"/>
      <c r="J27" s="353" t="n">
        <v>2023</v>
      </c>
      <c r="K27" s="353" t="inlineStr">
        <is>
          <t>M&amp;A</t>
        </is>
      </c>
      <c r="L27" s="353" t="inlineStr">
        <is>
          <t>Acquisition</t>
        </is>
      </c>
      <c r="M27" s="353" t="inlineStr">
        <is>
          <t>Completed</t>
        </is>
      </c>
      <c r="N27" s="353" t="n"/>
      <c r="O27" s="353" t="inlineStr">
        <is>
          <t>USD</t>
        </is>
      </c>
      <c r="P27" s="353" t="inlineStr">
        <is>
          <t>Software</t>
        </is>
      </c>
      <c r="Q27" s="353" t="inlineStr">
        <is>
          <t>Application security posture management</t>
        </is>
      </c>
      <c r="R27" s="353" t="inlineStr">
        <is>
          <t>Adjacent cyber-security</t>
        </is>
      </c>
      <c r="S27" s="353" t="inlineStr">
        <is>
          <t>Israeli application-security posture management acquired by Snyk; cyber-security fit.</t>
        </is>
      </c>
      <c r="T27" s="353" t="inlineStr">
        <is>
          <t>High</t>
        </is>
      </c>
      <c r="U27" s="353" t="n"/>
      <c r="V27" s="353" t="inlineStr">
        <is>
          <t>Company press release</t>
        </is>
      </c>
      <c r="W27" s="353" t="n"/>
    </row>
    <row r="28" ht="45" customHeight="1">
      <c r="A28" s="353" t="inlineStr">
        <is>
          <t>ISR-033</t>
        </is>
      </c>
      <c r="B28" s="353" t="inlineStr">
        <is>
          <t>Israel</t>
        </is>
      </c>
      <c r="C28" s="353" t="inlineStr">
        <is>
          <t>Israel</t>
        </is>
      </c>
      <c r="D28" s="353" t="inlineStr">
        <is>
          <t>Silk Security</t>
        </is>
      </c>
      <c r="E28" s="353" t="inlineStr">
        <is>
          <t>Armis</t>
        </is>
      </c>
      <c r="F28" s="353" t="inlineStr">
        <is>
          <t>Israel / USA</t>
        </is>
      </c>
      <c r="G28" s="353" t="n"/>
      <c r="H28" s="403" t="inlineStr">
        <is>
          <t>2024-04-17</t>
        </is>
      </c>
      <c r="I28" s="403" t="n"/>
      <c r="J28" s="353" t="n">
        <v>2024</v>
      </c>
      <c r="K28" s="353" t="inlineStr">
        <is>
          <t>M&amp;A</t>
        </is>
      </c>
      <c r="L28" s="353" t="inlineStr">
        <is>
          <t>Acquisition</t>
        </is>
      </c>
      <c r="M28" s="353" t="inlineStr">
        <is>
          <t>Completed</t>
        </is>
      </c>
      <c r="N28" s="353" t="n">
        <v>150</v>
      </c>
      <c r="O28" s="353" t="inlineStr">
        <is>
          <t>USD</t>
        </is>
      </c>
      <c r="P28" s="353" t="inlineStr">
        <is>
          <t>Software</t>
        </is>
      </c>
      <c r="Q28" s="353" t="inlineStr">
        <is>
          <t>Cyber risk prioritization</t>
        </is>
      </c>
      <c r="R28" s="353" t="inlineStr">
        <is>
          <t>Adjacent cyber-security</t>
        </is>
      </c>
      <c r="S28" s="353" t="inlineStr">
        <is>
          <t>Cyber-risk prioritization platform acquired by Armis; security-adjacent.</t>
        </is>
      </c>
      <c r="T28" s="353" t="inlineStr">
        <is>
          <t>High</t>
        </is>
      </c>
      <c r="U28" s="353" t="n"/>
      <c r="V28" s="353" t="inlineStr">
        <is>
          <t>Company press release</t>
        </is>
      </c>
      <c r="W28" s="353" t="inlineStr">
        <is>
          <t>Reported value from business press.</t>
        </is>
      </c>
    </row>
    <row r="29" ht="45" customHeight="1">
      <c r="A29" s="353" t="inlineStr">
        <is>
          <t>ISR-034</t>
        </is>
      </c>
      <c r="B29" s="353" t="inlineStr">
        <is>
          <t>Israel</t>
        </is>
      </c>
      <c r="C29" s="353" t="inlineStr">
        <is>
          <t>Israel</t>
        </is>
      </c>
      <c r="D29" s="353" t="inlineStr">
        <is>
          <t>Authomize</t>
        </is>
      </c>
      <c r="E29" s="353" t="inlineStr">
        <is>
          <t>Delinea</t>
        </is>
      </c>
      <c r="F29" s="353" t="inlineStr">
        <is>
          <t>USA</t>
        </is>
      </c>
      <c r="G29" s="353" t="n"/>
      <c r="H29" s="403" t="inlineStr">
        <is>
          <t>2024-01-09</t>
        </is>
      </c>
      <c r="I29" s="403" t="inlineStr">
        <is>
          <t>2024-02-01</t>
        </is>
      </c>
      <c r="J29" s="353" t="n">
        <v>2024</v>
      </c>
      <c r="K29" s="353" t="inlineStr">
        <is>
          <t>M&amp;A</t>
        </is>
      </c>
      <c r="L29" s="353" t="inlineStr">
        <is>
          <t>Acquisition</t>
        </is>
      </c>
      <c r="M29" s="353" t="inlineStr">
        <is>
          <t>Completed</t>
        </is>
      </c>
      <c r="N29" s="353" t="n"/>
      <c r="O29" s="353" t="inlineStr">
        <is>
          <t>USD</t>
        </is>
      </c>
      <c r="P29" s="353" t="inlineStr">
        <is>
          <t>Software</t>
        </is>
      </c>
      <c r="Q29" s="353" t="inlineStr">
        <is>
          <t>Identity threat detection and response</t>
        </is>
      </c>
      <c r="R29" s="353" t="inlineStr">
        <is>
          <t>Adjacent cyber-security</t>
        </is>
      </c>
      <c r="S29" s="353" t="inlineStr">
        <is>
          <t>Identity-security and threat-detection acquisition; cyber-security fit.</t>
        </is>
      </c>
      <c r="T29" s="353" t="inlineStr">
        <is>
          <t>High</t>
        </is>
      </c>
      <c r="U29" s="353" t="n"/>
      <c r="V29" s="353" t="inlineStr">
        <is>
          <t>Company press release</t>
        </is>
      </c>
      <c r="W29" s="353" t="n"/>
    </row>
    <row r="30" ht="45" customHeight="1">
      <c r="A30" s="353" t="inlineStr">
        <is>
          <t>USA-040</t>
        </is>
      </c>
      <c r="B30" s="353" t="inlineStr">
        <is>
          <t>USA</t>
        </is>
      </c>
      <c r="C30" s="353" t="inlineStr">
        <is>
          <t>USA</t>
        </is>
      </c>
      <c r="D30" s="353" t="inlineStr">
        <is>
          <t>Spirit AeroSystems</t>
        </is>
      </c>
      <c r="E30" s="353" t="inlineStr">
        <is>
          <t>Boeing</t>
        </is>
      </c>
      <c r="F30" s="353" t="inlineStr">
        <is>
          <t>USA</t>
        </is>
      </c>
      <c r="G30" s="353" t="inlineStr">
        <is>
          <t>Public shareholders</t>
        </is>
      </c>
      <c r="H30" s="403" t="inlineStr">
        <is>
          <t>2024-07-01</t>
        </is>
      </c>
      <c r="I30" s="403" t="inlineStr">
        <is>
          <t>2025-12-08</t>
        </is>
      </c>
      <c r="J30" s="353" t="n">
        <v>2025</v>
      </c>
      <c r="K30" s="353" t="inlineStr">
        <is>
          <t>M&amp;A</t>
        </is>
      </c>
      <c r="L30" s="353" t="inlineStr">
        <is>
          <t>Full acquisition</t>
        </is>
      </c>
      <c r="M30" s="353" t="inlineStr">
        <is>
          <t>Completed</t>
        </is>
      </c>
      <c r="N30" s="353" t="n">
        <v>4700</v>
      </c>
      <c r="O30" s="353" t="inlineStr">
        <is>
          <t>USD</t>
        </is>
      </c>
      <c r="P30" s="353" t="inlineStr">
        <is>
          <t>Hardware</t>
        </is>
      </c>
      <c r="Q30" s="353" t="inlineStr">
        <is>
          <t>Aerospace structures / supply chain</t>
        </is>
      </c>
      <c r="R30" s="353" t="inlineStr">
        <is>
          <t>Core aerospace</t>
        </is>
      </c>
      <c r="S30" s="353" t="inlineStr">
        <is>
          <t>Major aerospace structures supplier; central to aircraft production supply chain.</t>
        </is>
      </c>
      <c r="T30" s="353" t="inlineStr">
        <is>
          <t>High</t>
        </is>
      </c>
      <c r="U30" s="353" t="n"/>
      <c r="V30" s="353" t="inlineStr">
        <is>
          <t>Company press release / Reuters</t>
        </is>
      </c>
      <c r="W30" s="353" t="inlineStr">
        <is>
          <t>Enterprise value often cited around $8.3bn including debt.</t>
        </is>
      </c>
    </row>
    <row r="31" ht="45" customHeight="1">
      <c r="A31" s="353" t="inlineStr">
        <is>
          <t>USA-041</t>
        </is>
      </c>
      <c r="B31" s="353" t="inlineStr">
        <is>
          <t>USA</t>
        </is>
      </c>
      <c r="C31" s="353" t="inlineStr">
        <is>
          <t>USA</t>
        </is>
      </c>
      <c r="D31" s="353" t="inlineStr">
        <is>
          <t>CAES Systems</t>
        </is>
      </c>
      <c r="E31" s="353" t="inlineStr">
        <is>
          <t>Honeywell</t>
        </is>
      </c>
      <c r="F31" s="353" t="inlineStr">
        <is>
          <t>USA</t>
        </is>
      </c>
      <c r="G31" s="353" t="inlineStr">
        <is>
          <t>Advent International</t>
        </is>
      </c>
      <c r="H31" s="403" t="inlineStr">
        <is>
          <t>2024-06-20</t>
        </is>
      </c>
      <c r="I31" s="403" t="inlineStr">
        <is>
          <t>2024-09-04</t>
        </is>
      </c>
      <c r="J31" s="353" t="n">
        <v>2024</v>
      </c>
      <c r="K31" s="353" t="inlineStr">
        <is>
          <t>M&amp;A</t>
        </is>
      </c>
      <c r="L31" s="353" t="inlineStr">
        <is>
          <t>Full acquisition</t>
        </is>
      </c>
      <c r="M31" s="353" t="inlineStr">
        <is>
          <t>Completed</t>
        </is>
      </c>
      <c r="N31" s="353" t="n">
        <v>1900</v>
      </c>
      <c r="O31" s="353" t="inlineStr">
        <is>
          <t>USD</t>
        </is>
      </c>
      <c r="P31" s="353" t="inlineStr">
        <is>
          <t>Hardware</t>
        </is>
      </c>
      <c r="Q31" s="353" t="inlineStr">
        <is>
          <t>RF electronics / defense electronics</t>
        </is>
      </c>
      <c r="R31" s="353" t="inlineStr">
        <is>
          <t>Core A&amp;D</t>
        </is>
      </c>
      <c r="S31" s="353" t="inlineStr">
        <is>
          <t>High-reliability RF, antenna and communications electronics used across defense platforms.</t>
        </is>
      </c>
      <c r="T31" s="353" t="inlineStr">
        <is>
          <t>High</t>
        </is>
      </c>
      <c r="U31" s="353" t="n"/>
      <c r="V31" s="353" t="inlineStr">
        <is>
          <t>Company press release</t>
        </is>
      </c>
      <c r="W31" s="353" t="n"/>
    </row>
    <row r="32" ht="45" customHeight="1">
      <c r="A32" s="353" t="inlineStr">
        <is>
          <t>USA-042</t>
        </is>
      </c>
      <c r="B32" s="353" t="inlineStr">
        <is>
          <t>USA</t>
        </is>
      </c>
      <c r="C32" s="353" t="inlineStr">
        <is>
          <t>USA</t>
        </is>
      </c>
      <c r="D32" s="353" t="inlineStr">
        <is>
          <t>BlueHalo</t>
        </is>
      </c>
      <c r="E32" s="353" t="inlineStr">
        <is>
          <t>AeroVironment</t>
        </is>
      </c>
      <c r="F32" s="353" t="inlineStr">
        <is>
          <t>USA</t>
        </is>
      </c>
      <c r="G32" s="353" t="inlineStr">
        <is>
          <t>Arlington Capital Partners</t>
        </is>
      </c>
      <c r="H32" s="403" t="inlineStr">
        <is>
          <t>2024-11-19</t>
        </is>
      </c>
      <c r="I32" s="403" t="inlineStr">
        <is>
          <t>2025-05-01</t>
        </is>
      </c>
      <c r="J32" s="353" t="n">
        <v>2025</v>
      </c>
      <c r="K32" s="353" t="inlineStr">
        <is>
          <t>M&amp;A</t>
        </is>
      </c>
      <c r="L32" s="353" t="inlineStr">
        <is>
          <t>Stock transaction / merger</t>
        </is>
      </c>
      <c r="M32" s="353" t="inlineStr">
        <is>
          <t>Completed</t>
        </is>
      </c>
      <c r="N32" s="353" t="n">
        <v>4100</v>
      </c>
      <c r="O32" s="353" t="inlineStr">
        <is>
          <t>USD</t>
        </is>
      </c>
      <c r="P32" s="353" t="inlineStr">
        <is>
          <t>Hardware/Software</t>
        </is>
      </c>
      <c r="Q32" s="353" t="inlineStr">
        <is>
          <t>C-UAS / directed energy / space / cyber</t>
        </is>
      </c>
      <c r="R32" s="353" t="inlineStr">
        <is>
          <t>Core A&amp;D</t>
        </is>
      </c>
      <c r="S32" s="353" t="inlineStr">
        <is>
          <t>Creates defense-tech portfolio across uncrewed systems, counter-UAS, directed energy, cyber and space.</t>
        </is>
      </c>
      <c r="T32" s="353" t="inlineStr">
        <is>
          <t>High</t>
        </is>
      </c>
      <c r="U32" s="353" t="n"/>
      <c r="V32" s="353" t="inlineStr">
        <is>
          <t>Company press release</t>
        </is>
      </c>
      <c r="W32" s="353" t="n"/>
    </row>
    <row r="33" ht="45" customHeight="1">
      <c r="A33" s="353" t="inlineStr">
        <is>
          <t>USA-043</t>
        </is>
      </c>
      <c r="B33" s="353" t="inlineStr">
        <is>
          <t>USA</t>
        </is>
      </c>
      <c r="C33" s="353" t="inlineStr">
        <is>
          <t>USA</t>
        </is>
      </c>
      <c r="D33" s="353" t="inlineStr">
        <is>
          <t>LinQuest</t>
        </is>
      </c>
      <c r="E33" s="353" t="inlineStr">
        <is>
          <t>KBR</t>
        </is>
      </c>
      <c r="F33" s="353" t="inlineStr">
        <is>
          <t>USA</t>
        </is>
      </c>
      <c r="G33" s="353" t="inlineStr">
        <is>
          <t>Madison Dearborn Partners</t>
        </is>
      </c>
      <c r="H33" s="403" t="inlineStr">
        <is>
          <t>2024-07-16</t>
        </is>
      </c>
      <c r="I33" s="403" t="inlineStr">
        <is>
          <t>2024-09-03</t>
        </is>
      </c>
      <c r="J33" s="353" t="n">
        <v>2024</v>
      </c>
      <c r="K33" s="353" t="inlineStr">
        <is>
          <t>M&amp;A</t>
        </is>
      </c>
      <c r="L33" s="353" t="inlineStr">
        <is>
          <t>Full acquisition</t>
        </is>
      </c>
      <c r="M33" s="353" t="inlineStr">
        <is>
          <t>Completed</t>
        </is>
      </c>
      <c r="N33" s="353" t="n">
        <v>737</v>
      </c>
      <c r="O33" s="353" t="inlineStr">
        <is>
          <t>USD</t>
        </is>
      </c>
      <c r="P33" s="353" t="inlineStr">
        <is>
          <t>Services/Software</t>
        </is>
      </c>
      <c r="Q33" s="353" t="inlineStr">
        <is>
          <t>National security space / digital integration</t>
        </is>
      </c>
      <c r="R33" s="353" t="inlineStr">
        <is>
          <t>Core A&amp;D services</t>
        </is>
      </c>
      <c r="S33" s="353" t="inlineStr">
        <is>
          <t>Engineering, data analytics and digital integration for national-security space missions.</t>
        </is>
      </c>
      <c r="T33" s="353" t="inlineStr">
        <is>
          <t>High</t>
        </is>
      </c>
      <c r="U33" s="353" t="n"/>
      <c r="V33" s="353" t="inlineStr">
        <is>
          <t>Company press release</t>
        </is>
      </c>
      <c r="W33" s="353" t="n"/>
    </row>
    <row r="34" ht="45" customHeight="1">
      <c r="A34" s="353" t="inlineStr">
        <is>
          <t>USA-044</t>
        </is>
      </c>
      <c r="B34" s="353" t="inlineStr">
        <is>
          <t>USA</t>
        </is>
      </c>
      <c r="C34" s="353" t="inlineStr">
        <is>
          <t>USA</t>
        </is>
      </c>
      <c r="D34" s="353" t="inlineStr">
        <is>
          <t>SciTec</t>
        </is>
      </c>
      <c r="E34" s="353" t="inlineStr">
        <is>
          <t>Firefly Aerospace</t>
        </is>
      </c>
      <c r="F34" s="353" t="inlineStr">
        <is>
          <t>USA</t>
        </is>
      </c>
      <c r="G34" s="353" t="n"/>
      <c r="H34" s="403" t="inlineStr">
        <is>
          <t>2025-10-05</t>
        </is>
      </c>
      <c r="I34" s="403" t="inlineStr">
        <is>
          <t>Expected 2025</t>
        </is>
      </c>
      <c r="J34" s="353" t="n">
        <v>2025</v>
      </c>
      <c r="K34" s="353" t="inlineStr">
        <is>
          <t>M&amp;A</t>
        </is>
      </c>
      <c r="L34" s="353" t="inlineStr">
        <is>
          <t>Cash and stock acquisition</t>
        </is>
      </c>
      <c r="M34" s="353" t="inlineStr">
        <is>
          <t>Announced</t>
        </is>
      </c>
      <c r="N34" s="353" t="n">
        <v>855</v>
      </c>
      <c r="O34" s="353" t="inlineStr">
        <is>
          <t>USD</t>
        </is>
      </c>
      <c r="P34" s="353" t="inlineStr">
        <is>
          <t>Software/Services</t>
        </is>
      </c>
      <c r="Q34" s="353" t="inlineStr">
        <is>
          <t>Missile warning / tracking / remote sensing</t>
        </is>
      </c>
      <c r="R34" s="353" t="inlineStr">
        <is>
          <t>Core A&amp;D space</t>
        </is>
      </c>
      <c r="S34" s="353" t="inlineStr">
        <is>
          <t>National-security technology company focused on missile warning, tracking, ISR and space defense analytics.</t>
        </is>
      </c>
      <c r="T34" s="353" t="inlineStr">
        <is>
          <t>High</t>
        </is>
      </c>
      <c r="U34" s="353" t="n"/>
      <c r="V34" s="353" t="inlineStr">
        <is>
          <t>Reuters</t>
        </is>
      </c>
      <c r="W34" s="353" t="n"/>
    </row>
    <row r="35" ht="45" customHeight="1">
      <c r="A35" s="353" t="inlineStr">
        <is>
          <t>USA-045</t>
        </is>
      </c>
      <c r="B35" s="353" t="inlineStr">
        <is>
          <t>USA</t>
        </is>
      </c>
      <c r="C35" s="353" t="inlineStr">
        <is>
          <t>USA</t>
        </is>
      </c>
      <c r="D35" s="353" t="inlineStr">
        <is>
          <t>Stellant Systems</t>
        </is>
      </c>
      <c r="E35" s="353" t="inlineStr">
        <is>
          <t>TransDigm Group</t>
        </is>
      </c>
      <c r="F35" s="353" t="inlineStr">
        <is>
          <t>USA</t>
        </is>
      </c>
      <c r="G35" s="353" t="inlineStr">
        <is>
          <t>Arlington Capital Partners</t>
        </is>
      </c>
      <c r="H35" s="403" t="inlineStr">
        <is>
          <t>2025-12-31</t>
        </is>
      </c>
      <c r="I35" s="403" t="n"/>
      <c r="J35" s="353" t="n">
        <v>2025</v>
      </c>
      <c r="K35" s="353" t="inlineStr">
        <is>
          <t>M&amp;A</t>
        </is>
      </c>
      <c r="L35" s="353" t="inlineStr">
        <is>
          <t>Full acquisition</t>
        </is>
      </c>
      <c r="M35" s="353" t="inlineStr">
        <is>
          <t>Announced</t>
        </is>
      </c>
      <c r="N35" s="353" t="n">
        <v>960</v>
      </c>
      <c r="O35" s="353" t="inlineStr">
        <is>
          <t>USD</t>
        </is>
      </c>
      <c r="P35" s="353" t="inlineStr">
        <is>
          <t>Hardware</t>
        </is>
      </c>
      <c r="Q35" s="353" t="inlineStr">
        <is>
          <t>Electronic components / RF / space</t>
        </is>
      </c>
      <c r="R35" s="353" t="inlineStr">
        <is>
          <t>Core A&amp;D</t>
        </is>
      </c>
      <c r="S35" s="353" t="inlineStr">
        <is>
          <t>High-power electronic components and subsystems for aerospace, defense, space and satellite applications.</t>
        </is>
      </c>
      <c r="T35" s="353" t="inlineStr">
        <is>
          <t>High</t>
        </is>
      </c>
      <c r="U35" s="353" t="n"/>
      <c r="V35" s="353" t="inlineStr">
        <is>
          <t>Reuters</t>
        </is>
      </c>
      <c r="W35" s="353" t="n"/>
    </row>
    <row r="36" ht="45" customHeight="1">
      <c r="A36" s="353" t="inlineStr">
        <is>
          <t>USA-046</t>
        </is>
      </c>
      <c r="B36" s="353" t="inlineStr">
        <is>
          <t>USA</t>
        </is>
      </c>
      <c r="C36" s="353" t="inlineStr">
        <is>
          <t>USA</t>
        </is>
      </c>
      <c r="D36" s="353" t="inlineStr">
        <is>
          <t>Raptor Scientific</t>
        </is>
      </c>
      <c r="E36" s="353" t="inlineStr">
        <is>
          <t>TransDigm Group</t>
        </is>
      </c>
      <c r="F36" s="353" t="inlineStr">
        <is>
          <t>USA</t>
        </is>
      </c>
      <c r="G36" s="353" t="inlineStr">
        <is>
          <t>L Squared Capital Partners</t>
        </is>
      </c>
      <c r="H36" s="403" t="inlineStr">
        <is>
          <t>2023-05-30</t>
        </is>
      </c>
      <c r="I36" s="403" t="inlineStr">
        <is>
          <t>2023-08-09</t>
        </is>
      </c>
      <c r="J36" s="353" t="n">
        <v>2023</v>
      </c>
      <c r="K36" s="353" t="inlineStr">
        <is>
          <t>M&amp;A</t>
        </is>
      </c>
      <c r="L36" s="353" t="inlineStr">
        <is>
          <t>Full acquisition</t>
        </is>
      </c>
      <c r="M36" s="353" t="inlineStr">
        <is>
          <t>Completed</t>
        </is>
      </c>
      <c r="N36" s="353" t="n">
        <v>655</v>
      </c>
      <c r="O36" s="353" t="inlineStr">
        <is>
          <t>USD</t>
        </is>
      </c>
      <c r="P36" s="353" t="inlineStr">
        <is>
          <t>Hardware/Services</t>
        </is>
      </c>
      <c r="Q36" s="353" t="inlineStr">
        <is>
          <t>Aerospace testing and measurement</t>
        </is>
      </c>
      <c r="R36" s="353" t="inlineStr">
        <is>
          <t>Core aerospace/defense</t>
        </is>
      </c>
      <c r="S36" s="353" t="inlineStr">
        <is>
          <t>Testing and measurement systems for aerospace and defense platforms.</t>
        </is>
      </c>
      <c r="T36" s="353" t="inlineStr">
        <is>
          <t>High</t>
        </is>
      </c>
      <c r="U36" s="353" t="n"/>
      <c r="V36" s="353" t="inlineStr">
        <is>
          <t>Company press release</t>
        </is>
      </c>
      <c r="W36" s="353" t="n"/>
    </row>
    <row r="37" ht="45" customHeight="1">
      <c r="A37" s="353" t="inlineStr">
        <is>
          <t>USA-047</t>
        </is>
      </c>
      <c r="B37" s="353" t="inlineStr">
        <is>
          <t>USA</t>
        </is>
      </c>
      <c r="C37" s="353" t="inlineStr">
        <is>
          <t>USA</t>
        </is>
      </c>
      <c r="D37" s="353" t="inlineStr">
        <is>
          <t>Calspan Corporation</t>
        </is>
      </c>
      <c r="E37" s="353" t="inlineStr">
        <is>
          <t>TransDigm Group</t>
        </is>
      </c>
      <c r="F37" s="353" t="inlineStr">
        <is>
          <t>USA</t>
        </is>
      </c>
      <c r="G37" s="353" t="inlineStr">
        <is>
          <t>Public / private owners</t>
        </is>
      </c>
      <c r="H37" s="403" t="inlineStr">
        <is>
          <t>2023-03-14</t>
        </is>
      </c>
      <c r="I37" s="403" t="inlineStr">
        <is>
          <t>2023-05-08</t>
        </is>
      </c>
      <c r="J37" s="353" t="n">
        <v>2023</v>
      </c>
      <c r="K37" s="353" t="inlineStr">
        <is>
          <t>M&amp;A</t>
        </is>
      </c>
      <c r="L37" s="353" t="inlineStr">
        <is>
          <t>Full acquisition</t>
        </is>
      </c>
      <c r="M37" s="353" t="inlineStr">
        <is>
          <t>Completed</t>
        </is>
      </c>
      <c r="N37" s="353" t="n">
        <v>725</v>
      </c>
      <c r="O37" s="353" t="inlineStr">
        <is>
          <t>USD</t>
        </is>
      </c>
      <c r="P37" s="353" t="inlineStr">
        <is>
          <t>Services/Hardware</t>
        </is>
      </c>
      <c r="Q37" s="353" t="inlineStr">
        <is>
          <t>Aerospace testing / wind tunnel / flight test</t>
        </is>
      </c>
      <c r="R37" s="353" t="inlineStr">
        <is>
          <t>Core aerospace/defense</t>
        </is>
      </c>
      <c r="S37" s="353" t="inlineStr">
        <is>
          <t>Aerospace testing and technology-development services for defense and commercial aviation.</t>
        </is>
      </c>
      <c r="T37" s="353" t="inlineStr">
        <is>
          <t>High</t>
        </is>
      </c>
      <c r="U37" s="353" t="n"/>
      <c r="V37" s="353" t="inlineStr">
        <is>
          <t>Company press release</t>
        </is>
      </c>
      <c r="W37" s="353" t="n"/>
    </row>
    <row r="38" ht="45" customHeight="1">
      <c r="A38" s="353" t="inlineStr">
        <is>
          <t>USA-048</t>
        </is>
      </c>
      <c r="B38" s="353" t="inlineStr">
        <is>
          <t>USA</t>
        </is>
      </c>
      <c r="C38" s="353" t="inlineStr">
        <is>
          <t>USA</t>
        </is>
      </c>
      <c r="D38" s="353" t="inlineStr">
        <is>
          <t>Wencor Group</t>
        </is>
      </c>
      <c r="E38" s="353" t="inlineStr">
        <is>
          <t>HEICO Corporation</t>
        </is>
      </c>
      <c r="F38" s="353" t="inlineStr">
        <is>
          <t>USA</t>
        </is>
      </c>
      <c r="G38" s="353" t="inlineStr">
        <is>
          <t>Warburg Pincus</t>
        </is>
      </c>
      <c r="H38" s="403" t="inlineStr">
        <is>
          <t>2023-05-15</t>
        </is>
      </c>
      <c r="I38" s="403" t="inlineStr">
        <is>
          <t>2023-08-04</t>
        </is>
      </c>
      <c r="J38" s="353" t="n">
        <v>2023</v>
      </c>
      <c r="K38" s="353" t="inlineStr">
        <is>
          <t>M&amp;A</t>
        </is>
      </c>
      <c r="L38" s="353" t="inlineStr">
        <is>
          <t>Full acquisition</t>
        </is>
      </c>
      <c r="M38" s="353" t="inlineStr">
        <is>
          <t>Completed</t>
        </is>
      </c>
      <c r="N38" s="353" t="n">
        <v>2050</v>
      </c>
      <c r="O38" s="353" t="inlineStr">
        <is>
          <t>USD</t>
        </is>
      </c>
      <c r="P38" s="353" t="inlineStr">
        <is>
          <t>Hardware/Services</t>
        </is>
      </c>
      <c r="Q38" s="353" t="inlineStr">
        <is>
          <t>Aerospace aftermarket / parts distribution</t>
        </is>
      </c>
      <c r="R38" s="353" t="inlineStr">
        <is>
          <t>Core aerospace</t>
        </is>
      </c>
      <c r="S38" s="353" t="inlineStr">
        <is>
          <t>Aviation aftermarket components and distribution serving commercial and defense aviation customers.</t>
        </is>
      </c>
      <c r="T38" s="353" t="inlineStr">
        <is>
          <t>High</t>
        </is>
      </c>
      <c r="U38" s="353" t="n"/>
      <c r="V38" s="353" t="inlineStr">
        <is>
          <t>Company press release</t>
        </is>
      </c>
      <c r="W38" s="353" t="n"/>
    </row>
    <row r="39" ht="45" customHeight="1">
      <c r="A39" s="353" t="inlineStr">
        <is>
          <t>USA-050</t>
        </is>
      </c>
      <c r="B39" s="353" t="inlineStr">
        <is>
          <t>USA</t>
        </is>
      </c>
      <c r="C39" s="353" t="inlineStr">
        <is>
          <t>USA</t>
        </is>
      </c>
      <c r="D39" s="353" t="inlineStr">
        <is>
          <t>Adranos</t>
        </is>
      </c>
      <c r="E39" s="353" t="inlineStr">
        <is>
          <t>Anduril Industries</t>
        </is>
      </c>
      <c r="F39" s="353" t="inlineStr">
        <is>
          <t>USA</t>
        </is>
      </c>
      <c r="G39" s="353" t="n"/>
      <c r="H39" s="403" t="inlineStr">
        <is>
          <t>2023-06-25</t>
        </is>
      </c>
      <c r="I39" s="403" t="n"/>
      <c r="J39" s="353" t="n">
        <v>2023</v>
      </c>
      <c r="K39" s="353" t="inlineStr">
        <is>
          <t>M&amp;A</t>
        </is>
      </c>
      <c r="L39" s="353" t="inlineStr">
        <is>
          <t>Acquisition</t>
        </is>
      </c>
      <c r="M39" s="353" t="inlineStr">
        <is>
          <t>Completed</t>
        </is>
      </c>
      <c r="N39" s="353" t="n"/>
      <c r="O39" s="353" t="inlineStr">
        <is>
          <t>USD</t>
        </is>
      </c>
      <c r="P39" s="353" t="inlineStr">
        <is>
          <t>Hardware</t>
        </is>
      </c>
      <c r="Q39" s="353" t="inlineStr">
        <is>
          <t>Solid rocket motors / propulsion</t>
        </is>
      </c>
      <c r="R39" s="353" t="inlineStr">
        <is>
          <t>Core A&amp;D</t>
        </is>
      </c>
      <c r="S39" s="353" t="inlineStr">
        <is>
          <t>Solid rocket motor and energetic-materials technology for missiles and defense systems.</t>
        </is>
      </c>
      <c r="T39" s="353" t="inlineStr">
        <is>
          <t>High</t>
        </is>
      </c>
      <c r="U39" s="353" t="n"/>
      <c r="V39" s="353" t="inlineStr">
        <is>
          <t>Company press release</t>
        </is>
      </c>
      <c r="W39" s="353" t="n"/>
    </row>
    <row r="40" ht="45" customHeight="1">
      <c r="A40" s="353" t="inlineStr">
        <is>
          <t>USA-051</t>
        </is>
      </c>
      <c r="B40" s="353" t="inlineStr">
        <is>
          <t>USA</t>
        </is>
      </c>
      <c r="C40" s="353" t="inlineStr">
        <is>
          <t>USA</t>
        </is>
      </c>
      <c r="D40" s="353" t="inlineStr">
        <is>
          <t>Blue Force Technologies</t>
        </is>
      </c>
      <c r="E40" s="353" t="inlineStr">
        <is>
          <t>Anduril Industries</t>
        </is>
      </c>
      <c r="F40" s="353" t="inlineStr">
        <is>
          <t>USA</t>
        </is>
      </c>
      <c r="G40" s="353" t="n"/>
      <c r="H40" s="403" t="inlineStr">
        <is>
          <t>2023-09-07</t>
        </is>
      </c>
      <c r="I40" s="403" t="n"/>
      <c r="J40" s="353" t="n">
        <v>2023</v>
      </c>
      <c r="K40" s="353" t="inlineStr">
        <is>
          <t>M&amp;A</t>
        </is>
      </c>
      <c r="L40" s="353" t="inlineStr">
        <is>
          <t>Acquisition</t>
        </is>
      </c>
      <c r="M40" s="353" t="inlineStr">
        <is>
          <t>Completed</t>
        </is>
      </c>
      <c r="N40" s="353" t="n"/>
      <c r="O40" s="353" t="inlineStr">
        <is>
          <t>USD</t>
        </is>
      </c>
      <c r="P40" s="353" t="inlineStr">
        <is>
          <t>Hardware/Software</t>
        </is>
      </c>
      <c r="Q40" s="353" t="inlineStr">
        <is>
          <t>Autonomous aircraft / defense aviation</t>
        </is>
      </c>
      <c r="R40" s="353" t="inlineStr">
        <is>
          <t>Core A&amp;D</t>
        </is>
      </c>
      <c r="S40" s="353" t="inlineStr">
        <is>
          <t>Developer of autonomous aircraft; fits US defense-tech autonomy and air systems.</t>
        </is>
      </c>
      <c r="T40" s="353" t="inlineStr">
        <is>
          <t>High</t>
        </is>
      </c>
      <c r="U40" s="353" t="n"/>
      <c r="V40" s="353" t="inlineStr">
        <is>
          <t>Company press release</t>
        </is>
      </c>
      <c r="W40" s="353" t="n"/>
    </row>
    <row r="41" ht="45" customHeight="1">
      <c r="A41" s="353" t="inlineStr">
        <is>
          <t>USA-056</t>
        </is>
      </c>
      <c r="B41" s="353" t="inlineStr">
        <is>
          <t>USA</t>
        </is>
      </c>
      <c r="C41" s="353" t="inlineStr">
        <is>
          <t>USA</t>
        </is>
      </c>
      <c r="D41" s="353" t="inlineStr">
        <is>
          <t>Sealing Technologies</t>
        </is>
      </c>
      <c r="E41" s="353" t="inlineStr">
        <is>
          <t>Parsons Corporation</t>
        </is>
      </c>
      <c r="F41" s="353" t="inlineStr">
        <is>
          <t>USA</t>
        </is>
      </c>
      <c r="G41" s="353" t="n"/>
      <c r="H41" s="403" t="inlineStr">
        <is>
          <t>2023-08-23</t>
        </is>
      </c>
      <c r="I41" s="403" t="inlineStr">
        <is>
          <t>2023-09-18</t>
        </is>
      </c>
      <c r="J41" s="353" t="n">
        <v>2023</v>
      </c>
      <c r="K41" s="353" t="inlineStr">
        <is>
          <t>M&amp;A</t>
        </is>
      </c>
      <c r="L41" s="353" t="inlineStr">
        <is>
          <t>Full acquisition</t>
        </is>
      </c>
      <c r="M41" s="353" t="inlineStr">
        <is>
          <t>Completed</t>
        </is>
      </c>
      <c r="N41" s="353" t="n">
        <v>200</v>
      </c>
      <c r="O41" s="353" t="inlineStr">
        <is>
          <t>USD</t>
        </is>
      </c>
      <c r="P41" s="353" t="inlineStr">
        <is>
          <t>Services/Software</t>
        </is>
      </c>
      <c r="Q41" s="353" t="inlineStr">
        <is>
          <t>Cyber / national security</t>
        </is>
      </c>
      <c r="R41" s="353" t="inlineStr">
        <is>
          <t>Core A&amp;D services</t>
        </is>
      </c>
      <c r="S41" s="353" t="inlineStr">
        <is>
          <t>Cybersecurity and engineering solutions serving defense and intelligence customers.</t>
        </is>
      </c>
      <c r="T41" s="353" t="inlineStr">
        <is>
          <t>High</t>
        </is>
      </c>
      <c r="U41" s="353" t="n"/>
      <c r="V41" s="353" t="inlineStr">
        <is>
          <t>Company press release</t>
        </is>
      </c>
      <c r="W41" s="353" t="n"/>
    </row>
    <row r="42" ht="45" customHeight="1">
      <c r="A42" s="353" t="inlineStr">
        <is>
          <t>USA-057</t>
        </is>
      </c>
      <c r="B42" s="353" t="inlineStr">
        <is>
          <t>USA</t>
        </is>
      </c>
      <c r="C42" s="353" t="inlineStr">
        <is>
          <t>USA</t>
        </is>
      </c>
      <c r="D42" s="353" t="inlineStr">
        <is>
          <t>IPKeys Power Partners</t>
        </is>
      </c>
      <c r="E42" s="353" t="inlineStr">
        <is>
          <t>Parsons Corporation</t>
        </is>
      </c>
      <c r="F42" s="353" t="inlineStr">
        <is>
          <t>USA</t>
        </is>
      </c>
      <c r="G42" s="353" t="n"/>
      <c r="H42" s="403" t="inlineStr">
        <is>
          <t>2023-04-18</t>
        </is>
      </c>
      <c r="I42" s="403" t="inlineStr">
        <is>
          <t>2023-05-01</t>
        </is>
      </c>
      <c r="J42" s="353" t="n">
        <v>2023</v>
      </c>
      <c r="K42" s="353" t="inlineStr">
        <is>
          <t>M&amp;A</t>
        </is>
      </c>
      <c r="L42" s="353" t="inlineStr">
        <is>
          <t>Full acquisition</t>
        </is>
      </c>
      <c r="M42" s="353" t="inlineStr">
        <is>
          <t>Completed</t>
        </is>
      </c>
      <c r="N42" s="353" t="n">
        <v>43</v>
      </c>
      <c r="O42" s="353" t="inlineStr">
        <is>
          <t>USD</t>
        </is>
      </c>
      <c r="P42" s="353" t="inlineStr">
        <is>
          <t>Software/Services</t>
        </is>
      </c>
      <c r="Q42" s="353" t="inlineStr">
        <is>
          <t>Critical infrastructure cyber / grid security</t>
        </is>
      </c>
      <c r="R42" s="353" t="inlineStr">
        <is>
          <t>Adjacent critical infrastructure security</t>
        </is>
      </c>
      <c r="S42" s="353" t="inlineStr">
        <is>
          <t>Cyber and grid-modernization software with homeland-security/critical-infrastructure relevance.</t>
        </is>
      </c>
      <c r="T42" s="353" t="inlineStr">
        <is>
          <t>High</t>
        </is>
      </c>
      <c r="U42" s="353" t="n"/>
      <c r="V42" s="353" t="inlineStr">
        <is>
          <t>Company press release</t>
        </is>
      </c>
      <c r="W42" s="353" t="n"/>
    </row>
    <row r="43" ht="45" customHeight="1">
      <c r="A43" s="353" t="inlineStr">
        <is>
          <t>USA-060</t>
        </is>
      </c>
      <c r="B43" s="353" t="inlineStr">
        <is>
          <t>USA</t>
        </is>
      </c>
      <c r="C43" s="353" t="inlineStr">
        <is>
          <t>USA</t>
        </is>
      </c>
      <c r="D43" s="353" t="inlineStr">
        <is>
          <t>Jacobs Critical Mission Solutions + Cyber &amp; Intelligence businesses</t>
        </is>
      </c>
      <c r="E43" s="353" t="inlineStr">
        <is>
          <t>Amentum</t>
        </is>
      </c>
      <c r="F43" s="353" t="inlineStr">
        <is>
          <t>USA</t>
        </is>
      </c>
      <c r="G43" s="353" t="inlineStr">
        <is>
          <t>Jacobs</t>
        </is>
      </c>
      <c r="H43" s="403" t="inlineStr">
        <is>
          <t>2023-11-20</t>
        </is>
      </c>
      <c r="I43" s="403" t="inlineStr">
        <is>
          <t>2024-09-27</t>
        </is>
      </c>
      <c r="J43" s="353" t="n">
        <v>2024</v>
      </c>
      <c r="K43" s="353" t="inlineStr">
        <is>
          <t>M&amp;A</t>
        </is>
      </c>
      <c r="L43" s="353" t="inlineStr">
        <is>
          <t>Reverse Morris Trust / merger</t>
        </is>
      </c>
      <c r="M43" s="353" t="inlineStr">
        <is>
          <t>Completed</t>
        </is>
      </c>
      <c r="N43" s="353" t="n">
        <v>13000</v>
      </c>
      <c r="O43" s="353" t="inlineStr">
        <is>
          <t>USD</t>
        </is>
      </c>
      <c r="P43" s="353" t="inlineStr">
        <is>
          <t>Services</t>
        </is>
      </c>
      <c r="Q43" s="353" t="inlineStr">
        <is>
          <t>Government services / national security / space</t>
        </is>
      </c>
      <c r="R43" s="353" t="inlineStr">
        <is>
          <t>Core A&amp;D services</t>
        </is>
      </c>
      <c r="S43" s="353" t="inlineStr">
        <is>
          <t>Large government-services combination across national security, space, cyber and mission support.</t>
        </is>
      </c>
      <c r="T43" s="353" t="inlineStr">
        <is>
          <t>High</t>
        </is>
      </c>
      <c r="U43" s="353" t="n"/>
      <c r="V43" s="353" t="inlineStr">
        <is>
          <t>Company press release</t>
        </is>
      </c>
      <c r="W43" s="353" t="n"/>
    </row>
    <row r="44" ht="45" customHeight="1">
      <c r="A44" s="353" t="inlineStr">
        <is>
          <t>USA-063</t>
        </is>
      </c>
      <c r="B44" s="353" t="inlineStr">
        <is>
          <t>USA</t>
        </is>
      </c>
      <c r="C44" s="353" t="inlineStr">
        <is>
          <t>USA</t>
        </is>
      </c>
      <c r="D44" s="353" t="inlineStr">
        <is>
          <t>Safran North American THSA business</t>
        </is>
      </c>
      <c r="E44" s="353" t="inlineStr">
        <is>
          <t>Woodward</t>
        </is>
      </c>
      <c r="F44" s="353" t="inlineStr">
        <is>
          <t>USA</t>
        </is>
      </c>
      <c r="G44" s="353" t="inlineStr">
        <is>
          <t>Safran</t>
        </is>
      </c>
      <c r="H44" s="403" t="inlineStr">
        <is>
          <t>2024-12-23</t>
        </is>
      </c>
      <c r="I44" s="403" t="inlineStr">
        <is>
          <t>Expected 2025</t>
        </is>
      </c>
      <c r="J44" s="353" t="n">
        <v>2025</v>
      </c>
      <c r="K44" s="353" t="inlineStr">
        <is>
          <t>M&amp;A</t>
        </is>
      </c>
      <c r="L44" s="353" t="inlineStr">
        <is>
          <t>Divestiture acquisition</t>
        </is>
      </c>
      <c r="M44" s="353" t="inlineStr">
        <is>
          <t>Announced</t>
        </is>
      </c>
      <c r="N44" s="353" t="n"/>
      <c r="O44" s="353" t="inlineStr">
        <is>
          <t>USD</t>
        </is>
      </c>
      <c r="P44" s="353" t="inlineStr">
        <is>
          <t>Hardware</t>
        </is>
      </c>
      <c r="Q44" s="353" t="inlineStr">
        <is>
          <t>Flight control actuation</t>
        </is>
      </c>
      <c r="R44" s="353" t="inlineStr">
        <is>
          <t>Core aerospace/defense</t>
        </is>
      </c>
      <c r="S44" s="353" t="inlineStr">
        <is>
          <t>Flight-control actuation assets acquired as remedy related to Safran/Collins deal.</t>
        </is>
      </c>
      <c r="T44" s="353" t="inlineStr">
        <is>
          <t>Medium-High</t>
        </is>
      </c>
      <c r="U44" s="353" t="n"/>
      <c r="V44" s="353" t="inlineStr">
        <is>
          <t>Company press release</t>
        </is>
      </c>
      <c r="W44" s="353" t="inlineStr">
        <is>
          <t>Value undisclosed.</t>
        </is>
      </c>
    </row>
    <row r="45" ht="45" customHeight="1">
      <c r="A45" s="353" t="inlineStr">
        <is>
          <t>USA-064</t>
        </is>
      </c>
      <c r="B45" s="353" t="inlineStr">
        <is>
          <t>USA</t>
        </is>
      </c>
      <c r="C45" s="353" t="inlineStr">
        <is>
          <t>USA</t>
        </is>
      </c>
      <c r="D45" s="353" t="inlineStr">
        <is>
          <t>Edge Autonomy</t>
        </is>
      </c>
      <c r="E45" s="353" t="inlineStr">
        <is>
          <t>Redwire Corporation</t>
        </is>
      </c>
      <c r="F45" s="353" t="inlineStr">
        <is>
          <t>USA</t>
        </is>
      </c>
      <c r="G45" s="353" t="n"/>
      <c r="H45" s="403" t="inlineStr">
        <is>
          <t>2025-01-20</t>
        </is>
      </c>
      <c r="I45" s="403" t="inlineStr">
        <is>
          <t>2025-06-13</t>
        </is>
      </c>
      <c r="J45" s="353" t="n">
        <v>2025</v>
      </c>
      <c r="K45" s="353" t="inlineStr">
        <is>
          <t>M&amp;A</t>
        </is>
      </c>
      <c r="L45" s="353" t="inlineStr">
        <is>
          <t>Stock/cash merger</t>
        </is>
      </c>
      <c r="M45" s="353" t="inlineStr">
        <is>
          <t>Completed</t>
        </is>
      </c>
      <c r="N45" s="353" t="n">
        <v>925</v>
      </c>
      <c r="O45" s="353" t="inlineStr">
        <is>
          <t>USD</t>
        </is>
      </c>
      <c r="P45" s="353" t="inlineStr">
        <is>
          <t>Hardware/Software</t>
        </is>
      </c>
      <c r="Q45" s="353" t="inlineStr">
        <is>
          <t>Unmanned aircraft / space ISR</t>
        </is>
      </c>
      <c r="R45" s="353" t="inlineStr">
        <is>
          <t>Core A&amp;D</t>
        </is>
      </c>
      <c r="S45" s="353" t="inlineStr">
        <is>
          <t>Unmanned aircraft and autonomy capabilities combined with space infrastructure/ISR business.</t>
        </is>
      </c>
      <c r="T45" s="353" t="inlineStr">
        <is>
          <t>High</t>
        </is>
      </c>
      <c r="U45" s="353" t="n"/>
      <c r="V45" s="353" t="inlineStr">
        <is>
          <t>Company press release</t>
        </is>
      </c>
      <c r="W45" s="353" t="n"/>
    </row>
    <row r="46" ht="45" customHeight="1">
      <c r="A46" s="353" t="inlineStr">
        <is>
          <t>USA-065</t>
        </is>
      </c>
      <c r="B46" s="353" t="inlineStr">
        <is>
          <t>USA</t>
        </is>
      </c>
      <c r="C46" s="353" t="inlineStr">
        <is>
          <t>USA</t>
        </is>
      </c>
      <c r="D46" s="353" t="inlineStr">
        <is>
          <t>ZIN Technologies</t>
        </is>
      </c>
      <c r="E46" s="353" t="inlineStr">
        <is>
          <t>Voyager Space</t>
        </is>
      </c>
      <c r="F46" s="353" t="inlineStr">
        <is>
          <t>USA</t>
        </is>
      </c>
      <c r="G46" s="353" t="n"/>
      <c r="H46" s="403" t="inlineStr">
        <is>
          <t>2023-03-13</t>
        </is>
      </c>
      <c r="I46" s="403" t="n"/>
      <c r="J46" s="353" t="n">
        <v>2023</v>
      </c>
      <c r="K46" s="353" t="inlineStr">
        <is>
          <t>M&amp;A</t>
        </is>
      </c>
      <c r="L46" s="353" t="inlineStr">
        <is>
          <t>Acquisition</t>
        </is>
      </c>
      <c r="M46" s="353" t="inlineStr">
        <is>
          <t>Completed</t>
        </is>
      </c>
      <c r="N46" s="353" t="n"/>
      <c r="O46" s="353" t="inlineStr">
        <is>
          <t>USD</t>
        </is>
      </c>
      <c r="P46" s="353" t="inlineStr">
        <is>
          <t>Services/Hardware</t>
        </is>
      </c>
      <c r="Q46" s="353" t="inlineStr">
        <is>
          <t>Space engineering / human spaceflight</t>
        </is>
      </c>
      <c r="R46" s="353" t="inlineStr">
        <is>
          <t>Core aerospace/space</t>
        </is>
      </c>
      <c r="S46" s="353" t="inlineStr">
        <is>
          <t>Engineering and mission integration for civil and defense space markets.</t>
        </is>
      </c>
      <c r="T46" s="353" t="inlineStr">
        <is>
          <t>High</t>
        </is>
      </c>
      <c r="U46" s="353" t="n"/>
      <c r="V46" s="353" t="inlineStr">
        <is>
          <t>Company press release</t>
        </is>
      </c>
      <c r="W46" s="353" t="n"/>
    </row>
    <row r="47" ht="45" customHeight="1">
      <c r="A47" s="353" t="inlineStr">
        <is>
          <t>USA-072</t>
        </is>
      </c>
      <c r="B47" s="353" t="inlineStr">
        <is>
          <t>USA</t>
        </is>
      </c>
      <c r="C47" s="353" t="inlineStr">
        <is>
          <t>USA</t>
        </is>
      </c>
      <c r="D47" s="353" t="inlineStr">
        <is>
          <t>Precision Aviation Group</t>
        </is>
      </c>
      <c r="E47" s="353" t="inlineStr">
        <is>
          <t>GenNx360 Capital Partners</t>
        </is>
      </c>
      <c r="F47" s="353" t="inlineStr">
        <is>
          <t>USA</t>
        </is>
      </c>
      <c r="G47" s="353" t="n"/>
      <c r="H47" s="403" t="inlineStr">
        <is>
          <t>2024-01-09</t>
        </is>
      </c>
      <c r="I47" s="403" t="n"/>
      <c r="J47" s="353" t="n">
        <v>2024</v>
      </c>
      <c r="K47" s="353" t="inlineStr">
        <is>
          <t>M&amp;A</t>
        </is>
      </c>
      <c r="L47" s="353" t="inlineStr">
        <is>
          <t>Acquisition / investment</t>
        </is>
      </c>
      <c r="M47" s="353" t="inlineStr">
        <is>
          <t>Completed</t>
        </is>
      </c>
      <c r="N47" s="353" t="n"/>
      <c r="O47" s="353" t="inlineStr">
        <is>
          <t>USD</t>
        </is>
      </c>
      <c r="P47" s="353" t="inlineStr">
        <is>
          <t>Services</t>
        </is>
      </c>
      <c r="Q47" s="353" t="inlineStr">
        <is>
          <t>Aviation MRO / aerospace aftermarket</t>
        </is>
      </c>
      <c r="R47" s="353" t="inlineStr">
        <is>
          <t>Core aerospace</t>
        </is>
      </c>
      <c r="S47" s="353" t="inlineStr">
        <is>
          <t>MRO and aerospace aftermarket platform with defense/commercial aviation exposure.</t>
        </is>
      </c>
      <c r="T47" s="353" t="inlineStr">
        <is>
          <t>Medium</t>
        </is>
      </c>
      <c r="U47" s="353" t="n"/>
      <c r="V47" s="353" t="inlineStr">
        <is>
          <t>PE press release</t>
        </is>
      </c>
      <c r="W47" s="353" t="n"/>
    </row>
    <row r="48" ht="45" customHeight="1">
      <c r="A48" s="353" t="inlineStr">
        <is>
          <t>USA-073</t>
        </is>
      </c>
      <c r="B48" s="353" t="inlineStr">
        <is>
          <t>USA</t>
        </is>
      </c>
      <c r="C48" s="353" t="inlineStr">
        <is>
          <t>USA</t>
        </is>
      </c>
      <c r="D48" s="353" t="inlineStr">
        <is>
          <t>Keystone Turbine Services</t>
        </is>
      </c>
      <c r="E48" s="353" t="inlineStr">
        <is>
          <t>Precision Aviation Group</t>
        </is>
      </c>
      <c r="F48" s="353" t="inlineStr">
        <is>
          <t>USA</t>
        </is>
      </c>
      <c r="G48" s="353" t="n"/>
      <c r="H48" s="403" t="inlineStr">
        <is>
          <t>2023-01-10</t>
        </is>
      </c>
      <c r="I48" s="403" t="n"/>
      <c r="J48" s="353" t="n">
        <v>2023</v>
      </c>
      <c r="K48" s="353" t="inlineStr">
        <is>
          <t>M&amp;A</t>
        </is>
      </c>
      <c r="L48" s="353" t="inlineStr">
        <is>
          <t>Bolt-on acquisition</t>
        </is>
      </c>
      <c r="M48" s="353" t="inlineStr">
        <is>
          <t>Completed</t>
        </is>
      </c>
      <c r="N48" s="353" t="n"/>
      <c r="O48" s="353" t="inlineStr">
        <is>
          <t>USD</t>
        </is>
      </c>
      <c r="P48" s="353" t="inlineStr">
        <is>
          <t>Services</t>
        </is>
      </c>
      <c r="Q48" s="353" t="inlineStr">
        <is>
          <t>Aviation MRO / engines</t>
        </is>
      </c>
      <c r="R48" s="353" t="inlineStr">
        <is>
          <t>Core aerospace</t>
        </is>
      </c>
      <c r="S48" s="353" t="inlineStr">
        <is>
          <t>Aviation MRO bolt-on supporting rotorcraft/aviation maintenance markets.</t>
        </is>
      </c>
      <c r="T48" s="353" t="inlineStr">
        <is>
          <t>Medium</t>
        </is>
      </c>
      <c r="U48" s="353" t="n"/>
      <c r="V48" s="353" t="inlineStr">
        <is>
          <t>Company press release</t>
        </is>
      </c>
      <c r="W48" s="353" t="n"/>
    </row>
    <row r="49" ht="45" customHeight="1">
      <c r="A49" s="353" t="inlineStr">
        <is>
          <t>USA-075</t>
        </is>
      </c>
      <c r="B49" s="353" t="inlineStr">
        <is>
          <t>USA</t>
        </is>
      </c>
      <c r="C49" s="353" t="inlineStr">
        <is>
          <t>USA</t>
        </is>
      </c>
      <c r="D49" s="353" t="inlineStr">
        <is>
          <t>Nobles Worldwide</t>
        </is>
      </c>
      <c r="E49" s="353" t="inlineStr">
        <is>
          <t>Ducommun Incorporated</t>
        </is>
      </c>
      <c r="F49" s="353" t="inlineStr">
        <is>
          <t>USA</t>
        </is>
      </c>
      <c r="G49" s="353" t="n"/>
      <c r="H49" s="403" t="inlineStr">
        <is>
          <t>2023-10-16</t>
        </is>
      </c>
      <c r="I49" s="403" t="inlineStr">
        <is>
          <t>2023-11-27</t>
        </is>
      </c>
      <c r="J49" s="353" t="n">
        <v>2023</v>
      </c>
      <c r="K49" s="353" t="inlineStr">
        <is>
          <t>M&amp;A</t>
        </is>
      </c>
      <c r="L49" s="353" t="inlineStr">
        <is>
          <t>Acquisition</t>
        </is>
      </c>
      <c r="M49" s="353" t="inlineStr">
        <is>
          <t>Completed</t>
        </is>
      </c>
      <c r="N49" s="353" t="n">
        <v>77</v>
      </c>
      <c r="O49" s="353" t="inlineStr">
        <is>
          <t>USD</t>
        </is>
      </c>
      <c r="P49" s="353" t="inlineStr">
        <is>
          <t>Hardware</t>
        </is>
      </c>
      <c r="Q49" s="353" t="inlineStr">
        <is>
          <t>Ammunition-feed systems / defense components</t>
        </is>
      </c>
      <c r="R49" s="353" t="inlineStr">
        <is>
          <t>Core A&amp;D</t>
        </is>
      </c>
      <c r="S49" s="353" t="inlineStr">
        <is>
          <t>Defense components supplier for ammunition feed systems and related products.</t>
        </is>
      </c>
      <c r="T49" s="353" t="inlineStr">
        <is>
          <t>High</t>
        </is>
      </c>
      <c r="U49" s="353" t="n"/>
      <c r="V49" s="353" t="inlineStr">
        <is>
          <t>Company press release</t>
        </is>
      </c>
      <c r="W49" s="353" t="n"/>
    </row>
    <row r="50" ht="45" customHeight="1">
      <c r="A50" s="353" t="inlineStr">
        <is>
          <t>USA-076</t>
        </is>
      </c>
      <c r="B50" s="353" t="inlineStr">
        <is>
          <t>USA</t>
        </is>
      </c>
      <c r="C50" s="353" t="inlineStr">
        <is>
          <t>USA</t>
        </is>
      </c>
      <c r="D50" s="353" t="inlineStr">
        <is>
          <t>Williams Aerospace &amp; Manufacturing</t>
        </is>
      </c>
      <c r="E50" s="353" t="inlineStr">
        <is>
          <t>Cadre Holdings</t>
        </is>
      </c>
      <c r="F50" s="353" t="inlineStr">
        <is>
          <t>USA</t>
        </is>
      </c>
      <c r="G50" s="353" t="n"/>
      <c r="H50" s="403" t="inlineStr">
        <is>
          <t>2023-01-09</t>
        </is>
      </c>
      <c r="I50" s="403" t="n"/>
      <c r="J50" s="353" t="n">
        <v>2023</v>
      </c>
      <c r="K50" s="353" t="inlineStr">
        <is>
          <t>M&amp;A</t>
        </is>
      </c>
      <c r="L50" s="353" t="inlineStr">
        <is>
          <t>Acquisition</t>
        </is>
      </c>
      <c r="M50" s="353" t="inlineStr">
        <is>
          <t>Completed</t>
        </is>
      </c>
      <c r="N50" s="353" t="n"/>
      <c r="O50" s="353" t="inlineStr">
        <is>
          <t>USD</t>
        </is>
      </c>
      <c r="P50" s="353" t="inlineStr">
        <is>
          <t>Hardware</t>
        </is>
      </c>
      <c r="Q50" s="353" t="inlineStr">
        <is>
          <t>Aerospace parts / defense components</t>
        </is>
      </c>
      <c r="R50" s="353" t="inlineStr">
        <is>
          <t>Core aerospace/defense</t>
        </is>
      </c>
      <c r="S50" s="353" t="inlineStr">
        <is>
          <t>Aerospace and defense manufacturing bolt-on; relevant lower-middle-market A&amp;D consolidation.</t>
        </is>
      </c>
      <c r="T50" s="353" t="inlineStr">
        <is>
          <t>Medium</t>
        </is>
      </c>
      <c r="U50" s="353" t="n"/>
      <c r="V50" s="353" t="inlineStr">
        <is>
          <t>Company press release</t>
        </is>
      </c>
      <c r="W50" s="353" t="n"/>
    </row>
    <row r="51" ht="45" customHeight="1">
      <c r="A51" s="353" t="inlineStr">
        <is>
          <t>USA-078</t>
        </is>
      </c>
      <c r="B51" s="353" t="inlineStr">
        <is>
          <t>USA</t>
        </is>
      </c>
      <c r="C51" s="353" t="inlineStr">
        <is>
          <t>USA</t>
        </is>
      </c>
      <c r="D51" s="353" t="inlineStr">
        <is>
          <t>Forcepoint Federal</t>
        </is>
      </c>
      <c r="E51" s="353" t="inlineStr">
        <is>
          <t>TPG / Francisco Partners-backed Forcepoint Global Governments and Critical Infrastructure</t>
        </is>
      </c>
      <c r="F51" s="353" t="inlineStr">
        <is>
          <t>USA</t>
        </is>
      </c>
      <c r="G51" s="353" t="inlineStr">
        <is>
          <t>Raytheon Technologies</t>
        </is>
      </c>
      <c r="H51" s="403" t="inlineStr">
        <is>
          <t>2023-01-09</t>
        </is>
      </c>
      <c r="I51" s="403" t="inlineStr">
        <is>
          <t>2023-02-01</t>
        </is>
      </c>
      <c r="J51" s="353" t="n">
        <v>2023</v>
      </c>
      <c r="K51" s="353" t="inlineStr">
        <is>
          <t>M&amp;A</t>
        </is>
      </c>
      <c r="L51" s="353" t="inlineStr">
        <is>
          <t>Divestiture / carve-out</t>
        </is>
      </c>
      <c r="M51" s="353" t="inlineStr">
        <is>
          <t>Completed</t>
        </is>
      </c>
      <c r="N51" s="353" t="n"/>
      <c r="O51" s="353" t="inlineStr">
        <is>
          <t>USD</t>
        </is>
      </c>
      <c r="P51" s="353" t="inlineStr">
        <is>
          <t>Software/Services</t>
        </is>
      </c>
      <c r="Q51" s="353" t="inlineStr">
        <is>
          <t>Cybersecurity / government security</t>
        </is>
      </c>
      <c r="R51" s="353" t="inlineStr">
        <is>
          <t>Core cyber-defense</t>
        </is>
      </c>
      <c r="S51" s="353" t="inlineStr">
        <is>
          <t>Government and critical-infrastructure cybersecurity business serving defense/intelligence markets.</t>
        </is>
      </c>
      <c r="T51" s="353" t="inlineStr">
        <is>
          <t>Medium-High</t>
        </is>
      </c>
      <c r="U51" s="353" t="n"/>
      <c r="V51" s="353" t="inlineStr">
        <is>
          <t>Company press release</t>
        </is>
      </c>
      <c r="W51" s="353" t="n"/>
    </row>
    <row r="52" ht="45" customHeight="1">
      <c r="A52" s="353" t="inlineStr">
        <is>
          <t>ROW-111</t>
        </is>
      </c>
      <c r="B52" s="353" t="inlineStr">
        <is>
          <t>Rest_of_World</t>
        </is>
      </c>
      <c r="C52" s="353" t="inlineStr">
        <is>
          <t>USA</t>
        </is>
      </c>
      <c r="D52" s="353" t="inlineStr">
        <is>
          <t>Philly Shipyard</t>
        </is>
      </c>
      <c r="E52" s="353" t="inlineStr">
        <is>
          <t>Hanwha Systems / Hanwha Ocean</t>
        </is>
      </c>
      <c r="F52" s="353" t="inlineStr">
        <is>
          <t>South Korea</t>
        </is>
      </c>
      <c r="G52" s="353" t="inlineStr">
        <is>
          <t>Aker Capital</t>
        </is>
      </c>
      <c r="H52" s="403" t="inlineStr">
        <is>
          <t>2024-06-20</t>
        </is>
      </c>
      <c r="I52" s="403" t="inlineStr">
        <is>
          <t>2024-12-19</t>
        </is>
      </c>
      <c r="J52" s="353" t="n">
        <v>2024</v>
      </c>
      <c r="K52" s="353" t="inlineStr">
        <is>
          <t>M&amp;A</t>
        </is>
      </c>
      <c r="L52" s="353" t="inlineStr">
        <is>
          <t>Full acquisition</t>
        </is>
      </c>
      <c r="M52" s="353" t="inlineStr">
        <is>
          <t>Completed</t>
        </is>
      </c>
      <c r="N52" s="353" t="n">
        <v>100</v>
      </c>
      <c r="O52" s="353" t="inlineStr">
        <is>
          <t>USD</t>
        </is>
      </c>
      <c r="P52" s="353" t="inlineStr">
        <is>
          <t>Hardware/Services</t>
        </is>
      </c>
      <c r="Q52" s="353" t="inlineStr">
        <is>
          <t>Naval shipbuilding / shipyard capacity</t>
        </is>
      </c>
      <c r="R52" s="353" t="inlineStr">
        <is>
          <t>Core A&amp;D maritime</t>
        </is>
      </c>
      <c r="S52" s="353" t="inlineStr">
        <is>
          <t>Korean defense/shipbuilding group acquires US shipyard capacity; relevant to naval industrial base.</t>
        </is>
      </c>
      <c r="T52" s="353" t="inlineStr">
        <is>
          <t>High</t>
        </is>
      </c>
      <c r="U52" s="353" t="n"/>
      <c r="V52" s="353" t="inlineStr">
        <is>
          <t>Company press release</t>
        </is>
      </c>
      <c r="W52" s="353" t="n"/>
    </row>
    <row r="53" ht="45" customHeight="1">
      <c r="A53" s="353" t="inlineStr">
        <is>
          <t>ROW-112</t>
        </is>
      </c>
      <c r="B53" s="353" t="inlineStr">
        <is>
          <t>Rest_of_World</t>
        </is>
      </c>
      <c r="C53" s="353" t="inlineStr">
        <is>
          <t>Estonia</t>
        </is>
      </c>
      <c r="D53" s="353" t="inlineStr">
        <is>
          <t>Milrem Robotics</t>
        </is>
      </c>
      <c r="E53" s="353" t="inlineStr">
        <is>
          <t>EDGE Group</t>
        </is>
      </c>
      <c r="F53" s="353" t="inlineStr">
        <is>
          <t>UAE</t>
        </is>
      </c>
      <c r="G53" s="353" t="inlineStr">
        <is>
          <t>Private shareholders</t>
        </is>
      </c>
      <c r="H53" s="403" t="inlineStr">
        <is>
          <t>2023-02-15</t>
        </is>
      </c>
      <c r="I53" s="403" t="inlineStr">
        <is>
          <t>2023-02-15</t>
        </is>
      </c>
      <c r="J53" s="353" t="n">
        <v>2023</v>
      </c>
      <c r="K53" s="353" t="inlineStr">
        <is>
          <t>M&amp;A</t>
        </is>
      </c>
      <c r="L53" s="353" t="inlineStr">
        <is>
          <t>Majority acquisition</t>
        </is>
      </c>
      <c r="M53" s="353" t="inlineStr">
        <is>
          <t>Completed</t>
        </is>
      </c>
      <c r="N53" s="353" t="n"/>
      <c r="O53" s="353" t="inlineStr">
        <is>
          <t>USD</t>
        </is>
      </c>
      <c r="P53" s="353" t="inlineStr">
        <is>
          <t>Hardware/Software</t>
        </is>
      </c>
      <c r="Q53" s="353" t="inlineStr">
        <is>
          <t>UGV / robotics</t>
        </is>
      </c>
      <c r="R53" s="353" t="inlineStr">
        <is>
          <t>Core A&amp;D</t>
        </is>
      </c>
      <c r="S53" s="353" t="inlineStr">
        <is>
          <t>UAE defense group acquires European unmanned ground vehicle developer.</t>
        </is>
      </c>
      <c r="T53" s="353" t="inlineStr">
        <is>
          <t>High</t>
        </is>
      </c>
      <c r="U53" s="353" t="n"/>
      <c r="V53" s="353" t="inlineStr">
        <is>
          <t>Company press release</t>
        </is>
      </c>
      <c r="W53" s="353" t="n"/>
    </row>
    <row r="54" ht="45" customHeight="1">
      <c r="A54" s="353" t="inlineStr">
        <is>
          <t>ROW-113</t>
        </is>
      </c>
      <c r="B54" s="353" t="inlineStr">
        <is>
          <t>Rest_of_World</t>
        </is>
      </c>
      <c r="C54" s="353" t="inlineStr">
        <is>
          <t>Australia</t>
        </is>
      </c>
      <c r="D54" s="353" t="inlineStr">
        <is>
          <t>Sentient Vision Systems</t>
        </is>
      </c>
      <c r="E54" s="353" t="inlineStr">
        <is>
          <t>Anduril Industries</t>
        </is>
      </c>
      <c r="F54" s="353" t="inlineStr">
        <is>
          <t>USA</t>
        </is>
      </c>
      <c r="G54" s="353" t="n"/>
      <c r="H54" s="403" t="inlineStr">
        <is>
          <t>2024-01-18</t>
        </is>
      </c>
      <c r="I54" s="403" t="n"/>
      <c r="J54" s="353" t="n">
        <v>2024</v>
      </c>
      <c r="K54" s="353" t="inlineStr">
        <is>
          <t>M&amp;A</t>
        </is>
      </c>
      <c r="L54" s="353" t="inlineStr">
        <is>
          <t>Acquisition</t>
        </is>
      </c>
      <c r="M54" s="353" t="inlineStr">
        <is>
          <t>Completed</t>
        </is>
      </c>
      <c r="N54" s="353" t="n"/>
      <c r="O54" s="353" t="inlineStr">
        <is>
          <t>USD</t>
        </is>
      </c>
      <c r="P54" s="353" t="inlineStr">
        <is>
          <t>Software/Hardware</t>
        </is>
      </c>
      <c r="Q54" s="353" t="inlineStr">
        <is>
          <t>AI imagery / maritime ISR</t>
        </is>
      </c>
      <c r="R54" s="353" t="inlineStr">
        <is>
          <t>Core A&amp;D</t>
        </is>
      </c>
      <c r="S54" s="353" t="inlineStr">
        <is>
          <t>Australian AI surveillance and ISR company acquired by US defense-tech group.</t>
        </is>
      </c>
      <c r="T54" s="353" t="inlineStr">
        <is>
          <t>High</t>
        </is>
      </c>
      <c r="U54" s="353" t="n"/>
      <c r="V54" s="353" t="inlineStr">
        <is>
          <t>Company press release</t>
        </is>
      </c>
      <c r="W54" s="353" t="n"/>
    </row>
    <row r="55" ht="45" customHeight="1">
      <c r="A55" s="353" t="inlineStr">
        <is>
          <t>ROW-114</t>
        </is>
      </c>
      <c r="B55" s="353" t="inlineStr">
        <is>
          <t>Rest_of_World</t>
        </is>
      </c>
      <c r="C55" s="353" t="inlineStr">
        <is>
          <t>Australia</t>
        </is>
      </c>
      <c r="D55" s="353" t="inlineStr">
        <is>
          <t>Tesserent</t>
        </is>
      </c>
      <c r="E55" s="353" t="inlineStr">
        <is>
          <t>Thales</t>
        </is>
      </c>
      <c r="F55" s="353" t="inlineStr">
        <is>
          <t>France</t>
        </is>
      </c>
      <c r="G55" s="353" t="inlineStr">
        <is>
          <t>Public shareholders</t>
        </is>
      </c>
      <c r="H55" s="403" t="inlineStr">
        <is>
          <t>2023-06-13</t>
        </is>
      </c>
      <c r="I55" s="403" t="inlineStr">
        <is>
          <t>2023-10-04</t>
        </is>
      </c>
      <c r="J55" s="353" t="n">
        <v>2023</v>
      </c>
      <c r="K55" s="353" t="inlineStr">
        <is>
          <t>M&amp;A</t>
        </is>
      </c>
      <c r="L55" s="353" t="inlineStr">
        <is>
          <t>Full acquisition</t>
        </is>
      </c>
      <c r="M55" s="353" t="inlineStr">
        <is>
          <t>Completed</t>
        </is>
      </c>
      <c r="N55" s="353" t="n">
        <v>176</v>
      </c>
      <c r="O55" s="353" t="inlineStr">
        <is>
          <t>USD</t>
        </is>
      </c>
      <c r="P55" s="353" t="inlineStr">
        <is>
          <t>Software/Services</t>
        </is>
      </c>
      <c r="Q55" s="353" t="inlineStr">
        <is>
          <t>Cybersecurity</t>
        </is>
      </c>
      <c r="R55" s="353" t="inlineStr">
        <is>
          <t>Adjacent cyber-defense</t>
        </is>
      </c>
      <c r="S55" s="353" t="inlineStr">
        <is>
          <t>Australian/NZ cybersecurity provider acquired by Thales; relevant to security/cyber-defense services.</t>
        </is>
      </c>
      <c r="T55" s="353" t="inlineStr">
        <is>
          <t>High</t>
        </is>
      </c>
      <c r="U55" s="353" t="n"/>
      <c r="V55" s="353" t="inlineStr">
        <is>
          <t>Company press release</t>
        </is>
      </c>
      <c r="W55" s="353" t="n"/>
    </row>
    <row r="56" ht="45" customHeight="1">
      <c r="A56" s="353" t="inlineStr">
        <is>
          <t>ROW-119</t>
        </is>
      </c>
      <c r="B56" s="353" t="inlineStr">
        <is>
          <t>Rest_of_World</t>
        </is>
      </c>
      <c r="C56" s="353" t="inlineStr">
        <is>
          <t>Israel / UK</t>
        </is>
      </c>
      <c r="D56" s="353" t="inlineStr">
        <is>
          <t>SatixFy Space Systems</t>
        </is>
      </c>
      <c r="E56" s="353" t="inlineStr">
        <is>
          <t>MDA Space</t>
        </is>
      </c>
      <c r="F56" s="353" t="inlineStr">
        <is>
          <t>Canada</t>
        </is>
      </c>
      <c r="G56" s="353" t="inlineStr">
        <is>
          <t>SatixFy Communications</t>
        </is>
      </c>
      <c r="H56" s="403" t="inlineStr">
        <is>
          <t>2025-04-01</t>
        </is>
      </c>
      <c r="I56" s="403" t="inlineStr">
        <is>
          <t>2025-10-01</t>
        </is>
      </c>
      <c r="J56" s="353" t="n">
        <v>2025</v>
      </c>
      <c r="K56" s="353" t="inlineStr">
        <is>
          <t>M&amp;A</t>
        </is>
      </c>
      <c r="L56" s="353" t="inlineStr">
        <is>
          <t>Acquisition</t>
        </is>
      </c>
      <c r="M56" s="353" t="inlineStr">
        <is>
          <t>Completed</t>
        </is>
      </c>
      <c r="N56" s="353" t="n">
        <v>60</v>
      </c>
      <c r="O56" s="353" t="inlineStr">
        <is>
          <t>USD</t>
        </is>
      </c>
      <c r="P56" s="353" t="inlineStr">
        <is>
          <t>Hardware</t>
        </is>
      </c>
      <c r="Q56" s="353" t="inlineStr">
        <is>
          <t>Satellite payload chips / space systems</t>
        </is>
      </c>
      <c r="R56" s="353" t="inlineStr">
        <is>
          <t>Core aerospace/space</t>
        </is>
      </c>
      <c r="S56" s="353" t="inlineStr">
        <is>
          <t>Canadian space company acquired digital payload division with satellite communications technology.</t>
        </is>
      </c>
      <c r="T56" s="353" t="inlineStr">
        <is>
          <t>Medium-High</t>
        </is>
      </c>
      <c r="U56" s="353" t="n"/>
      <c r="V56" s="353" t="inlineStr">
        <is>
          <t>Company press release</t>
        </is>
      </c>
      <c r="W56" s="353" t="n"/>
    </row>
    <row r="57" ht="45" customHeight="1">
      <c r="A57" s="353" t="inlineStr">
        <is>
          <t>ROW-120</t>
        </is>
      </c>
      <c r="B57" s="353" t="inlineStr">
        <is>
          <t>Rest_of_World</t>
        </is>
      </c>
      <c r="C57" s="353" t="inlineStr">
        <is>
          <t>USA</t>
        </is>
      </c>
      <c r="D57" s="353" t="inlineStr">
        <is>
          <t>Electro-Mechanical Corporation</t>
        </is>
      </c>
      <c r="E57" s="353" t="inlineStr">
        <is>
          <t>BWX Technologies</t>
        </is>
      </c>
      <c r="F57" s="353" t="inlineStr">
        <is>
          <t>USA</t>
        </is>
      </c>
      <c r="G57" s="353" t="n"/>
      <c r="H57" s="403" t="inlineStr">
        <is>
          <t>2024-12-16</t>
        </is>
      </c>
      <c r="I57" s="403" t="inlineStr">
        <is>
          <t>2025-02-03</t>
        </is>
      </c>
      <c r="J57" s="353" t="n">
        <v>2025</v>
      </c>
      <c r="K57" s="353" t="inlineStr">
        <is>
          <t>M&amp;A</t>
        </is>
      </c>
      <c r="L57" s="353" t="inlineStr">
        <is>
          <t>Acquisition</t>
        </is>
      </c>
      <c r="M57" s="353" t="inlineStr">
        <is>
          <t>Completed</t>
        </is>
      </c>
      <c r="N57" s="353" t="n"/>
      <c r="O57" s="353" t="inlineStr">
        <is>
          <t>USD</t>
        </is>
      </c>
      <c r="P57" s="353" t="inlineStr">
        <is>
          <t>Hardware</t>
        </is>
      </c>
      <c r="Q57" s="353" t="inlineStr">
        <is>
          <t>Naval nuclear / electrical equipment</t>
        </is>
      </c>
      <c r="R57" s="353" t="inlineStr">
        <is>
          <t>Core A&amp;D maritime</t>
        </is>
      </c>
      <c r="S57" s="353" t="inlineStr">
        <is>
          <t>Supplier of electrical equipment for US Navy and nuclear/defense applications.</t>
        </is>
      </c>
      <c r="T57" s="353" t="inlineStr">
        <is>
          <t>High</t>
        </is>
      </c>
      <c r="U57" s="353" t="n"/>
      <c r="V57" s="353" t="inlineStr">
        <is>
          <t>Company press release</t>
        </is>
      </c>
      <c r="W57" s="353" t="n"/>
    </row>
    <row r="58" ht="45" customHeight="1">
      <c r="A58" s="353" t="inlineStr">
        <is>
          <t>ROW-124</t>
        </is>
      </c>
      <c r="B58" s="353" t="inlineStr">
        <is>
          <t>Rest_of_World</t>
        </is>
      </c>
      <c r="C58" s="353" t="inlineStr">
        <is>
          <t>Brazil</t>
        </is>
      </c>
      <c r="D58" s="353" t="inlineStr">
        <is>
          <t>SIATT</t>
        </is>
      </c>
      <c r="E58" s="353" t="inlineStr">
        <is>
          <t>EDGE Group</t>
        </is>
      </c>
      <c r="F58" s="353" t="inlineStr">
        <is>
          <t>UAE</t>
        </is>
      </c>
      <c r="G58" s="353" t="inlineStr">
        <is>
          <t>SIATT shareholders</t>
        </is>
      </c>
      <c r="H58" s="403" t="inlineStr">
        <is>
          <t>2023-09-29</t>
        </is>
      </c>
      <c r="I58" s="403" t="inlineStr">
        <is>
          <t>2024-01-01</t>
        </is>
      </c>
      <c r="J58" s="353" t="n">
        <v>2024</v>
      </c>
      <c r="K58" s="353" t="inlineStr">
        <is>
          <t>M&amp;A</t>
        </is>
      </c>
      <c r="L58" s="353" t="inlineStr">
        <is>
          <t>Majority stake acquisition</t>
        </is>
      </c>
      <c r="M58" s="353" t="inlineStr">
        <is>
          <t>Completed</t>
        </is>
      </c>
      <c r="N58" s="353" t="n"/>
      <c r="O58" s="353" t="inlineStr">
        <is>
          <t>USD</t>
        </is>
      </c>
      <c r="P58" s="353" t="inlineStr">
        <is>
          <t>Hardware/Software</t>
        </is>
      </c>
      <c r="Q58" s="353" t="inlineStr">
        <is>
          <t>Smart weapons / missiles</t>
        </is>
      </c>
      <c r="R58" s="353" t="inlineStr">
        <is>
          <t>Core A&amp;D</t>
        </is>
      </c>
      <c r="S58" s="353" t="inlineStr">
        <is>
          <t>Brazilian smart-weapons and missile-technology company acquired by UAE defense group.</t>
        </is>
      </c>
      <c r="T58" s="353" t="inlineStr">
        <is>
          <t>High</t>
        </is>
      </c>
      <c r="U58" s="353" t="n"/>
      <c r="V58" s="353" t="inlineStr">
        <is>
          <t>Company press release</t>
        </is>
      </c>
      <c r="W58" s="353" t="n"/>
    </row>
    <row r="59" ht="45" customHeight="1">
      <c r="A59" s="353" t="inlineStr">
        <is>
          <t>ROW-125</t>
        </is>
      </c>
      <c r="B59" s="353" t="inlineStr">
        <is>
          <t>Rest_of_World</t>
        </is>
      </c>
      <c r="C59" s="353" t="inlineStr">
        <is>
          <t>Switzerland</t>
        </is>
      </c>
      <c r="D59" s="353" t="inlineStr">
        <is>
          <t>Anavia</t>
        </is>
      </c>
      <c r="E59" s="353" t="inlineStr">
        <is>
          <t>EDGE Group</t>
        </is>
      </c>
      <c r="F59" s="353" t="inlineStr">
        <is>
          <t>UAE</t>
        </is>
      </c>
      <c r="G59" s="353" t="inlineStr">
        <is>
          <t>Private shareholders</t>
        </is>
      </c>
      <c r="H59" s="403" t="inlineStr">
        <is>
          <t>2023-11-16</t>
        </is>
      </c>
      <c r="I59" s="403" t="inlineStr">
        <is>
          <t>2023-11-16</t>
        </is>
      </c>
      <c r="J59" s="353" t="n">
        <v>2023</v>
      </c>
      <c r="K59" s="353" t="inlineStr">
        <is>
          <t>M&amp;A</t>
        </is>
      </c>
      <c r="L59" s="353" t="inlineStr">
        <is>
          <t>Majority stake acquisition</t>
        </is>
      </c>
      <c r="M59" s="353" t="inlineStr">
        <is>
          <t>Completed</t>
        </is>
      </c>
      <c r="N59" s="353" t="n"/>
      <c r="O59" s="353" t="inlineStr">
        <is>
          <t>USD</t>
        </is>
      </c>
      <c r="P59" s="353" t="inlineStr">
        <is>
          <t>Hardware/Software</t>
        </is>
      </c>
      <c r="Q59" s="353" t="inlineStr">
        <is>
          <t>VTOL UAS</t>
        </is>
      </c>
      <c r="R59" s="353" t="inlineStr">
        <is>
          <t>Core A&amp;D</t>
        </is>
      </c>
      <c r="S59" s="353" t="inlineStr">
        <is>
          <t>Swiss unmanned helicopter/UAS company acquired by UAE defense group.</t>
        </is>
      </c>
      <c r="T59" s="353" t="inlineStr">
        <is>
          <t>High</t>
        </is>
      </c>
      <c r="U59" s="353" t="n"/>
      <c r="V59" s="353" t="inlineStr">
        <is>
          <t>Company press release</t>
        </is>
      </c>
      <c r="W59" s="353" t="n"/>
    </row>
    <row r="60" ht="45" customHeight="1">
      <c r="A60" s="353" t="inlineStr">
        <is>
          <t>ROW-126</t>
        </is>
      </c>
      <c r="B60" s="353" t="inlineStr">
        <is>
          <t>Rest_of_World</t>
        </is>
      </c>
      <c r="C60" s="353" t="inlineStr">
        <is>
          <t>Poland</t>
        </is>
      </c>
      <c r="D60" s="353" t="inlineStr">
        <is>
          <t>FLARIS</t>
        </is>
      </c>
      <c r="E60" s="353" t="inlineStr">
        <is>
          <t>EDGE Group</t>
        </is>
      </c>
      <c r="F60" s="353" t="inlineStr">
        <is>
          <t>UAE</t>
        </is>
      </c>
      <c r="G60" s="353" t="inlineStr">
        <is>
          <t>Private shareholders</t>
        </is>
      </c>
      <c r="H60" s="403" t="inlineStr">
        <is>
          <t>2023-11-16</t>
        </is>
      </c>
      <c r="I60" s="403" t="inlineStr">
        <is>
          <t>2023-11-16</t>
        </is>
      </c>
      <c r="J60" s="353" t="n">
        <v>2023</v>
      </c>
      <c r="K60" s="353" t="inlineStr">
        <is>
          <t>M&amp;A</t>
        </is>
      </c>
      <c r="L60" s="353" t="inlineStr">
        <is>
          <t>Majority stake acquisition</t>
        </is>
      </c>
      <c r="M60" s="353" t="inlineStr">
        <is>
          <t>Completed</t>
        </is>
      </c>
      <c r="N60" s="353" t="n"/>
      <c r="O60" s="353" t="inlineStr">
        <is>
          <t>USD</t>
        </is>
      </c>
      <c r="P60" s="353" t="inlineStr">
        <is>
          <t>Hardware</t>
        </is>
      </c>
      <c r="Q60" s="353" t="inlineStr">
        <is>
          <t>Light jet / aircraft systems</t>
        </is>
      </c>
      <c r="R60" s="353" t="inlineStr">
        <is>
          <t>Adjacent aerospace/defense</t>
        </is>
      </c>
      <c r="S60" s="353" t="inlineStr">
        <is>
          <t>Light jet/aerospace platform relevant to aerospace portfolio; weaker direct defense fit.</t>
        </is>
      </c>
      <c r="T60" s="353" t="inlineStr">
        <is>
          <t>Medium-High</t>
        </is>
      </c>
      <c r="U60" s="353" t="n"/>
      <c r="V60" s="353" t="inlineStr">
        <is>
          <t>Company press release</t>
        </is>
      </c>
      <c r="W60" s="353" t="n"/>
    </row>
    <row r="61" ht="45" customHeight="1">
      <c r="A61" s="353" t="inlineStr">
        <is>
          <t>ROW-127</t>
        </is>
      </c>
      <c r="B61" s="353" t="inlineStr">
        <is>
          <t>Rest_of_World</t>
        </is>
      </c>
      <c r="C61" s="353" t="inlineStr">
        <is>
          <t>Brazil</t>
        </is>
      </c>
      <c r="D61" s="353" t="inlineStr">
        <is>
          <t>Condor Non-Lethal Technologies</t>
        </is>
      </c>
      <c r="E61" s="353" t="inlineStr">
        <is>
          <t>EDGE Group</t>
        </is>
      </c>
      <c r="F61" s="353" t="inlineStr">
        <is>
          <t>UAE</t>
        </is>
      </c>
      <c r="G61" s="353" t="inlineStr">
        <is>
          <t>Private shareholders</t>
        </is>
      </c>
      <c r="H61" s="403" t="inlineStr">
        <is>
          <t>2023-04-12</t>
        </is>
      </c>
      <c r="I61" s="403" t="inlineStr">
        <is>
          <t>2023-04-12</t>
        </is>
      </c>
      <c r="J61" s="353" t="n">
        <v>2023</v>
      </c>
      <c r="K61" s="353" t="inlineStr">
        <is>
          <t>M&amp;A</t>
        </is>
      </c>
      <c r="L61" s="353" t="inlineStr">
        <is>
          <t>Majority stake acquisition</t>
        </is>
      </c>
      <c r="M61" s="353" t="inlineStr">
        <is>
          <t>Completed</t>
        </is>
      </c>
      <c r="N61" s="353" t="n"/>
      <c r="O61" s="353" t="inlineStr">
        <is>
          <t>USD</t>
        </is>
      </c>
      <c r="P61" s="353" t="inlineStr">
        <is>
          <t>Hardware</t>
        </is>
      </c>
      <c r="Q61" s="353" t="inlineStr">
        <is>
          <t>Non-lethal defense / public security</t>
        </is>
      </c>
      <c r="R61" s="353" t="inlineStr">
        <is>
          <t>Core defense/security</t>
        </is>
      </c>
      <c r="S61" s="353" t="inlineStr">
        <is>
          <t>Non-lethal weapons and tactical products for security and defense forces.</t>
        </is>
      </c>
      <c r="T61" s="353" t="inlineStr">
        <is>
          <t>High</t>
        </is>
      </c>
      <c r="U61" s="353" t="n"/>
      <c r="V61" s="353" t="inlineStr">
        <is>
          <t>Company press release</t>
        </is>
      </c>
      <c r="W61" s="353" t="n"/>
    </row>
    <row r="62" ht="45" customHeight="1">
      <c r="A62" s="353" t="inlineStr">
        <is>
          <t>ROW-128</t>
        </is>
      </c>
      <c r="B62" s="353" t="inlineStr">
        <is>
          <t>Rest_of_World</t>
        </is>
      </c>
      <c r="C62" s="353" t="inlineStr">
        <is>
          <t>Brazil</t>
        </is>
      </c>
      <c r="D62" s="353" t="inlineStr">
        <is>
          <t>AKAER</t>
        </is>
      </c>
      <c r="E62" s="353" t="inlineStr">
        <is>
          <t>EDGE Group</t>
        </is>
      </c>
      <c r="F62" s="353" t="inlineStr">
        <is>
          <t>UAE</t>
        </is>
      </c>
      <c r="G62" s="353" t="inlineStr">
        <is>
          <t>Private shareholders</t>
        </is>
      </c>
      <c r="H62" s="403" t="inlineStr">
        <is>
          <t>2023-09-26</t>
        </is>
      </c>
      <c r="I62" s="403" t="inlineStr">
        <is>
          <t>2023-09-26</t>
        </is>
      </c>
      <c r="J62" s="353" t="n">
        <v>2023</v>
      </c>
      <c r="K62" s="353" t="inlineStr">
        <is>
          <t>M&amp;A</t>
        </is>
      </c>
      <c r="L62" s="353" t="inlineStr">
        <is>
          <t>Strategic stake</t>
        </is>
      </c>
      <c r="M62" s="353" t="inlineStr">
        <is>
          <t>Completed</t>
        </is>
      </c>
      <c r="N62" s="353" t="n"/>
      <c r="O62" s="353" t="inlineStr">
        <is>
          <t>USD</t>
        </is>
      </c>
      <c r="P62" s="353" t="inlineStr">
        <is>
          <t>Services/Hardware</t>
        </is>
      </c>
      <c r="Q62" s="353" t="inlineStr">
        <is>
          <t>Aerospace engineering / defense systems</t>
        </is>
      </c>
      <c r="R62" s="353" t="inlineStr">
        <is>
          <t>Core aerospace/defense</t>
        </is>
      </c>
      <c r="S62" s="353" t="inlineStr">
        <is>
          <t>Brazilian aerospace engineering company; supports aircraft and defense platforms.</t>
        </is>
      </c>
      <c r="T62" s="353" t="inlineStr">
        <is>
          <t>Medium-High</t>
        </is>
      </c>
      <c r="U62" s="353" t="n"/>
      <c r="V62" s="353" t="inlineStr">
        <is>
          <t>Company press release</t>
        </is>
      </c>
      <c r="W62" s="353" t="n"/>
    </row>
    <row r="63" ht="45" customHeight="1">
      <c r="A63" s="353" t="n"/>
      <c r="B63" s="353" t="inlineStr">
        <is>
          <t>Israel</t>
        </is>
      </c>
      <c r="C63" s="353" t="inlineStr">
        <is>
          <t>Israel</t>
        </is>
      </c>
      <c r="D63" s="353" t="inlineStr">
        <is>
          <t>BIRD Aerosystems</t>
        </is>
      </c>
      <c r="E63" s="353" t="inlineStr">
        <is>
          <t>Ondas Holdings</t>
        </is>
      </c>
      <c r="F63" s="353" t="inlineStr">
        <is>
          <t>USA</t>
        </is>
      </c>
      <c r="G63" s="353" t="inlineStr">
        <is>
          <t>FIMI / shareholders</t>
        </is>
      </c>
      <c r="H63" s="403" t="inlineStr">
        <is>
          <t>2026-03-11</t>
        </is>
      </c>
      <c r="I63" s="403" t="inlineStr">
        <is>
          <t>2026-03-11</t>
        </is>
      </c>
      <c r="J63" s="353" t="n">
        <v>2026</v>
      </c>
      <c r="K63" s="353" t="inlineStr">
        <is>
          <t>M&amp;A</t>
        </is>
      </c>
      <c r="L63" s="353" t="inlineStr">
        <is>
          <t>FULL</t>
        </is>
      </c>
      <c r="M63" s="353" t="inlineStr">
        <is>
          <t>Completed / announced as acquired</t>
        </is>
      </c>
      <c r="N63" s="353" t="n">
        <v>133</v>
      </c>
      <c r="O63" s="353" t="inlineStr">
        <is>
          <t>USD</t>
        </is>
      </c>
      <c r="P63" s="353" t="inlineStr">
        <is>
          <t>Hardware / Software</t>
        </is>
      </c>
      <c r="Q63" s="353" t="inlineStr">
        <is>
          <t>Airborne missile protection systems (AMPS), DIRCM, airborne ISR, mission C2</t>
        </is>
      </c>
      <c r="R63" s="353" t="inlineStr">
        <is>
          <t>Core A&amp;D</t>
        </is>
      </c>
      <c r="S63" s="353" t="inlineStr">
        <is>
          <t>Adds a true defense / airborne protection transaction, not cyber. Useful for airborne ISR, aircraft protection, and counter-UAS adjacency.</t>
        </is>
      </c>
      <c r="T63" s="353" t="inlineStr">
        <is>
          <t>High</t>
        </is>
      </c>
      <c r="U63" s="353" t="inlineStr">
        <is>
          <t>https://ir.ondas.com/press-releases/detail/289/ondas-acquires-bird-aerosystems-to-expand-airborne-missile</t>
        </is>
      </c>
      <c r="V63" s="353" t="inlineStr">
        <is>
          <t>Company press release + reputable press</t>
        </is>
      </c>
      <c r="W63" s="353" t="inlineStr">
        <is>
          <t>Deal value should be marked as reported by press/source support; keep as supplemental addition.</t>
        </is>
      </c>
    </row>
    <row r="64" ht="45" customHeight="1">
      <c r="A64" s="353" t="n"/>
      <c r="B64" s="353" t="inlineStr">
        <is>
          <t>Israel</t>
        </is>
      </c>
      <c r="C64" s="353" t="inlineStr">
        <is>
          <t>Israel</t>
        </is>
      </c>
      <c r="D64" s="353" t="inlineStr">
        <is>
          <t>INDO Earth Moving Ltd.</t>
        </is>
      </c>
      <c r="E64" s="353" t="inlineStr">
        <is>
          <t>Ondas Holdings</t>
        </is>
      </c>
      <c r="F64" s="353" t="inlineStr">
        <is>
          <t>USA</t>
        </is>
      </c>
      <c r="G64" s="353" t="inlineStr">
        <is>
          <t>INDO shareholders</t>
        </is>
      </c>
      <c r="H64" s="403" t="inlineStr">
        <is>
          <t>2026-03-17</t>
        </is>
      </c>
      <c r="I64" s="403" t="inlineStr">
        <is>
          <t>2026-03-17</t>
        </is>
      </c>
      <c r="J64" s="353" t="n">
        <v>2026</v>
      </c>
      <c r="K64" s="353" t="inlineStr">
        <is>
          <t>M&amp;A</t>
        </is>
      </c>
      <c r="L64" s="353" t="inlineStr">
        <is>
          <t>FULL</t>
        </is>
      </c>
      <c r="M64" s="353" t="inlineStr">
        <is>
          <t>Completed / announced as acquired</t>
        </is>
      </c>
      <c r="N64" s="353" t="n"/>
      <c r="O64" s="353" t="inlineStr">
        <is>
          <t>USD</t>
        </is>
      </c>
      <c r="P64" s="353" t="inlineStr">
        <is>
          <t>Hardware / Services</t>
        </is>
      </c>
      <c r="Q64" s="353" t="inlineStr">
        <is>
          <t>Military heavy engineering platforms, combat engineering vehicles, lifecycle support</t>
        </is>
      </c>
      <c r="R64" s="353" t="inlineStr">
        <is>
          <t>Core A&amp;D / Defense services</t>
        </is>
      </c>
      <c r="S64" s="353" t="inlineStr">
        <is>
          <t>Adds non-cyber ground systems / military engineering exposure. Keep value blank to avoid mistaking program value for deal value.</t>
        </is>
      </c>
      <c r="T64" s="353" t="inlineStr">
        <is>
          <t>High</t>
        </is>
      </c>
      <c r="U64" s="353" t="inlineStr">
        <is>
          <t>https://ir.ondas.com/press-releases/detail/292/ondas-acquires-indo-earth-moving-ltd-following-its-140</t>
        </is>
      </c>
      <c r="V64" s="353" t="inlineStr">
        <is>
          <t>Company press release</t>
        </is>
      </c>
      <c r="W64" s="353" t="inlineStr">
        <is>
          <t>Value not disclosed; do not use contract/program value as acquisition value.</t>
        </is>
      </c>
    </row>
    <row r="65" ht="45" customHeight="1">
      <c r="A65" s="353" t="n"/>
      <c r="B65" s="353" t="inlineStr">
        <is>
          <t>Israel</t>
        </is>
      </c>
      <c r="C65" s="353" t="inlineStr">
        <is>
          <t>Israel</t>
        </is>
      </c>
      <c r="D65" s="353" t="inlineStr">
        <is>
          <t>ThirdEye Systems</t>
        </is>
      </c>
      <c r="E65" s="353" t="inlineStr">
        <is>
          <t>EDGE Group</t>
        </is>
      </c>
      <c r="F65" s="353" t="inlineStr">
        <is>
          <t>UAE</t>
        </is>
      </c>
      <c r="G65" s="353" t="inlineStr">
        <is>
          <t>Public / existing shareholders</t>
        </is>
      </c>
      <c r="H65" s="403" t="inlineStr">
        <is>
          <t>2025-01-28</t>
        </is>
      </c>
      <c r="I65" s="403" t="inlineStr">
        <is>
          <t>Pending shareholder approvals / JV setup</t>
        </is>
      </c>
      <c r="J65" s="353" t="n">
        <v>2025</v>
      </c>
      <c r="K65" s="353" t="inlineStr">
        <is>
          <t>M&amp;A / Minority investment</t>
        </is>
      </c>
      <c r="L65" s="353" t="inlineStr">
        <is>
          <t>MINORITY — 30% stake + JV</t>
        </is>
      </c>
      <c r="M65" s="353" t="inlineStr">
        <is>
          <t>Announced</t>
        </is>
      </c>
      <c r="N65" s="353" t="n">
        <v>10.3</v>
      </c>
      <c r="O65" s="353" t="inlineStr">
        <is>
          <t>USD</t>
        </is>
      </c>
      <c r="P65" s="353" t="inlineStr">
        <is>
          <t>Hardware / Software</t>
        </is>
      </c>
      <c r="Q65" s="353" t="inlineStr">
        <is>
          <t>Electro-optical drone/UAV detection, counter-UAS target identification</t>
        </is>
      </c>
      <c r="R65" s="353" t="inlineStr">
        <is>
          <t>Core A&amp;D / Defense-electronics adjacent</t>
        </is>
      </c>
      <c r="S65" s="353" t="inlineStr">
        <is>
          <t>Adds a rare non-US strategic defense investment into Israeli counter-drone / EO detection technology.</t>
        </is>
      </c>
      <c r="T65" s="353" t="inlineStr">
        <is>
          <t>Medium-High</t>
        </is>
      </c>
      <c r="U65" s="353" t="inlineStr">
        <is>
          <t>https://www.calcalistech.com/ctechnews/article/t0k36tepz</t>
        </is>
      </c>
      <c r="V65" s="353" t="inlineStr">
        <is>
          <t>Reputable press</t>
        </is>
      </c>
      <c r="W65" s="353" t="inlineStr">
        <is>
          <t>Minority investment; do not count as full acquisition.</t>
        </is>
      </c>
    </row>
    <row r="66" ht="45" customHeight="1">
      <c r="A66" s="353" t="n"/>
      <c r="B66" s="353" t="inlineStr">
        <is>
          <t>Israel</t>
        </is>
      </c>
      <c r="C66" s="353" t="inlineStr">
        <is>
          <t>Israel</t>
        </is>
      </c>
      <c r="D66" s="353" t="inlineStr">
        <is>
          <t>XTEND</t>
        </is>
      </c>
      <c r="E66" s="353" t="inlineStr">
        <is>
          <t>JFB Construction Holdings</t>
        </is>
      </c>
      <c r="F66" s="353" t="inlineStr">
        <is>
          <t>USA</t>
        </is>
      </c>
      <c r="G66" s="353" t="inlineStr">
        <is>
          <t>XTEND shareholders / JFB</t>
        </is>
      </c>
      <c r="H66" s="403" t="inlineStr">
        <is>
          <t>2026-02-17</t>
        </is>
      </c>
      <c r="I66" s="403" t="inlineStr">
        <is>
          <t>Expected mid-2026</t>
        </is>
      </c>
      <c r="J66" s="353" t="n">
        <v>2026</v>
      </c>
      <c r="K66" s="353" t="inlineStr">
        <is>
          <t>Other / SPAC business combination</t>
        </is>
      </c>
      <c r="L66" s="353" t="inlineStr">
        <is>
          <t>OTHER — all-stock merger / public listing</t>
        </is>
      </c>
      <c r="M66" s="353" t="inlineStr">
        <is>
          <t>Announced / expected close</t>
        </is>
      </c>
      <c r="N66" s="353" t="n">
        <v>1500</v>
      </c>
      <c r="O66" s="353" t="inlineStr">
        <is>
          <t>USD</t>
        </is>
      </c>
      <c r="P66" s="353" t="inlineStr">
        <is>
          <t>Hardware / Software</t>
        </is>
      </c>
      <c r="Q66" s="353" t="inlineStr">
        <is>
          <t>AI-enabled tactical drones, human-guided autonomous systems, defense robotics</t>
        </is>
      </c>
      <c r="R66" s="353" t="inlineStr">
        <is>
          <t>Core A&amp;D / Public-market transaction</t>
        </is>
      </c>
      <c r="S66" s="353" t="inlineStr">
        <is>
          <t>Adds a major drone/defense robotics transaction. Treat separately from traditional M&amp;A because it is a merger to take XTEND public.</t>
        </is>
      </c>
      <c r="T66" s="353" t="inlineStr">
        <is>
          <t>High</t>
        </is>
      </c>
      <c r="U66" s="353" t="inlineStr">
        <is>
          <t>https://www.reuters.com/business/aerospace-defense/eric-trump-invests-israeli-drone-maker-xtends-merger-with-florida-construction-2026-02-17/</t>
        </is>
      </c>
      <c r="V66" s="353" t="inlineStr">
        <is>
          <t>Reuters / reputable press</t>
        </is>
      </c>
      <c r="W66" s="353" t="inlineStr">
        <is>
          <t>Not classic M&amp;A; classify as Other / public-market business combination.</t>
        </is>
      </c>
    </row>
    <row r="67" ht="45" customHeight="1">
      <c r="A67" s="353" t="n"/>
      <c r="B67" s="353" t="inlineStr">
        <is>
          <t>Israel</t>
        </is>
      </c>
      <c r="C67" s="353" t="inlineStr">
        <is>
          <t>Israel</t>
        </is>
      </c>
      <c r="D67" s="353" t="inlineStr">
        <is>
          <t>Nimbus Drones Technologies and Marketing Ltd.</t>
        </is>
      </c>
      <c r="E67" s="353" t="inlineStr">
        <is>
          <t>Nukkleus Inc.</t>
        </is>
      </c>
      <c r="F67" s="353" t="inlineStr">
        <is>
          <t>USA</t>
        </is>
      </c>
      <c r="G67" s="353" t="inlineStr">
        <is>
          <t>Elad Defense LLC</t>
        </is>
      </c>
      <c r="H67" s="403" t="inlineStr">
        <is>
          <t>2026-01-15</t>
        </is>
      </c>
      <c r="I67" s="403" t="inlineStr">
        <is>
          <t>2026-01-15</t>
        </is>
      </c>
      <c r="J67" s="353" t="n">
        <v>2026</v>
      </c>
      <c r="K67" s="353" t="inlineStr">
        <is>
          <t>M&amp;A</t>
        </is>
      </c>
      <c r="L67" s="353" t="inlineStr">
        <is>
          <t>FULL</t>
        </is>
      </c>
      <c r="M67" s="353" t="inlineStr">
        <is>
          <t>Completed at signing</t>
        </is>
      </c>
      <c r="N67" s="353" t="n"/>
      <c r="O67" s="353" t="inlineStr">
        <is>
          <t>USD</t>
        </is>
      </c>
      <c r="P67" s="353" t="inlineStr">
        <is>
          <t>Hardware / Services</t>
        </is>
      </c>
      <c r="Q67" s="353" t="inlineStr">
        <is>
          <t>UAV solutions, Counter-UAS platforms, drone operations/training</t>
        </is>
      </c>
      <c r="R67" s="353" t="inlineStr">
        <is>
          <t>Core A&amp;D / UAV &amp; Counter-UAS</t>
        </is>
      </c>
      <c r="S67" s="353" t="inlineStr">
        <is>
          <t>Adds a small but very relevant Israeli UAV/counter-UAS acquisition with contract-level source details.</t>
        </is>
      </c>
      <c r="T67" s="353" t="inlineStr">
        <is>
          <t>High</t>
        </is>
      </c>
      <c r="U67" s="353" t="inlineStr">
        <is>
          <t>https://contracts.justia.com/companies/brilliant-acquisition-corp-10112/contract/1353910/</t>
        </is>
      </c>
      <c r="V67" s="353" t="inlineStr">
        <is>
          <t>Legal contract / transaction agreement</t>
        </is>
      </c>
      <c r="W67" s="353" t="inlineStr">
        <is>
          <t>Keep value blank unless consideration is clearly stated in agreement.</t>
        </is>
      </c>
    </row>
    <row r="68" ht="45" customHeight="1">
      <c r="A68" s="353" t="n"/>
      <c r="B68" s="353" t="inlineStr">
        <is>
          <t>Israel</t>
        </is>
      </c>
      <c r="C68" s="353" t="inlineStr">
        <is>
          <t>Israel</t>
        </is>
      </c>
      <c r="D68" s="353" t="inlineStr">
        <is>
          <t>Aero Sol Aviation Solutions Ltd.</t>
        </is>
      </c>
      <c r="E68" s="353" t="inlineStr">
        <is>
          <t>Veloryx</t>
        </is>
      </c>
      <c r="F68" s="353" t="inlineStr">
        <is>
          <t>Israel</t>
        </is>
      </c>
      <c r="G68" s="353" t="inlineStr">
        <is>
          <t>Aero Sol shareholders</t>
        </is>
      </c>
      <c r="H68" s="403" t="inlineStr">
        <is>
          <t>2026-03-15</t>
        </is>
      </c>
      <c r="I68" s="403" t="inlineStr">
        <is>
          <t>Targeted April 2026 / pending binding agreement</t>
        </is>
      </c>
      <c r="J68" s="353" t="n">
        <v>2026</v>
      </c>
      <c r="K68" s="353" t="inlineStr">
        <is>
          <t>M&amp;A / Majority stake</t>
        </is>
      </c>
      <c r="L68" s="353" t="inlineStr">
        <is>
          <t>Proposed 70% controlling stake</t>
        </is>
      </c>
      <c r="M68" s="353" t="inlineStr">
        <is>
          <t>Advanced negotiations / pending</t>
        </is>
      </c>
      <c r="N68" s="353" t="n">
        <v>9.4</v>
      </c>
      <c r="O68" s="353" t="inlineStr">
        <is>
          <t>USD</t>
        </is>
      </c>
      <c r="P68" s="353" t="inlineStr">
        <is>
          <t>Hardware / Software</t>
        </is>
      </c>
      <c r="Q68" s="353" t="inlineStr">
        <is>
          <t>Tactical ISR drones, sensors, C2, homeland-security unmanned systems</t>
        </is>
      </c>
      <c r="R68" s="353" t="inlineStr">
        <is>
          <t>Core/Adjacent A&amp;D — Pending</t>
        </is>
      </c>
      <c r="S68" s="353" t="inlineStr">
        <is>
          <t>Interesting non-cyber Israeli drone/control-stake transaction, but mark pending until binding agreement/closing is confirmed.</t>
        </is>
      </c>
      <c r="T68" s="353" t="inlineStr">
        <is>
          <t>Medium</t>
        </is>
      </c>
      <c r="U68" s="353" t="inlineStr">
        <is>
          <t>https://www.jpost.com/defense-and-tech/article-889954</t>
        </is>
      </c>
      <c r="V68" s="353" t="inlineStr">
        <is>
          <t>Reputable press</t>
        </is>
      </c>
      <c r="W68" s="353" t="inlineStr">
        <is>
          <t>Pending / advanced negotiations; do not count as completed M&amp;A.</t>
        </is>
      </c>
    </row>
    <row r="69" ht="45" customHeight="1">
      <c r="A69" s="353" t="n"/>
      <c r="B69" s="353" t="inlineStr">
        <is>
          <t>Israel</t>
        </is>
      </c>
      <c r="C69" s="353" t="inlineStr">
        <is>
          <t>Greece</t>
        </is>
      </c>
      <c r="D69" s="353" t="inlineStr">
        <is>
          <t>Intracom Defense (IDE)</t>
        </is>
      </c>
      <c r="E69" s="353" t="inlineStr">
        <is>
          <t>Israel Aerospace Industries (IAI)</t>
        </is>
      </c>
      <c r="F69" s="353" t="inlineStr">
        <is>
          <t>Israel</t>
        </is>
      </c>
      <c r="G69" s="353" t="inlineStr">
        <is>
          <t>Intracom Holdings / shareholders</t>
        </is>
      </c>
      <c r="H69" s="403" t="inlineStr">
        <is>
          <t>2023-05-09</t>
        </is>
      </c>
      <c r="I69" s="403" t="inlineStr">
        <is>
          <t>Expected Q2 2023</t>
        </is>
      </c>
      <c r="J69" s="353" t="n">
        <v>2023</v>
      </c>
      <c r="K69" s="353" t="inlineStr">
        <is>
          <t>M&amp;A</t>
        </is>
      </c>
      <c r="L69" s="353" t="inlineStr">
        <is>
          <t>MAJORITY — 90.91% stake</t>
        </is>
      </c>
      <c r="M69" s="353" t="inlineStr">
        <is>
          <t>Signed / expected close</t>
        </is>
      </c>
      <c r="N69" s="353" t="n">
        <v>66</v>
      </c>
      <c r="O69" s="353" t="inlineStr">
        <is>
          <t>USD</t>
        </is>
      </c>
      <c r="P69" s="353" t="inlineStr">
        <is>
          <t>Hardware / Software</t>
        </is>
      </c>
      <c r="Q69" s="353" t="inlineStr">
        <is>
          <t>Missile launchers, missile subsystems, tactical communications, hybrid generation, NATO defense electronics</t>
        </is>
      </c>
      <c r="R69" s="353" t="inlineStr">
        <is>
          <t>Core A&amp;D</t>
        </is>
      </c>
      <c r="S69" s="353" t="inlineStr">
        <is>
          <t>Adds a non-cyber Israeli-acquirer transaction. Useful only if the Israel dataset includes Israeli buyers, not just Israeli targets.</t>
        </is>
      </c>
      <c r="T69" s="353" t="inlineStr">
        <is>
          <t>Medium-High</t>
        </is>
      </c>
      <c r="U69" s="353" t="inlineStr">
        <is>
          <t>https://www.iai.co.il/press/iai-has-acquired-greek-defence-company-intracom-defence/</t>
        </is>
      </c>
      <c r="V69" s="353" t="inlineStr">
        <is>
          <t>Company press release + press estimate</t>
        </is>
      </c>
      <c r="W69" s="353" t="inlineStr">
        <is>
          <t>Target country is Greece, not Israel; include only under Israeli-acquirer logic.</t>
        </is>
      </c>
    </row>
    <row r="70" ht="45" customHeight="1">
      <c r="A70" s="353" t="n"/>
      <c r="B70" s="353" t="inlineStr">
        <is>
          <t>Israel</t>
        </is>
      </c>
      <c r="C70" s="353" t="inlineStr">
        <is>
          <t>Israel</t>
        </is>
      </c>
      <c r="D70" s="353" t="inlineStr">
        <is>
          <t>Gadfin Aero-Logistics Systems</t>
        </is>
      </c>
      <c r="E70" s="353" t="inlineStr">
        <is>
          <t>Israel Acquisitions Corp.</t>
        </is>
      </c>
      <c r="F70" s="353" t="inlineStr">
        <is>
          <t>USA / Israel SPAC</t>
        </is>
      </c>
      <c r="G70" s="353" t="inlineStr">
        <is>
          <t>Gadfin shareholders / SPAC shareholders</t>
        </is>
      </c>
      <c r="H70" s="403" t="inlineStr">
        <is>
          <t>2025-01-27</t>
        </is>
      </c>
      <c r="I70" s="403" t="inlineStr">
        <is>
          <t>Expected H2 2025 / subject to approvals</t>
        </is>
      </c>
      <c r="J70" s="353" t="n">
        <v>2025</v>
      </c>
      <c r="K70" s="353" t="inlineStr">
        <is>
          <t>Other / Business combination</t>
        </is>
      </c>
      <c r="L70" s="353" t="inlineStr">
        <is>
          <t>OTHER — SPAC / business combination</t>
        </is>
      </c>
      <c r="M70" s="353" t="inlineStr">
        <is>
          <t>Announced / pending approvals</t>
        </is>
      </c>
      <c r="N70" s="353" t="n">
        <v>200</v>
      </c>
      <c r="O70" s="353" t="inlineStr">
        <is>
          <t>USD</t>
        </is>
      </c>
      <c r="P70" s="353" t="inlineStr">
        <is>
          <t>Hardware / Software</t>
        </is>
      </c>
      <c r="Q70" s="353" t="inlineStr">
        <is>
          <t>Long-range all-weather drone delivery / UAV logistics</t>
        </is>
      </c>
      <c r="R70" s="353" t="inlineStr">
        <is>
          <t>Aerospace / UAV-adjacent, not pure defense</t>
        </is>
      </c>
      <c r="S70" s="353" t="inlineStr">
        <is>
          <t>Good supplemental aerospace/UAV row, but classify separately because it is a SPAC-style business combination and not a classic defense acquisition.</t>
        </is>
      </c>
      <c r="T70" s="353" t="inlineStr">
        <is>
          <t>Medium-High</t>
        </is>
      </c>
      <c r="U70" s="353" t="inlineStr">
        <is>
          <t>https://www.unmannedsystemstechnology.com/2025/02/business-combination-agreement-to-improve-drone-delivery/</t>
        </is>
      </c>
      <c r="V70" s="353" t="inlineStr">
        <is>
          <t>Industry press / business-combination announcement</t>
        </is>
      </c>
      <c r="W70" s="353" t="inlineStr">
        <is>
          <t>Treat as aerospace/UAV-adjacent and separate from classic M&amp;A counts.</t>
        </is>
      </c>
    </row>
    <row r="71" ht="45" customHeight="1">
      <c r="A71" s="353" t="n"/>
      <c r="B71" s="353" t="inlineStr">
        <is>
          <t>USA</t>
        </is>
      </c>
      <c r="C71" s="353" t="inlineStr">
        <is>
          <t>USA</t>
        </is>
      </c>
      <c r="D71" s="353" t="inlineStr">
        <is>
          <t>Maxar Technologies</t>
        </is>
      </c>
      <c r="E71" s="353" t="inlineStr">
        <is>
          <t>Advent International</t>
        </is>
      </c>
      <c r="F71" s="353" t="inlineStr">
        <is>
          <t>USA</t>
        </is>
      </c>
      <c r="G71" s="353" t="inlineStr">
        <is>
          <t>Public shareholders</t>
        </is>
      </c>
      <c r="H71" s="403" t="n">
        <v>44911</v>
      </c>
      <c r="I71" s="403" t="n">
        <v>45049</v>
      </c>
      <c r="J71" s="353" t="n">
        <v>2023</v>
      </c>
      <c r="K71" s="353" t="inlineStr">
        <is>
          <t>M&amp;A</t>
        </is>
      </c>
      <c r="L71" s="353" t="inlineStr">
        <is>
          <t>Take-private acquisition</t>
        </is>
      </c>
      <c r="M71" s="353" t="inlineStr">
        <is>
          <t>Completed</t>
        </is>
      </c>
      <c r="N71" s="353" t="n">
        <v>6400</v>
      </c>
      <c r="O71" s="353" t="inlineStr">
        <is>
          <t>USD</t>
        </is>
      </c>
      <c r="P71" s="353" t="inlineStr">
        <is>
          <t>Hardware/Software</t>
        </is>
      </c>
      <c r="Q71" s="353" t="inlineStr">
        <is>
          <t>Earth observation / geospatial intelligence</t>
        </is>
      </c>
      <c r="R71" s="353" t="inlineStr">
        <is>
          <t>Core A&amp;D space</t>
        </is>
      </c>
      <c r="S71" s="353" t="inlineStr">
        <is>
          <t>Earth-imagery and geospatial intelligence provider used by defense and intelligence customers.</t>
        </is>
      </c>
      <c r="T71" s="353" t="inlineStr">
        <is>
          <t>High</t>
        </is>
      </c>
      <c r="U71" s="353" t="n"/>
      <c r="V71" s="353" t="inlineStr">
        <is>
          <t>Company press release</t>
        </is>
      </c>
      <c r="W71" s="353" t="n"/>
    </row>
    <row r="72" ht="45" customHeight="1">
      <c r="A72" s="353" t="n"/>
      <c r="B72" s="353" t="inlineStr">
        <is>
          <t>USA</t>
        </is>
      </c>
      <c r="C72" s="353" t="inlineStr">
        <is>
          <t>USA</t>
        </is>
      </c>
      <c r="D72" s="353" t="inlineStr">
        <is>
          <t>Aerojet Rocketdyne</t>
        </is>
      </c>
      <c r="E72" s="353" t="inlineStr">
        <is>
          <t>L3Harris Technologies</t>
        </is>
      </c>
      <c r="F72" s="353" t="inlineStr">
        <is>
          <t>USA</t>
        </is>
      </c>
      <c r="G72" s="353" t="inlineStr">
        <is>
          <t>Public shareholders</t>
        </is>
      </c>
      <c r="H72" s="403" t="n">
        <v>44913</v>
      </c>
      <c r="I72" s="403" t="n">
        <v>45135</v>
      </c>
      <c r="J72" s="353" t="n">
        <v>2023</v>
      </c>
      <c r="K72" s="353" t="inlineStr">
        <is>
          <t>M&amp;A</t>
        </is>
      </c>
      <c r="L72" s="353" t="inlineStr">
        <is>
          <t>All-cash acquisition</t>
        </is>
      </c>
      <c r="M72" s="353" t="inlineStr">
        <is>
          <t>Completed</t>
        </is>
      </c>
      <c r="N72" s="353" t="n">
        <v>4700</v>
      </c>
      <c r="O72" s="353" t="inlineStr">
        <is>
          <t>USD</t>
        </is>
      </c>
      <c r="P72" s="353" t="inlineStr">
        <is>
          <t>Hardware</t>
        </is>
      </c>
      <c r="Q72" s="353" t="inlineStr">
        <is>
          <t>Rocket propulsion / missile systems / space propulsion</t>
        </is>
      </c>
      <c r="R72" s="353" t="inlineStr">
        <is>
          <t>Core A&amp;D</t>
        </is>
      </c>
      <c r="S72" s="353" t="inlineStr">
        <is>
          <t>Large propulsion acquisition strengthening U.S. missile, space, and hypersonic capabilities.</t>
        </is>
      </c>
      <c r="T72" s="353" t="inlineStr">
        <is>
          <t>High</t>
        </is>
      </c>
      <c r="U72" s="353" t="inlineStr">
        <is>
          <t>https://investors.l3harris.com/news/news-details/2022/L3Harris-to-Acquire-Aerojet-Rocketdyne-12-18-2022/default.aspx</t>
        </is>
      </c>
      <c r="V72" s="353" t="inlineStr">
        <is>
          <t>Company press release</t>
        </is>
      </c>
      <c r="W72" s="353" t="inlineStr">
        <is>
          <t>Announced in 2022 but closed in 2023; include only if database uses completion year.</t>
        </is>
      </c>
    </row>
    <row r="73" ht="45" customHeight="1">
      <c r="A73" s="353" t="n"/>
      <c r="B73" s="353" t="inlineStr">
        <is>
          <t>USA</t>
        </is>
      </c>
      <c r="C73" s="353" t="inlineStr">
        <is>
          <t>USA</t>
        </is>
      </c>
      <c r="D73" s="353" t="inlineStr">
        <is>
          <t>BlackSignal Technologies</t>
        </is>
      </c>
      <c r="E73" s="353" t="inlineStr">
        <is>
          <t>Parsons Corporation</t>
        </is>
      </c>
      <c r="F73" s="353" t="inlineStr">
        <is>
          <t>USA</t>
        </is>
      </c>
      <c r="G73" s="353" t="inlineStr">
        <is>
          <t>Razor's Edge</t>
        </is>
      </c>
      <c r="H73" s="403" t="inlineStr">
        <is>
          <t>2024-07-30</t>
        </is>
      </c>
      <c r="I73" s="403" t="inlineStr">
        <is>
          <t>2024-08</t>
        </is>
      </c>
      <c r="J73" s="353" t="n">
        <v>2024</v>
      </c>
      <c r="K73" s="353" t="inlineStr">
        <is>
          <t>M&amp;A</t>
        </is>
      </c>
      <c r="L73" s="353" t="inlineStr">
        <is>
          <t>Cash acquisition</t>
        </is>
      </c>
      <c r="M73" s="353" t="inlineStr">
        <is>
          <t>Completed</t>
        </is>
      </c>
      <c r="N73" s="353" t="n">
        <v>200</v>
      </c>
      <c r="O73" s="353" t="inlineStr">
        <is>
          <t>USD</t>
        </is>
      </c>
      <c r="P73" s="353" t="inlineStr">
        <is>
          <t>Software/Services</t>
        </is>
      </c>
      <c r="Q73" s="353" t="inlineStr">
        <is>
          <t>Electronic warfare / digital signal processing / intelligence</t>
        </is>
      </c>
      <c r="R73" s="353" t="inlineStr">
        <is>
          <t>Core A&amp;D</t>
        </is>
      </c>
      <c r="S73" s="353" t="inlineStr">
        <is>
          <t>Supports defense and intelligence customers with signal processing, EW and cyber-adjacent mission capabilities.</t>
        </is>
      </c>
      <c r="T73" s="353" t="inlineStr">
        <is>
          <t>High</t>
        </is>
      </c>
      <c r="U73" s="353" t="inlineStr">
        <is>
          <t>https://investors.parsons.com/news-releases/news-release-details/parsons-acquire-blacksignal-technologies/</t>
        </is>
      </c>
      <c r="V73" s="353" t="inlineStr">
        <is>
          <t>Company press release</t>
        </is>
      </c>
      <c r="W73" s="353" t="inlineStr">
        <is>
          <t>Cash purchase price of $200m; forecast 2025 EBITDA multiple disclosed.</t>
        </is>
      </c>
    </row>
    <row r="74" ht="45" customHeight="1">
      <c r="A74" s="353" t="n"/>
      <c r="B74" s="353" t="inlineStr">
        <is>
          <t>USA</t>
        </is>
      </c>
      <c r="C74" s="353" t="inlineStr">
        <is>
          <t>USA</t>
        </is>
      </c>
      <c r="D74" s="353" t="inlineStr">
        <is>
          <t>Electron Device Business of CPI</t>
        </is>
      </c>
      <c r="E74" s="353" t="inlineStr">
        <is>
          <t>TransDigm Group</t>
        </is>
      </c>
      <c r="F74" s="353" t="inlineStr">
        <is>
          <t>USA</t>
        </is>
      </c>
      <c r="G74" s="353" t="inlineStr">
        <is>
          <t>TJC, L.P.</t>
        </is>
      </c>
      <c r="H74" s="403" t="inlineStr">
        <is>
          <t>2023-11-09</t>
        </is>
      </c>
      <c r="I74" s="403" t="inlineStr">
        <is>
          <t>2024-06-06</t>
        </is>
      </c>
      <c r="J74" s="353" t="n">
        <v>2024</v>
      </c>
      <c r="K74" s="353" t="inlineStr">
        <is>
          <t>M&amp;A</t>
        </is>
      </c>
      <c r="L74" s="353" t="inlineStr">
        <is>
          <t>Cash acquisition</t>
        </is>
      </c>
      <c r="M74" s="353" t="inlineStr">
        <is>
          <t>Completed</t>
        </is>
      </c>
      <c r="N74" s="353" t="n">
        <v>1385</v>
      </c>
      <c r="O74" s="353" t="inlineStr">
        <is>
          <t>USD</t>
        </is>
      </c>
      <c r="P74" s="353" t="inlineStr">
        <is>
          <t>Hardware</t>
        </is>
      </c>
      <c r="Q74" s="353" t="inlineStr">
        <is>
          <t>Aerospace &amp; defense electronic components / subsystems</t>
        </is>
      </c>
      <c r="R74" s="353" t="inlineStr">
        <is>
          <t>Core A&amp;D</t>
        </is>
      </c>
      <c r="S74" s="353" t="inlineStr">
        <is>
          <t>Adds mission-critical electronic components and subsystems serving aerospace and defense end markets.</t>
        </is>
      </c>
      <c r="T74" s="353" t="inlineStr">
        <is>
          <t>High</t>
        </is>
      </c>
      <c r="U74" s="353" t="inlineStr">
        <is>
          <t>https://transdigmgroupinc.gcs-web.com/news-releases/news-release-details/transdigm-completes-acquisition-electron-device-business/</t>
        </is>
      </c>
      <c r="V74" s="353" t="inlineStr">
        <is>
          <t>Company press release</t>
        </is>
      </c>
      <c r="W74" s="353" t="inlineStr">
        <is>
          <t>Company completion page confirms transaction; deal value also referenced in company filings/releases as about $1.385bn.</t>
        </is>
      </c>
    </row>
    <row r="75" ht="45" customHeight="1">
      <c r="A75" s="353" t="n"/>
      <c r="B75" s="353" t="inlineStr">
        <is>
          <t>USA</t>
        </is>
      </c>
      <c r="C75" s="353" t="inlineStr">
        <is>
          <t>USA</t>
        </is>
      </c>
      <c r="D75" s="353" t="inlineStr">
        <is>
          <t>Trax USA Corp.</t>
        </is>
      </c>
      <c r="E75" s="353" t="inlineStr">
        <is>
          <t>AAR Corp.</t>
        </is>
      </c>
      <c r="F75" s="353" t="inlineStr">
        <is>
          <t>USA</t>
        </is>
      </c>
      <c r="G75" s="353" t="inlineStr">
        <is>
          <t>Private shareholders</t>
        </is>
      </c>
      <c r="H75" s="403" t="inlineStr">
        <is>
          <t>2023-03-20</t>
        </is>
      </c>
      <c r="I75" s="403" t="inlineStr">
        <is>
          <t>2023-03-20</t>
        </is>
      </c>
      <c r="J75" s="353" t="n">
        <v>2023</v>
      </c>
      <c r="K75" s="353" t="inlineStr">
        <is>
          <t>M&amp;A</t>
        </is>
      </c>
      <c r="L75" s="353" t="inlineStr">
        <is>
          <t>Full acquisition</t>
        </is>
      </c>
      <c r="M75" s="353" t="inlineStr">
        <is>
          <t>Completed</t>
        </is>
      </c>
      <c r="N75" s="353" t="n">
        <v>120</v>
      </c>
      <c r="O75" s="353" t="inlineStr">
        <is>
          <t>USD</t>
        </is>
      </c>
      <c r="P75" s="353" t="inlineStr">
        <is>
          <t>Software/Services</t>
        </is>
      </c>
      <c r="Q75" s="353" t="inlineStr">
        <is>
          <t>Aircraft MRO / fleet-management software</t>
        </is>
      </c>
      <c r="R75" s="353" t="inlineStr">
        <is>
          <t>Aerospace-adjacent</t>
        </is>
      </c>
      <c r="S75" s="353" t="inlineStr">
        <is>
          <t>Aviation MRO and fleet-management software; useful for aftermarket/digital MRO trend, but less defense-specific.</t>
        </is>
      </c>
      <c r="T75" s="353" t="inlineStr">
        <is>
          <t>Medium-High</t>
        </is>
      </c>
      <c r="U75" s="353" t="inlineStr">
        <is>
          <t>https://www.sec.gov/Archives/edgar/data/1750/000141057825000519/air-20250228x10q.htm</t>
        </is>
      </c>
      <c r="V75" s="353" t="inlineStr">
        <is>
          <t>SEC filing</t>
        </is>
      </c>
      <c r="W75" s="353" t="inlineStr">
        <is>
          <t>AAR 10-Q reports $120m purchase price plus contingent consideration up to $20m.</t>
        </is>
      </c>
    </row>
    <row r="76" ht="45" customHeight="1">
      <c r="A76" s="353" t="n"/>
      <c r="B76" s="353" t="inlineStr">
        <is>
          <t>Israel</t>
        </is>
      </c>
      <c r="C76" s="353" t="inlineStr">
        <is>
          <t>Israel</t>
        </is>
      </c>
      <c r="D76" s="353" t="inlineStr">
        <is>
          <t>S.P.O. Smart Precision Optics</t>
        </is>
      </c>
      <c r="E76" s="353" t="inlineStr">
        <is>
          <t>Ondas Inc.</t>
        </is>
      </c>
      <c r="F76" s="353" t="inlineStr">
        <is>
          <t>USA</t>
        </is>
      </c>
      <c r="G76" s="353" t="inlineStr">
        <is>
          <t>Shamir Investment Entrepreneurship ACS Ltd.</t>
        </is>
      </c>
      <c r="H76" s="403" t="inlineStr">
        <is>
          <t>2025-08-26</t>
        </is>
      </c>
      <c r="I76" s="403" t="inlineStr">
        <is>
          <t>2025-10-03</t>
        </is>
      </c>
      <c r="J76" s="353" t="n">
        <v>2025</v>
      </c>
      <c r="K76" s="353" t="inlineStr">
        <is>
          <t>M&amp;A</t>
        </is>
      </c>
      <c r="L76" s="353" t="inlineStr">
        <is>
          <t>MINORITY / controlling stake</t>
        </is>
      </c>
      <c r="M76" s="353" t="inlineStr">
        <is>
          <t>Completed</t>
        </is>
      </c>
      <c r="N76" s="353" t="n">
        <v>1.78</v>
      </c>
      <c r="O76" s="353" t="inlineStr">
        <is>
          <t>USD</t>
        </is>
      </c>
      <c r="P76" s="353" t="inlineStr">
        <is>
          <t>Hardware</t>
        </is>
      </c>
      <c r="Q76" s="353" t="inlineStr">
        <is>
          <t>Precision optics / missile-defense optics</t>
        </is>
      </c>
      <c r="R76" s="353" t="inlineStr">
        <is>
          <t>Core A&amp;D</t>
        </is>
      </c>
      <c r="S76" s="353" t="inlineStr">
        <is>
          <t>Precision optics are relevant to electro-optical systems, missile defense and counter-drone applications.</t>
        </is>
      </c>
      <c r="T76" s="353" t="inlineStr">
        <is>
          <t>High</t>
        </is>
      </c>
      <c r="U76" s="353" t="inlineStr">
        <is>
          <t>https://ir.ondas.com/press-releases/detail/233/ondas-holdings-enters-definitive-agreement-to-acquire</t>
        </is>
      </c>
      <c r="V76" s="353" t="inlineStr">
        <is>
          <t>Company press release / SEC filing</t>
        </is>
      </c>
      <c r="W76" s="353" t="inlineStr">
        <is>
          <t>Ondas annual report states SPO acquisition completed Oct. 3, 2025; value shown from pasted list, verify against filings if used.</t>
        </is>
      </c>
    </row>
    <row r="77" ht="45" customHeight="1">
      <c r="A77" s="353" t="n"/>
      <c r="B77" s="353" t="inlineStr">
        <is>
          <t>Israel</t>
        </is>
      </c>
      <c r="C77" s="353" t="inlineStr">
        <is>
          <t>Israel</t>
        </is>
      </c>
      <c r="D77" s="353" t="inlineStr">
        <is>
          <t>Insight Intelligent Sensors</t>
        </is>
      </c>
      <c r="E77" s="353" t="inlineStr">
        <is>
          <t>Ondas Inc.</t>
        </is>
      </c>
      <c r="F77" s="353" t="inlineStr">
        <is>
          <t>USA</t>
        </is>
      </c>
      <c r="G77" s="353" t="n"/>
      <c r="H77" s="403" t="inlineStr">
        <is>
          <t>2025-10-29</t>
        </is>
      </c>
      <c r="I77" s="403" t="inlineStr">
        <is>
          <t>2025</t>
        </is>
      </c>
      <c r="J77" s="353" t="n">
        <v>2025</v>
      </c>
      <c r="K77" s="353" t="inlineStr">
        <is>
          <t>M&amp;A</t>
        </is>
      </c>
      <c r="L77" s="353" t="inlineStr">
        <is>
          <t>MINORITY / controlling stake</t>
        </is>
      </c>
      <c r="M77" s="353" t="inlineStr">
        <is>
          <t>Completed</t>
        </is>
      </c>
      <c r="N77" s="353" t="n">
        <v>3.5</v>
      </c>
      <c r="O77" s="353" t="inlineStr">
        <is>
          <t>USD</t>
        </is>
      </c>
      <c r="P77" s="353" t="inlineStr">
        <is>
          <t>Hardware</t>
        </is>
      </c>
      <c r="Q77" s="353" t="inlineStr">
        <is>
          <t>Electro-optical sensors / AI sensing</t>
        </is>
      </c>
      <c r="R77" s="353" t="inlineStr">
        <is>
          <t>Core A&amp;D</t>
        </is>
      </c>
      <c r="S77" s="353" t="inlineStr">
        <is>
          <t>AI-powered electro-optical sensing strengthens counter-UAS, surveillance and early-warning capabilities.</t>
        </is>
      </c>
      <c r="T77" s="353" t="inlineStr">
        <is>
          <t>High</t>
        </is>
      </c>
      <c r="U77" s="353" t="inlineStr">
        <is>
          <t>https://www.ondas.com/post/ondas-expands-its-ai-sensing-capabilities-with-the-acquisition-of-a-controlling-interest-in-insight</t>
        </is>
      </c>
      <c r="V77" s="353" t="inlineStr">
        <is>
          <t>Company press release</t>
        </is>
      </c>
      <c r="W77" s="353" t="inlineStr">
        <is>
          <t>Value from pasted list; source confirms acquisition/relevance, value should be double-checked in filing if needed.</t>
        </is>
      </c>
    </row>
    <row r="78" ht="45" customHeight="1">
      <c r="A78" s="353" t="n"/>
      <c r="B78" s="353" t="inlineStr">
        <is>
          <t>Israel</t>
        </is>
      </c>
      <c r="C78" s="353" t="inlineStr">
        <is>
          <t>Israel</t>
        </is>
      </c>
      <c r="D78" s="353" t="inlineStr">
        <is>
          <t>Apeiro Motion</t>
        </is>
      </c>
      <c r="E78" s="353" t="inlineStr">
        <is>
          <t>Ondas Inc.</t>
        </is>
      </c>
      <c r="F78" s="353" t="inlineStr">
        <is>
          <t>USA</t>
        </is>
      </c>
      <c r="G78" s="353" t="n"/>
      <c r="H78" s="403" t="inlineStr">
        <is>
          <t>2025-08-18</t>
        </is>
      </c>
      <c r="I78" s="403" t="inlineStr">
        <is>
          <t>2025</t>
        </is>
      </c>
      <c r="J78" s="353" t="n">
        <v>2025</v>
      </c>
      <c r="K78" s="353" t="inlineStr">
        <is>
          <t>M&amp;A</t>
        </is>
      </c>
      <c r="L78" s="353" t="inlineStr">
        <is>
          <t>FULL</t>
        </is>
      </c>
      <c r="M78" s="353" t="inlineStr">
        <is>
          <t>Completed</t>
        </is>
      </c>
      <c r="N78" s="353" t="n">
        <v>12</v>
      </c>
      <c r="O78" s="353" t="inlineStr">
        <is>
          <t>USD</t>
        </is>
      </c>
      <c r="P78" s="353" t="inlineStr">
        <is>
          <t>Hardware</t>
        </is>
      </c>
      <c r="Q78" s="353" t="inlineStr">
        <is>
          <t>Ground robotics / fiber-optic UAV-UGV communications</t>
        </is>
      </c>
      <c r="R78" s="353" t="inlineStr">
        <is>
          <t>Core A&amp;D</t>
        </is>
      </c>
      <c r="S78" s="353" t="inlineStr">
        <is>
          <t>Adds ground robotics and radio-independent UAV/UGV communications capabilities to Ondas Autonomous Systems.</t>
        </is>
      </c>
      <c r="T78" s="353" t="inlineStr">
        <is>
          <t>Medium-High</t>
        </is>
      </c>
      <c r="U78" s="353" t="inlineStr">
        <is>
          <t>https://ir.ondas.com/press-releases/detail/230/ondas-enters-into-definitive-agreement-to-strengthen</t>
        </is>
      </c>
      <c r="V78" s="353" t="inlineStr">
        <is>
          <t>Company press release</t>
        </is>
      </c>
      <c r="W78" s="353" t="inlineStr">
        <is>
          <t>Source confirms transaction and strategic rationale; value appears in public reporting and pasted list.</t>
        </is>
      </c>
    </row>
    <row r="79" ht="45" customHeight="1">
      <c r="A79" s="353" t="n"/>
      <c r="B79" s="353" t="inlineStr">
        <is>
          <t>Israel</t>
        </is>
      </c>
      <c r="C79" s="353" t="inlineStr">
        <is>
          <t>Israel</t>
        </is>
      </c>
      <c r="D79" s="353" t="inlineStr">
        <is>
          <t>Apeiro Motion</t>
        </is>
      </c>
      <c r="E79" s="353" t="inlineStr">
        <is>
          <t>Ondas Inc.</t>
        </is>
      </c>
      <c r="F79" s="353" t="inlineStr">
        <is>
          <t>USA</t>
        </is>
      </c>
      <c r="G79" s="353" t="n"/>
      <c r="H79" s="403" t="n">
        <v>45887</v>
      </c>
      <c r="I79" s="403" t="n">
        <v>2025</v>
      </c>
      <c r="J79" s="353" t="n">
        <v>2025</v>
      </c>
      <c r="K79" s="353" t="inlineStr">
        <is>
          <t>M&amp;A</t>
        </is>
      </c>
      <c r="L79" s="353" t="inlineStr">
        <is>
          <t>FULL</t>
        </is>
      </c>
      <c r="M79" s="353" t="inlineStr">
        <is>
          <t>Completed</t>
        </is>
      </c>
      <c r="N79" s="353" t="n">
        <v>12</v>
      </c>
      <c r="O79" s="353" t="inlineStr">
        <is>
          <t>USD</t>
        </is>
      </c>
      <c r="P79" s="353" t="inlineStr">
        <is>
          <t>Hardware</t>
        </is>
      </c>
      <c r="Q79" s="353" t="inlineStr">
        <is>
          <t>Ground robotics / fiber-optic UAV-UGV communications</t>
        </is>
      </c>
      <c r="R79" s="353" t="inlineStr">
        <is>
          <t>Core A&amp;D</t>
        </is>
      </c>
      <c r="S79" s="353" t="inlineStr">
        <is>
          <t>Adds ground robotics and radio-independent UAV/UGV communications capabilities to Ondas Autonomous Systems.</t>
        </is>
      </c>
      <c r="T79" s="353" t="inlineStr">
        <is>
          <t>Medium-High</t>
        </is>
      </c>
      <c r="U79" s="353" t="inlineStr">
        <is>
          <t>https://ir.ondas.com/press-releases/detail/230/ondas-enters-into-definitive-agreement-to-strengthen</t>
        </is>
      </c>
      <c r="V79" s="353" t="inlineStr">
        <is>
          <t>Company press release</t>
        </is>
      </c>
      <c r="W79" s="353" t="inlineStr">
        <is>
          <t>Source confirms transaction and strategic rationale; value appears in public reporting and pasted list.</t>
        </is>
      </c>
    </row>
    <row r="80" ht="45" customHeight="1">
      <c r="A80" s="353" t="n"/>
      <c r="B80" s="353" t="inlineStr">
        <is>
          <t>Israel</t>
        </is>
      </c>
      <c r="C80" s="353" t="inlineStr">
        <is>
          <t>Israel</t>
        </is>
      </c>
      <c r="D80" s="353" t="inlineStr">
        <is>
          <t>Opgal</t>
        </is>
      </c>
      <c r="E80" s="353" t="inlineStr">
        <is>
          <t>Gevasol Group</t>
        </is>
      </c>
      <c r="F80" s="353" t="inlineStr">
        <is>
          <t>Israel</t>
        </is>
      </c>
      <c r="G80" s="353" t="n"/>
      <c r="H80" s="403" t="n">
        <v>45870</v>
      </c>
      <c r="I80" s="403" t="n">
        <v>45870</v>
      </c>
      <c r="J80" s="353" t="n">
        <v>2025</v>
      </c>
      <c r="K80" s="353" t="inlineStr">
        <is>
          <t>M&amp;A</t>
        </is>
      </c>
      <c r="L80" s="353" t="inlineStr">
        <is>
          <t>FULL</t>
        </is>
      </c>
      <c r="M80" s="353" t="inlineStr">
        <is>
          <t>Completed</t>
        </is>
      </c>
      <c r="N80" s="353" t="inlineStr">
        <is>
          <t>Not disclosed</t>
        </is>
      </c>
      <c r="O80" s="353" t="inlineStr">
        <is>
          <t>USD</t>
        </is>
      </c>
      <c r="P80" s="353" t="inlineStr">
        <is>
          <t>Hardware</t>
        </is>
      </c>
      <c r="Q80" s="353" t="inlineStr">
        <is>
          <t>Infrared / thermal imaging / electro-optics</t>
        </is>
      </c>
      <c r="R80" s="353" t="inlineStr">
        <is>
          <t>Defense-adjacent</t>
        </is>
      </c>
      <c r="S80" s="353" t="inlineStr">
        <is>
          <t>Opgal develops thermal cameras and electro-optical systems for industrial, HLS/security and defense uses; acquisition is less pure defense but relevant electro-optics.</t>
        </is>
      </c>
      <c r="T80" s="353" t="inlineStr">
        <is>
          <t>Medium-High</t>
        </is>
      </c>
      <c r="U80" s="353" t="inlineStr">
        <is>
          <t>https://www.opgal.com/blog/%D7%9B%D7%9C%D7%9C%D7%99/gevasol-acquires-opgal-to-expand-portfolio-into-advanced-emission-monitoring-and-reduction-technologies/</t>
        </is>
      </c>
      <c r="V80" s="353" t="inlineStr">
        <is>
          <t>Company announcement</t>
        </is>
      </c>
      <c r="W80" s="353" t="inlineStr">
        <is>
          <t>Source focuses on emission monitoring; keep as defense-adjacent, not core A&amp;D.</t>
        </is>
      </c>
    </row>
    <row r="81" ht="45" customHeight="1">
      <c r="A81" s="353" t="n"/>
      <c r="B81" s="353" t="inlineStr">
        <is>
          <t>Israel</t>
        </is>
      </c>
      <c r="C81" s="353" t="inlineStr">
        <is>
          <t>Israel</t>
        </is>
      </c>
      <c r="D81" s="353" t="inlineStr">
        <is>
          <t>Lulav Space</t>
        </is>
      </c>
      <c r="E81" s="353" t="inlineStr">
        <is>
          <t>ParaZero Technologies</t>
        </is>
      </c>
      <c r="F81" s="353" t="inlineStr">
        <is>
          <t>Israel / USA</t>
        </is>
      </c>
      <c r="G81" s="353" t="n"/>
      <c r="H81" s="403" t="inlineStr">
        <is>
          <t>2025-03-27</t>
        </is>
      </c>
      <c r="I81" s="403" t="n"/>
      <c r="J81" s="353" t="inlineStr">
        <is>
          <t>2025</t>
        </is>
      </c>
      <c r="K81" s="353" t="inlineStr">
        <is>
          <t>M&amp;A / LOI</t>
        </is>
      </c>
      <c r="L81" s="353" t="inlineStr">
        <is>
          <t>OTHER</t>
        </is>
      </c>
      <c r="M81" s="353" t="inlineStr">
        <is>
          <t>LOI / pending</t>
        </is>
      </c>
      <c r="N81" s="353" t="inlineStr">
        <is>
          <t>Not disclosed</t>
        </is>
      </c>
      <c r="O81" s="353" t="inlineStr">
        <is>
          <t>USD</t>
        </is>
      </c>
      <c r="P81" s="353" t="inlineStr">
        <is>
          <t>Hardware / Software</t>
        </is>
      </c>
      <c r="Q81" s="353" t="inlineStr">
        <is>
          <t>Space robotics navigation / counter-drone technologies</t>
        </is>
      </c>
      <c r="R81" s="353" t="inlineStr">
        <is>
          <t>Aerospace/UAV-adjacent</t>
        </is>
      </c>
      <c r="S81" s="353" t="inlineStr">
        <is>
          <t>Proposed acquisition would bring space-grade navigation, counter-drone and autonomous drone technologies into ParaZero portfolio.</t>
        </is>
      </c>
      <c r="T81" s="353" t="inlineStr">
        <is>
          <t>Medium</t>
        </is>
      </c>
      <c r="U81" s="353" t="inlineStr">
        <is>
          <t>https://www.nasdaq.com/press-release/parazero-signed-non-binding-letter-intent-acquire-company-specializes-counter-drone</t>
        </is>
      </c>
      <c r="V81" s="353" t="inlineStr">
        <is>
          <t>Company / Nasdaq press release</t>
        </is>
      </c>
      <c r="W81" s="353" t="inlineStr">
        <is>
          <t>Not a closed deal; use as pipeline/watchlist unless you include LOIs.</t>
        </is>
      </c>
    </row>
    <row r="82" ht="45" customHeight="1">
      <c r="A82" s="353" t="n"/>
      <c r="B82" s="353" t="inlineStr">
        <is>
          <t>Israel</t>
        </is>
      </c>
      <c r="C82" s="353" t="inlineStr">
        <is>
          <t>Israel</t>
        </is>
      </c>
      <c r="D82" s="353" t="inlineStr">
        <is>
          <t>Get SAT</t>
        </is>
      </c>
      <c r="E82" s="353" t="inlineStr">
        <is>
          <t>Thales</t>
        </is>
      </c>
      <c r="F82" s="353" t="inlineStr">
        <is>
          <t>France</t>
        </is>
      </c>
      <c r="G82" s="353" t="n"/>
      <c r="H82" s="403" t="inlineStr">
        <is>
          <t>2024-05-21</t>
        </is>
      </c>
      <c r="I82" s="403" t="inlineStr">
        <is>
          <t>2024-05</t>
        </is>
      </c>
      <c r="J82" s="353" t="n">
        <v>2024</v>
      </c>
      <c r="K82" s="353" t="inlineStr">
        <is>
          <t>M&amp;A</t>
        </is>
      </c>
      <c r="L82" s="353" t="inlineStr">
        <is>
          <t>FULL</t>
        </is>
      </c>
      <c r="M82" s="353" t="inlineStr">
        <is>
          <t>Completed</t>
        </is>
      </c>
      <c r="N82" s="353" t="inlineStr">
        <is>
          <t>Not disclosed</t>
        </is>
      </c>
      <c r="O82" s="353" t="inlineStr">
        <is>
          <t>USD</t>
        </is>
      </c>
      <c r="P82" s="353" t="inlineStr">
        <is>
          <t>Hardware</t>
        </is>
      </c>
      <c r="Q82" s="353" t="inlineStr">
        <is>
          <t>Satellite terminals / satcom-on-the-move</t>
        </is>
      </c>
      <c r="R82" s="353" t="inlineStr">
        <is>
          <t>Core A&amp;D</t>
        </is>
      </c>
      <c r="S82" s="353" t="inlineStr">
        <is>
          <t>Israeli satellite communications company providing terminals for ground, air and maritime applications; acquired by Thales.</t>
        </is>
      </c>
      <c r="T82" s="353" t="inlineStr">
        <is>
          <t>High</t>
        </is>
      </c>
      <c r="U82" s="353" t="inlineStr">
        <is>
          <t>https://breakingdefense.com/2024/05/amid-influence-of-starlink-thales-buys-israeli-company-get-sat/</t>
        </is>
      </c>
      <c r="V82" s="353" t="inlineStr">
        <is>
          <t>Defense press / reputable press</t>
        </is>
      </c>
      <c r="W82" s="353" t="inlineStr">
        <is>
          <t>Deal value not disclosed.</t>
        </is>
      </c>
    </row>
    <row r="83" ht="45" customHeight="1">
      <c r="A83" s="353" t="n"/>
      <c r="B83" s="353" t="inlineStr">
        <is>
          <t>Israel</t>
        </is>
      </c>
      <c r="C83" s="353" t="inlineStr">
        <is>
          <t>Israel</t>
        </is>
      </c>
      <c r="D83" s="353" t="inlineStr">
        <is>
          <t>General Robotics</t>
        </is>
      </c>
      <c r="E83" s="353" t="inlineStr">
        <is>
          <t>SIG Sauer</t>
        </is>
      </c>
      <c r="F83" s="353" t="inlineStr">
        <is>
          <t>USA</t>
        </is>
      </c>
      <c r="G83" s="353" t="n"/>
      <c r="H83" s="403" t="inlineStr">
        <is>
          <t>2023-03-16</t>
        </is>
      </c>
      <c r="I83" s="403" t="inlineStr">
        <is>
          <t>2023-03-16</t>
        </is>
      </c>
      <c r="J83" s="353" t="n">
        <v>2023</v>
      </c>
      <c r="K83" s="353" t="inlineStr">
        <is>
          <t>M&amp;A</t>
        </is>
      </c>
      <c r="L83" s="353" t="inlineStr">
        <is>
          <t>FULL</t>
        </is>
      </c>
      <c r="M83" s="353" t="inlineStr">
        <is>
          <t>Completed</t>
        </is>
      </c>
      <c r="N83" s="353" t="inlineStr">
        <is>
          <t>Not disclosed</t>
        </is>
      </c>
      <c r="O83" s="353" t="inlineStr">
        <is>
          <t>USD</t>
        </is>
      </c>
      <c r="P83" s="353" t="inlineStr">
        <is>
          <t>Hardware</t>
        </is>
      </c>
      <c r="Q83" s="353" t="inlineStr">
        <is>
          <t>Remote weapon stations / tactical robotics / anti-drone</t>
        </is>
      </c>
      <c r="R83" s="353" t="inlineStr">
        <is>
          <t>Core A&amp;D</t>
        </is>
      </c>
      <c r="S83" s="353" t="inlineStr">
        <is>
          <t>Israeli manufacturer of lightweight remote weapon stations and tactical robotics for manned/unmanned platforms and anti-drone applications.</t>
        </is>
      </c>
      <c r="T83" s="353" t="inlineStr">
        <is>
          <t>High</t>
        </is>
      </c>
      <c r="U83" s="353" t="inlineStr">
        <is>
          <t>https://www.sigsauer.com/blog/sig-sauer-acquires-general-robotics</t>
        </is>
      </c>
      <c r="V83" s="353" t="inlineStr">
        <is>
          <t>Company press release</t>
        </is>
      </c>
      <c r="W83" s="353" t="inlineStr">
        <is>
          <t>Value not disclosed.</t>
        </is>
      </c>
    </row>
    <row r="84" ht="45" customHeight="1">
      <c r="A84" s="353" t="n"/>
      <c r="B84" s="353" t="inlineStr">
        <is>
          <t>Israel</t>
        </is>
      </c>
      <c r="C84" s="353" t="inlineStr">
        <is>
          <t>Israel</t>
        </is>
      </c>
      <c r="D84" s="353" t="inlineStr">
        <is>
          <t>Israeli Industrial Batteries</t>
        </is>
      </c>
      <c r="E84" s="353" t="inlineStr">
        <is>
          <t>Sunlight Group</t>
        </is>
      </c>
      <c r="F84" s="353" t="inlineStr">
        <is>
          <t>Greece / EU</t>
        </is>
      </c>
      <c r="G84" s="353" t="n"/>
      <c r="H84" s="403" t="n">
        <v>44971</v>
      </c>
      <c r="I84" s="403" t="n">
        <v>44971</v>
      </c>
      <c r="J84" s="353" t="n">
        <v>2023</v>
      </c>
      <c r="K84" s="353" t="inlineStr">
        <is>
          <t>M&amp;A</t>
        </is>
      </c>
      <c r="L84" s="353" t="inlineStr">
        <is>
          <t>MINORITY / 51% stake</t>
        </is>
      </c>
      <c r="M84" s="353" t="inlineStr">
        <is>
          <t>Completed</t>
        </is>
      </c>
      <c r="N84" s="353" t="inlineStr">
        <is>
          <t>Not disclosed</t>
        </is>
      </c>
      <c r="O84" s="353" t="inlineStr">
        <is>
          <t>USD</t>
        </is>
      </c>
      <c r="P84" s="353" t="inlineStr">
        <is>
          <t>Hardware</t>
        </is>
      </c>
      <c r="Q84" s="353" t="inlineStr">
        <is>
          <t>Defense/industrial batteries</t>
        </is>
      </c>
      <c r="R84" s="353" t="inlineStr">
        <is>
          <t>Defense-adjacent</t>
        </is>
      </c>
      <c r="S84" s="353" t="inlineStr">
        <is>
          <t>Battery company relevant to defense/industrial power supply chain; include only as defense-adjacent, not core platform A&amp;D.</t>
        </is>
      </c>
      <c r="T84" s="353" t="inlineStr">
        <is>
          <t>Medium</t>
        </is>
      </c>
      <c r="U84" s="353" t="inlineStr">
        <is>
          <t>https://www.linkedin.com/posts/sunlight-group-energy-storage-systems_partnership-acquisition-growth-activity-7031232903506255873-khvk</t>
        </is>
      </c>
      <c r="V84" s="353" t="inlineStr">
        <is>
          <t>Company LinkedIn / secondary source</t>
        </is>
      </c>
      <c r="W84" s="353" t="inlineStr">
        <is>
          <t>Source says Sunlight acquired 51% stake; no deal value disclosed.</t>
        </is>
      </c>
    </row>
    <row r="85" ht="45" customHeight="1">
      <c r="A85" s="353" t="n"/>
      <c r="B85" s="353" t="inlineStr">
        <is>
          <t>Israel</t>
        </is>
      </c>
      <c r="C85" s="353" t="inlineStr">
        <is>
          <t>Israel</t>
        </is>
      </c>
      <c r="D85" s="353" t="inlineStr">
        <is>
          <t>DSIT Solutions</t>
        </is>
      </c>
      <c r="E85" s="353" t="inlineStr">
        <is>
          <t>IPO / Public listing</t>
        </is>
      </c>
      <c r="F85" s="353" t="inlineStr">
        <is>
          <t>Israel</t>
        </is>
      </c>
      <c r="G85" s="353" t="n"/>
      <c r="H85" s="403" t="n">
        <v>46093</v>
      </c>
      <c r="I85" s="403" t="n">
        <v>46093</v>
      </c>
      <c r="J85" s="353" t="n">
        <v>2026</v>
      </c>
      <c r="K85" s="353" t="inlineStr">
        <is>
          <t>IPO</t>
        </is>
      </c>
      <c r="L85" s="353" t="inlineStr">
        <is>
          <t>OTHER</t>
        </is>
      </c>
      <c r="M85" s="353" t="inlineStr">
        <is>
          <t>Completed / listed</t>
        </is>
      </c>
      <c r="N85" s="353" t="n"/>
      <c r="O85" s="353" t="inlineStr">
        <is>
          <t>USD</t>
        </is>
      </c>
      <c r="P85" s="353" t="inlineStr">
        <is>
          <t>Hardware</t>
        </is>
      </c>
      <c r="Q85" s="353" t="inlineStr">
        <is>
          <t>Underwater defense systems / sonar / ASW</t>
        </is>
      </c>
      <c r="R85" s="353" t="inlineStr">
        <is>
          <t>Core A&amp;D public-market transaction</t>
        </is>
      </c>
      <c r="S85" s="353" t="inlineStr">
        <is>
          <t>Rafael underwater surveillance subsidiary; sonar, diver detection, ASW and underwater security systems.</t>
        </is>
      </c>
      <c r="T85" s="353" t="inlineStr">
        <is>
          <t>Medium-High</t>
        </is>
      </c>
      <c r="U85" s="353" t="inlineStr">
        <is>
          <t>https://www.tradingview.com/symbols/TASE-DSIT/</t>
        </is>
      </c>
      <c r="V85" s="353" t="inlineStr">
        <is>
          <t>Market data / company profile</t>
        </is>
      </c>
      <c r="W85" s="353" t="inlineStr">
        <is>
          <t>IPO/public-market row, not M&amp;A. Deal value from pasted list was blank; fill only from prospectus/TASE if needed.</t>
        </is>
      </c>
    </row>
    <row r="86" ht="45" customHeight="1">
      <c r="A86" s="353" t="n"/>
      <c r="B86" s="353" t="inlineStr">
        <is>
          <t>Israel</t>
        </is>
      </c>
      <c r="C86" s="353" t="inlineStr">
        <is>
          <t>Israel</t>
        </is>
      </c>
      <c r="D86" s="353" t="inlineStr">
        <is>
          <t>Smart Shooter</t>
        </is>
      </c>
      <c r="E86" s="353" t="inlineStr">
        <is>
          <t>IPO / Public listing</t>
        </is>
      </c>
      <c r="F86" s="353" t="inlineStr">
        <is>
          <t>Israel</t>
        </is>
      </c>
      <c r="G86" s="353" t="n"/>
      <c r="H86" s="403" t="n">
        <v>46083</v>
      </c>
      <c r="I86" s="403" t="n">
        <v>46083</v>
      </c>
      <c r="J86" s="353" t="n">
        <v>2026</v>
      </c>
      <c r="K86" s="353" t="inlineStr">
        <is>
          <t>IPO</t>
        </is>
      </c>
      <c r="L86" s="353" t="inlineStr">
        <is>
          <t>OTHER</t>
        </is>
      </c>
      <c r="M86" s="353" t="inlineStr">
        <is>
          <t>Completed / listed</t>
        </is>
      </c>
      <c r="N86" s="353" t="n">
        <v>83.8</v>
      </c>
      <c r="O86" s="353" t="inlineStr">
        <is>
          <t>USD</t>
        </is>
      </c>
      <c r="P86" s="353" t="inlineStr">
        <is>
          <t>Hardware</t>
        </is>
      </c>
      <c r="Q86" s="353" t="inlineStr">
        <is>
          <t>Electro-optical fire-control systems</t>
        </is>
      </c>
      <c r="R86" s="353" t="inlineStr">
        <is>
          <t>Core A&amp;D public-market transaction</t>
        </is>
      </c>
      <c r="S86" s="353" t="inlineStr">
        <is>
          <t>Israeli defense-tech company developing SMASH electro-optical fire-control systems for small arms and drone threats.</t>
        </is>
      </c>
      <c r="T86" s="353" t="inlineStr">
        <is>
          <t>Medium-High</t>
        </is>
      </c>
      <c r="U86" s="353" t="inlineStr">
        <is>
          <t>https://en.globes.co.il/en/article-smart-shooter-raises-nis-200m-in-tase-ipo-1001536422</t>
        </is>
      </c>
      <c r="V86" s="353" t="inlineStr">
        <is>
          <t>Reputable press</t>
        </is>
      </c>
      <c r="W86" s="353" t="inlineStr">
        <is>
          <t>Public-market pricing/IPO; not M&amp;A. Verify USD conversion/valuation before using in totals.</t>
        </is>
      </c>
    </row>
    <row r="87" ht="45" customHeight="1">
      <c r="A87" s="353" t="n"/>
      <c r="B87" s="353" t="inlineStr">
        <is>
          <t>Israel</t>
        </is>
      </c>
      <c r="C87" s="353" t="inlineStr">
        <is>
          <t>Israel</t>
        </is>
      </c>
      <c r="D87" s="353" t="inlineStr">
        <is>
          <t>Reshef Technologies</t>
        </is>
      </c>
      <c r="E87" s="353" t="inlineStr">
        <is>
          <t>IPO / Public listing</t>
        </is>
      </c>
      <c r="F87" s="353" t="inlineStr">
        <is>
          <t>Israel</t>
        </is>
      </c>
      <c r="G87" s="353" t="n"/>
      <c r="H87" s="403" t="inlineStr">
        <is>
          <t>2025-12</t>
        </is>
      </c>
      <c r="I87" s="403" t="n"/>
      <c r="J87" s="353" t="n">
        <v>2025</v>
      </c>
      <c r="K87" s="353" t="inlineStr">
        <is>
          <t>IPO</t>
        </is>
      </c>
      <c r="L87" s="353" t="inlineStr">
        <is>
          <t>OTHER</t>
        </is>
      </c>
      <c r="M87" s="353" t="inlineStr">
        <is>
          <t>Announced / public-market process</t>
        </is>
      </c>
      <c r="N87" s="353" t="n">
        <v>295.12</v>
      </c>
      <c r="O87" s="353" t="inlineStr">
        <is>
          <t>USD</t>
        </is>
      </c>
      <c r="P87" s="353" t="inlineStr">
        <is>
          <t>Hardware</t>
        </is>
      </c>
      <c r="Q87" s="353" t="inlineStr">
        <is>
          <t>Electronic fuzes / ammunition components</t>
        </is>
      </c>
      <c r="R87" s="353" t="inlineStr">
        <is>
          <t>Core A&amp;D public-market transaction</t>
        </is>
      </c>
      <c r="S87" s="353" t="inlineStr">
        <is>
          <t>Electronic fuze company linked to artillery, rockets, mortars and loitering munitions; highly defense-relevant.</t>
        </is>
      </c>
      <c r="T87" s="353" t="inlineStr">
        <is>
          <t>Medium</t>
        </is>
      </c>
      <c r="U87" s="353" t="inlineStr">
        <is>
          <t>https://www.ynetnews.com/business/article/byoezcrbbx</t>
        </is>
      </c>
      <c r="V87" s="353" t="inlineStr">
        <is>
          <t>Reputable press</t>
        </is>
      </c>
      <c r="W87" s="353" t="inlineStr">
        <is>
          <t>Ynet reports Aryt seeking to take Reshef public; value in pasted list may be market/public pricing and should be verified.</t>
        </is>
      </c>
    </row>
    <row r="88" ht="45" customHeight="1">
      <c r="A88" s="353" t="n"/>
      <c r="B88" s="353" t="inlineStr">
        <is>
          <t>Israel</t>
        </is>
      </c>
      <c r="C88" s="353" t="inlineStr">
        <is>
          <t>Israel</t>
        </is>
      </c>
      <c r="D88" s="353" t="inlineStr">
        <is>
          <t>RP Optical Lab</t>
        </is>
      </c>
      <c r="E88" s="353" t="inlineStr">
        <is>
          <t>IPO / Public listing</t>
        </is>
      </c>
      <c r="F88" s="353" t="inlineStr">
        <is>
          <t>Israel</t>
        </is>
      </c>
      <c r="G88" s="353" t="n"/>
      <c r="H88" s="403" t="inlineStr">
        <is>
          <t>2025-05</t>
        </is>
      </c>
      <c r="I88" s="403" t="n"/>
      <c r="J88" s="353" t="n">
        <v>2025</v>
      </c>
      <c r="K88" s="353" t="inlineStr">
        <is>
          <t>IPO</t>
        </is>
      </c>
      <c r="L88" s="353" t="inlineStr">
        <is>
          <t>OTHER</t>
        </is>
      </c>
      <c r="M88" s="353" t="inlineStr">
        <is>
          <t>Completed / listed</t>
        </is>
      </c>
      <c r="N88" s="353" t="n"/>
      <c r="O88" s="353" t="inlineStr">
        <is>
          <t>USD</t>
        </is>
      </c>
      <c r="P88" s="353" t="inlineStr">
        <is>
          <t>Hardware</t>
        </is>
      </c>
      <c r="Q88" s="353" t="inlineStr">
        <is>
          <t>Electro-optical &amp; thermal imaging</t>
        </is>
      </c>
      <c r="R88" s="353" t="inlineStr">
        <is>
          <t>Core A&amp;D public-market transaction</t>
        </is>
      </c>
      <c r="S88" s="353" t="inlineStr">
        <is>
          <t>RP Optical develops electro-optical modules and thermal imaging systems for defense, HLS, medical and commercial markets.</t>
        </is>
      </c>
      <c r="T88" s="353" t="inlineStr">
        <is>
          <t>Medium</t>
        </is>
      </c>
      <c r="U88" s="353" t="inlineStr">
        <is>
          <t>https://market.tase.co.il/en/market_data/security/01222462/major_data</t>
        </is>
      </c>
      <c r="V88" s="353" t="inlineStr">
        <is>
          <t>TASE market data</t>
        </is>
      </c>
      <c r="W88" s="353" t="inlineStr">
        <is>
          <t>Deal value from pasted list blank; do not force a valuation without prospectus/TASE source.</t>
        </is>
      </c>
    </row>
    <row r="89" ht="45" customHeight="1">
      <c r="A89" s="353" t="n"/>
      <c r="B89" s="353" t="inlineStr">
        <is>
          <t>Israel</t>
        </is>
      </c>
      <c r="C89" s="353" t="inlineStr">
        <is>
          <t>Israel</t>
        </is>
      </c>
      <c r="D89" s="353" t="inlineStr">
        <is>
          <t>TSG IT Advanced Systems</t>
        </is>
      </c>
      <c r="E89" s="353" t="inlineStr">
        <is>
          <t>IPO / Public listing</t>
        </is>
      </c>
      <c r="F89" s="353" t="inlineStr">
        <is>
          <t>Israel</t>
        </is>
      </c>
      <c r="G89" s="353" t="n"/>
      <c r="H89" s="403" t="n">
        <v>45516</v>
      </c>
      <c r="I89" s="403" t="n"/>
      <c r="J89" s="353" t="n">
        <v>2024</v>
      </c>
      <c r="K89" s="353" t="inlineStr">
        <is>
          <t>IPO</t>
        </is>
      </c>
      <c r="L89" s="353" t="inlineStr">
        <is>
          <t>OTHER</t>
        </is>
      </c>
      <c r="M89" s="353" t="inlineStr">
        <is>
          <t>Completed / listed</t>
        </is>
      </c>
      <c r="N89" s="353" t="n">
        <v>16.78</v>
      </c>
      <c r="O89" s="353" t="inlineStr">
        <is>
          <t>USD</t>
        </is>
      </c>
      <c r="P89" s="353" t="inlineStr">
        <is>
          <t>Software</t>
        </is>
      </c>
      <c r="Q89" s="353" t="inlineStr">
        <is>
          <t>C4ISTAR / command-and-control / HLS</t>
        </is>
      </c>
      <c r="R89" s="353" t="inlineStr">
        <is>
          <t>Core A&amp;D public-market transaction</t>
        </is>
      </c>
      <c r="S89" s="353" t="inlineStr">
        <is>
          <t>TSG provides C4ISTAR, intelligence, HLS and cyber/security systems for defense and government customers.</t>
        </is>
      </c>
      <c r="T89" s="353" t="inlineStr">
        <is>
          <t>Medium-High</t>
        </is>
      </c>
      <c r="U89" s="353" t="inlineStr">
        <is>
          <t>https://www.gornitzky.com/tsg-%D7%94%D7%A0%D7%A4%D7%A7%D7%AA-%D7%9E%D7%A0%D7%99%D7%95%D7%AA-%D7%9C%D7%A6%D7%99%D7%91%D7%95%D7%A8-ipo/</t>
        </is>
      </c>
      <c r="V89" s="353" t="inlineStr">
        <is>
          <t>Legal advisor / IPO announcement</t>
        </is>
      </c>
      <c r="W89" s="353" t="inlineStr">
        <is>
          <t>IPO/public-market row, not M&amp;A.</t>
        </is>
      </c>
    </row>
    <row r="90" ht="45" customHeight="1">
      <c r="A90" s="353" t="n"/>
      <c r="B90" s="353" t="inlineStr">
        <is>
          <t>Israel</t>
        </is>
      </c>
      <c r="C90" s="353" t="inlineStr">
        <is>
          <t>Israel</t>
        </is>
      </c>
      <c r="D90" s="353" t="inlineStr">
        <is>
          <t>Silynx Communications</t>
        </is>
      </c>
      <c r="E90" s="353" t="inlineStr">
        <is>
          <t>IPO / Public listing</t>
        </is>
      </c>
      <c r="F90" s="353" t="inlineStr">
        <is>
          <t>Israel / USA</t>
        </is>
      </c>
      <c r="G90" s="353" t="n"/>
      <c r="H90" s="403" t="inlineStr">
        <is>
          <t>2024-01</t>
        </is>
      </c>
      <c r="I90" s="403" t="n"/>
      <c r="J90" s="353" t="n">
        <v>2024</v>
      </c>
      <c r="K90" s="353" t="inlineStr">
        <is>
          <t>IPO</t>
        </is>
      </c>
      <c r="L90" s="353" t="inlineStr">
        <is>
          <t>OTHER</t>
        </is>
      </c>
      <c r="M90" s="353" t="inlineStr">
        <is>
          <t>Completed / listed</t>
        </is>
      </c>
      <c r="N90" s="353" t="n">
        <v>5</v>
      </c>
      <c r="O90" s="353" t="inlineStr">
        <is>
          <t>USD</t>
        </is>
      </c>
      <c r="P90" s="353" t="inlineStr">
        <is>
          <t>Hardware</t>
        </is>
      </c>
      <c r="Q90" s="353" t="inlineStr">
        <is>
          <t>Military communications headsets</t>
        </is>
      </c>
      <c r="R90" s="353" t="inlineStr">
        <is>
          <t>Core/Defense-adjacent public-market transaction</t>
        </is>
      </c>
      <c r="S90" s="353" t="inlineStr">
        <is>
          <t>Rugged tactical headset systems for military/law-enforcement communications and hearing protection.</t>
        </is>
      </c>
      <c r="T90" s="353" t="inlineStr">
        <is>
          <t>Medium</t>
        </is>
      </c>
      <c r="U90" s="353" t="inlineStr">
        <is>
          <t>https://silynxcom.com/</t>
        </is>
      </c>
      <c r="V90" s="353" t="inlineStr">
        <is>
          <t>Company website / product source</t>
        </is>
      </c>
      <c r="W90" s="353" t="inlineStr">
        <is>
          <t>Use for relevance; IPO pricing should be verified against SEC/Nasdaq prospectus if material.</t>
        </is>
      </c>
    </row>
    <row r="91" ht="45" customHeight="1">
      <c r="A91" s="353" t="inlineStr">
        <is>
          <t>EUR-001</t>
        </is>
      </c>
      <c r="B91" s="353" t="inlineStr">
        <is>
          <t>Europe</t>
        </is>
      </c>
      <c r="C91" s="353" t="inlineStr">
        <is>
          <t>France</t>
        </is>
      </c>
      <c r="D91" s="353" t="inlineStr">
        <is>
          <t>Exxelia</t>
        </is>
      </c>
      <c r="E91" s="353" t="inlineStr">
        <is>
          <t>HEICO Corporation</t>
        </is>
      </c>
      <c r="F91" s="353" t="inlineStr">
        <is>
          <t>United States</t>
        </is>
      </c>
      <c r="G91" s="353" t="inlineStr">
        <is>
          <t>HLD Europe</t>
        </is>
      </c>
      <c r="H91" s="403" t="inlineStr">
        <is>
          <t>Not disclosed</t>
        </is>
      </c>
      <c r="I91" s="403" t="n">
        <v>44931</v>
      </c>
      <c r="J91" s="353" t="n">
        <v>2023</v>
      </c>
      <c r="K91" s="353" t="inlineStr">
        <is>
          <t>M&amp;A</t>
        </is>
      </c>
      <c r="L91" s="353" t="inlineStr">
        <is>
          <t>Majority/control share acquisition</t>
        </is>
      </c>
      <c r="M91" s="353" t="inlineStr">
        <is>
          <t>Completed</t>
        </is>
      </c>
      <c r="N91" s="353" t="n">
        <v>503.996</v>
      </c>
      <c r="O91" s="353" t="inlineStr">
        <is>
          <t>USD</t>
        </is>
      </c>
      <c r="P91" s="353" t="inlineStr">
        <is>
          <t>Hardware</t>
        </is>
      </c>
      <c r="Q91" s="353" t="inlineStr">
        <is>
          <t>Defence Electronics &amp; Sensors</t>
        </is>
      </c>
      <c r="R91" s="353" t="inlineStr">
        <is>
          <t>Core A&amp;D</t>
        </is>
      </c>
      <c r="S91" s="353" t="inlineStr">
        <is>
          <t>HEICO describes Exxelia as a manufacturer of high-reliability electronic components used predominantly in aerospace and defence applications.</t>
        </is>
      </c>
      <c r="T91" s="353" t="inlineStr">
        <is>
          <t>Verified — primary source</t>
        </is>
      </c>
      <c r="U91" s="353" t="inlineStr">
        <is>
          <t>https://heico.com/wp-content/uploads/2024/04/AnnualReport_2023.pdf</t>
        </is>
      </c>
      <c r="V91" s="353" t="inlineStr">
        <is>
          <t>Verified — primary source</t>
        </is>
      </c>
      <c r="W91" s="353" t="inlineStr">
        <is>
          <t>Control acquisition, not 100%; replace the dataset's $501.55m with audited net consideration of $503.996m.</t>
        </is>
      </c>
    </row>
    <row r="92" ht="45" customHeight="1">
      <c r="A92" s="353" t="inlineStr">
        <is>
          <t>EUR-002</t>
        </is>
      </c>
      <c r="B92" s="353" t="inlineStr">
        <is>
          <t>Europe</t>
        </is>
      </c>
      <c r="C92" s="353" t="inlineStr">
        <is>
          <t>United Kingdom</t>
        </is>
      </c>
      <c r="D92" s="353" t="inlineStr">
        <is>
          <t>TP Group plc</t>
        </is>
      </c>
      <c r="E92" s="353" t="inlineStr">
        <is>
          <t>Science Group plc</t>
        </is>
      </c>
      <c r="F92" s="353" t="inlineStr">
        <is>
          <t>United Kingdom</t>
        </is>
      </c>
      <c r="G92" s="353" t="inlineStr">
        <is>
          <t>TP Group shareholders</t>
        </is>
      </c>
      <c r="H92" s="403" t="inlineStr">
        <is>
          <t>Not disclosed</t>
        </is>
      </c>
      <c r="I92" s="403" t="n">
        <v>44952</v>
      </c>
      <c r="J92" s="353" t="n">
        <v>2023</v>
      </c>
      <c r="K92" s="353" t="inlineStr">
        <is>
          <t>M&amp;A</t>
        </is>
      </c>
      <c r="L92" s="353" t="inlineStr">
        <is>
          <t>100% acquisition by court-approved scheme of arrangement</t>
        </is>
      </c>
      <c r="M92" s="353" t="inlineStr">
        <is>
          <t>Completed</t>
        </is>
      </c>
      <c r="N92" s="353" t="inlineStr">
        <is>
          <t>Not disclosed</t>
        </is>
      </c>
      <c r="O92" s="353" t="inlineStr">
        <is>
          <t>Not disclosed</t>
        </is>
      </c>
      <c r="P92" s="353" t="inlineStr">
        <is>
          <t>Hardware / Services</t>
        </is>
      </c>
      <c r="Q92" s="353" t="inlineStr">
        <is>
          <t>Defence Services &amp; Engineering</t>
        </is>
      </c>
      <c r="R92" s="353" t="inlineStr">
        <is>
          <t>Core A&amp;D</t>
        </is>
      </c>
      <c r="S92" s="353" t="inlineStr">
        <is>
          <t>Science Group identifies the acquired operations as Defence and Aerospace-focused consulting plus submarine atmosphere-management systems dependent on the UK defence market.</t>
        </is>
      </c>
      <c r="T92" s="353" t="inlineStr">
        <is>
          <t>Verified — primary source</t>
        </is>
      </c>
      <c r="U92" s="353" t="inlineStr">
        <is>
          <t>https://www.sciencegroup.com/news-detail/audited-results-for-the-year-ended-31-december-2023/</t>
        </is>
      </c>
      <c r="V92" s="353" t="inlineStr">
        <is>
          <t>Verified — primary source</t>
        </is>
      </c>
      <c r="W92" s="353" t="inlineStr">
        <is>
          <t>Retain as a completed 100% control acquisition; value left null because cash outflow is not necessarily equivalent to enterprise value.</t>
        </is>
      </c>
    </row>
    <row r="93" ht="45" customHeight="1">
      <c r="A93" s="353" t="inlineStr">
        <is>
          <t>EUR-003</t>
        </is>
      </c>
      <c r="B93" s="353" t="inlineStr">
        <is>
          <t>Europe</t>
        </is>
      </c>
      <c r="C93" s="353" t="inlineStr">
        <is>
          <t>United Kingdom</t>
        </is>
      </c>
      <c r="D93" s="353" t="inlineStr">
        <is>
          <t>Westek Technology Ltd</t>
        </is>
      </c>
      <c r="E93" s="353" t="inlineStr">
        <is>
          <t>roda computer GmbH</t>
        </is>
      </c>
      <c r="F93" s="353" t="inlineStr">
        <is>
          <t>Germany</t>
        </is>
      </c>
      <c r="G93" s="353" t="inlineStr">
        <is>
          <t>TP Group plc</t>
        </is>
      </c>
      <c r="H93" s="403" t="inlineStr">
        <is>
          <t>Not disclosed</t>
        </is>
      </c>
      <c r="I93" s="403" t="n">
        <v>44955</v>
      </c>
      <c r="J93" s="353" t="n">
        <v>2023</v>
      </c>
      <c r="K93" s="353" t="inlineStr">
        <is>
          <t>M&amp;A</t>
        </is>
      </c>
      <c r="L93" s="353" t="inlineStr">
        <is>
          <t>100% share acquisition / corporate divestiture</t>
        </is>
      </c>
      <c r="M93" s="353" t="inlineStr">
        <is>
          <t>Completed</t>
        </is>
      </c>
      <c r="N93" s="353" t="inlineStr">
        <is>
          <t>Not disclosed</t>
        </is>
      </c>
      <c r="O93" s="353" t="inlineStr">
        <is>
          <t>GBP</t>
        </is>
      </c>
      <c r="P93" s="353" t="inlineStr">
        <is>
          <t>Hardware</t>
        </is>
      </c>
      <c r="Q93" s="353" t="inlineStr">
        <is>
          <t>Defence Computing &amp; Rugged Systems</t>
        </is>
      </c>
      <c r="R93" s="353" t="inlineStr">
        <is>
          <t>Core A&amp;D</t>
        </is>
      </c>
      <c r="S93" s="353" t="inlineStr">
        <is>
          <t>Westek manufactures rugged computers and related systems for military and other harsh-environment applications; the buyer describes it as serving defence-sector customers.</t>
        </is>
      </c>
      <c r="T93" s="353" t="inlineStr">
        <is>
          <t>Verified — primary source</t>
        </is>
      </c>
      <c r="U93" s="353" t="inlineStr">
        <is>
          <t>https://www.roda-computer.com/news/current-news/roda-acquires-the-shares-of-westek/</t>
        </is>
      </c>
      <c r="V93" s="353" t="inlineStr">
        <is>
          <t>Verified — primary source</t>
        </is>
      </c>
      <c r="W93" s="353" t="inlineStr">
        <is>
          <t>Correct completion date is 29 January 2023, not 1 January 2023.</t>
        </is>
      </c>
    </row>
    <row r="94" ht="45" customHeight="1">
      <c r="A94" s="353" t="inlineStr">
        <is>
          <t>EUR-004</t>
        </is>
      </c>
      <c r="B94" s="353" t="inlineStr">
        <is>
          <t>Europe</t>
        </is>
      </c>
      <c r="C94" s="353" t="inlineStr">
        <is>
          <t>France</t>
        </is>
      </c>
      <c r="D94" s="353" t="inlineStr">
        <is>
          <t>Diateam</t>
        </is>
      </c>
      <c r="E94" s="353" t="inlineStr">
        <is>
          <t>CY4Gate S.p.A.</t>
        </is>
      </c>
      <c r="F94" s="353" t="inlineStr">
        <is>
          <t>Italy</t>
        </is>
      </c>
      <c r="G94" s="353" t="inlineStr">
        <is>
          <t>Not disclosed</t>
        </is>
      </c>
      <c r="H94" s="403" t="inlineStr">
        <is>
          <t>Not disclosed</t>
        </is>
      </c>
      <c r="I94" s="403" t="n">
        <v>44956</v>
      </c>
      <c r="J94" s="353" t="n">
        <v>2023</v>
      </c>
      <c r="K94" s="353" t="inlineStr">
        <is>
          <t>M&amp;A</t>
        </is>
      </c>
      <c r="L94" s="353" t="inlineStr">
        <is>
          <t>Majority/control share acquisition</t>
        </is>
      </c>
      <c r="M94" s="353" t="inlineStr">
        <is>
          <t>Completed</t>
        </is>
      </c>
      <c r="N94" s="353" t="inlineStr">
        <is>
          <t>Not disclosed</t>
        </is>
      </c>
      <c r="O94" s="353" t="inlineStr">
        <is>
          <t>EUR</t>
        </is>
      </c>
      <c r="P94" s="353" t="inlineStr">
        <is>
          <t>Software / Services</t>
        </is>
      </c>
      <c r="Q94" s="353" t="inlineStr">
        <is>
          <t>Cyber &amp; Digital Defence</t>
        </is>
      </c>
      <c r="R94" s="353" t="inlineStr">
        <is>
          <t>Core A&amp;D</t>
        </is>
      </c>
      <c r="S94" s="353" t="inlineStr">
        <is>
          <t>Diateam develops cyber-range, digital-twin and cyber-warfare capabilities for government and defence customers.</t>
        </is>
      </c>
      <c r="T94" s="353" t="inlineStr">
        <is>
          <t>Verified — primary source</t>
        </is>
      </c>
      <c r="U94" s="353" t="inlineStr">
        <is>
          <t>https://www.cy4gate.com/assets/Uploads/ENG-CS-CY4gate-closing-Operazione-Diateam-def.pdf</t>
        </is>
      </c>
      <c r="V94" s="353" t="inlineStr">
        <is>
          <t>Verified — primary source</t>
        </is>
      </c>
      <c r="W94" s="353" t="inlineStr">
        <is>
          <t>Correct structure from full acquisition to acquisition of a 55.33% controlling stake.</t>
        </is>
      </c>
    </row>
    <row r="95" ht="45" customHeight="1">
      <c r="A95" s="353" t="inlineStr">
        <is>
          <t>EUR-005</t>
        </is>
      </c>
      <c r="B95" s="353" t="inlineStr">
        <is>
          <t>Europe</t>
        </is>
      </c>
      <c r="C95" s="353" t="inlineStr">
        <is>
          <t>Sweden</t>
        </is>
      </c>
      <c r="D95" s="353" t="inlineStr">
        <is>
          <t>ArcQor AB</t>
        </is>
      </c>
      <c r="E95" s="353" t="inlineStr">
        <is>
          <t>W5 Solutions AB</t>
        </is>
      </c>
      <c r="F95" s="353" t="inlineStr">
        <is>
          <t>Sweden</t>
        </is>
      </c>
      <c r="G95" s="353" t="inlineStr">
        <is>
          <t>Note AB</t>
        </is>
      </c>
      <c r="H95" s="403" t="inlineStr">
        <is>
          <t>Not disclosed</t>
        </is>
      </c>
      <c r="I95" s="403" t="n">
        <v>44957</v>
      </c>
      <c r="J95" s="353" t="n">
        <v>2023</v>
      </c>
      <c r="K95" s="353" t="inlineStr">
        <is>
          <t>M&amp;A</t>
        </is>
      </c>
      <c r="L95" s="353" t="inlineStr">
        <is>
          <t>100% share acquisition / corporate divestiture</t>
        </is>
      </c>
      <c r="M95" s="353" t="inlineStr">
        <is>
          <t>Completed</t>
        </is>
      </c>
      <c r="N95" s="353" t="inlineStr">
        <is>
          <t>Not disclosed</t>
        </is>
      </c>
      <c r="O95" s="353" t="inlineStr">
        <is>
          <t>Not disclosed</t>
        </is>
      </c>
      <c r="P95" s="353" t="inlineStr">
        <is>
          <t>Hardware</t>
        </is>
      </c>
      <c r="Q95" s="353" t="inlineStr">
        <is>
          <t>Power, Propulsion &amp; Energy</t>
        </is>
      </c>
      <c r="R95" s="353" t="inlineStr">
        <is>
          <t>Core A&amp;D</t>
        </is>
      </c>
      <c r="S95" s="353" t="inlineStr">
        <is>
          <t>ArcQor develops rugged power systems and battery chargers for defence applications and was acquired into W5's defence-technology group.</t>
        </is>
      </c>
      <c r="T95" s="353" t="inlineStr">
        <is>
          <t>Verified — primary source</t>
        </is>
      </c>
      <c r="U95" s="353" t="inlineStr">
        <is>
          <t>https://w5solutions.com/mfn_news/w5-solutions-acquires-arcqor-ab-and-issues-626-342-new-shares/</t>
        </is>
      </c>
      <c r="V95" s="353" t="inlineStr">
        <is>
          <t>Verified — primary source</t>
        </is>
      </c>
      <c r="W95" s="353" t="inlineStr">
        <is>
          <t>Retain; transaction and control status are source-verified. No single normalized transaction value is carried into the verified dataset.</t>
        </is>
      </c>
    </row>
    <row r="96" ht="45" customHeight="1">
      <c r="A96" s="353" t="inlineStr">
        <is>
          <t>EUR-006</t>
        </is>
      </c>
      <c r="B96" s="353" t="inlineStr">
        <is>
          <t>Europe</t>
        </is>
      </c>
      <c r="C96" s="353" t="inlineStr">
        <is>
          <t>Estonia</t>
        </is>
      </c>
      <c r="D96" s="353" t="inlineStr">
        <is>
          <t>Milrem Robotics</t>
        </is>
      </c>
      <c r="E96" s="353" t="inlineStr">
        <is>
          <t>EDGE Group PJSC</t>
        </is>
      </c>
      <c r="F96" s="353" t="inlineStr">
        <is>
          <t>United Arab Emirates</t>
        </is>
      </c>
      <c r="G96" s="353" t="inlineStr">
        <is>
          <t>Founders, employees and Estonian private investors</t>
        </is>
      </c>
      <c r="H96" s="403" t="n">
        <v>44972</v>
      </c>
      <c r="I96" s="403" t="n">
        <v>44972</v>
      </c>
      <c r="J96" s="353" t="n">
        <v>2023</v>
      </c>
      <c r="K96" s="353" t="inlineStr">
        <is>
          <t>M&amp;A</t>
        </is>
      </c>
      <c r="L96" s="353" t="inlineStr">
        <is>
          <t>Majority stake</t>
        </is>
      </c>
      <c r="M96" s="353" t="inlineStr">
        <is>
          <t>Completed</t>
        </is>
      </c>
      <c r="N96" s="353" t="inlineStr">
        <is>
          <t>Not disclosed</t>
        </is>
      </c>
      <c r="O96" s="353" t="inlineStr">
        <is>
          <t>Not disclosed</t>
        </is>
      </c>
      <c r="P96" s="353" t="inlineStr">
        <is>
          <t>Hardware / Software</t>
        </is>
      </c>
      <c r="Q96" s="353" t="inlineStr">
        <is>
          <t>UAVs &amp; Autonomous Systems</t>
        </is>
      </c>
      <c r="R96" s="353" t="inlineStr">
        <is>
          <t>Core A&amp;D</t>
        </is>
      </c>
      <c r="S96" s="353" t="inlineStr">
        <is>
          <t>Unmanned Ground Systems. Milrem develops and manufactures the THeMIS and Type-X robotic combat and support vehicles for NATO and allied armed forces; defence robotics is its sole business.</t>
        </is>
      </c>
      <c r="T96" s="353" t="inlineStr">
        <is>
          <t>Verified — primary source</t>
        </is>
      </c>
      <c r="U96" s="353" t="inlineStr">
        <is>
          <t>https://edgegroup.ae/news/edge-acquires-majority-stake-milrem-robotics-europes-leading-developer-robotics-and-autonomous</t>
        </is>
      </c>
      <c r="V96" s="353" t="inlineStr">
        <is>
          <t>Verified — primary source</t>
        </is>
      </c>
      <c r="W96" s="353" t="inlineStr">
        <is>
          <t>ADDED 2026-08-02: absent from the original workbook and from the audit log. Passes the strict tests — Estonian target, defence robotics as sole business, change of control. Neither party disclosed a separate legal completion date; the announcement date is used and flagged.</t>
        </is>
      </c>
    </row>
    <row r="97" ht="45" customHeight="1">
      <c r="A97" s="353" t="inlineStr">
        <is>
          <t>EUR-007</t>
        </is>
      </c>
      <c r="B97" s="353" t="inlineStr">
        <is>
          <t>Europe</t>
        </is>
      </c>
      <c r="C97" s="353" t="inlineStr">
        <is>
          <t>France</t>
        </is>
      </c>
      <c r="D97" s="353" t="inlineStr">
        <is>
          <t>CS Group</t>
        </is>
      </c>
      <c r="E97" s="353" t="inlineStr">
        <is>
          <t>Sopra Steria Group SE</t>
        </is>
      </c>
      <c r="F97" s="353" t="inlineStr">
        <is>
          <t>France</t>
        </is>
      </c>
      <c r="G97" s="353" t="inlineStr">
        <is>
          <t>Yazid Sabeg, Eric Blanc-Garin, Duna &amp; Cie, Cira Holding and the founders of Novidy’s</t>
        </is>
      </c>
      <c r="H97" s="403" t="n">
        <v>44883</v>
      </c>
      <c r="I97" s="403" t="n">
        <v>44985</v>
      </c>
      <c r="J97" s="353" t="n">
        <v>2023</v>
      </c>
      <c r="K97" s="353" t="inlineStr">
        <is>
          <t>M&amp;A</t>
        </is>
      </c>
      <c r="L97" s="353" t="inlineStr">
        <is>
          <t>Majority stake</t>
        </is>
      </c>
      <c r="M97" s="353" t="inlineStr">
        <is>
          <t>Completed</t>
        </is>
      </c>
      <c r="N97" s="353" t="inlineStr">
        <is>
          <t>Not disclosed</t>
        </is>
      </c>
      <c r="O97" s="353" t="inlineStr">
        <is>
          <t>EUR</t>
        </is>
      </c>
      <c r="P97" s="353" t="inlineStr">
        <is>
          <t>Software / Services</t>
        </is>
      </c>
      <c r="Q97" s="353" t="inlineStr">
        <is>
          <t>Cyber &amp; Digital Defence</t>
        </is>
      </c>
      <c r="R97" s="353" t="inlineStr">
        <is>
          <t>Core A&amp;D</t>
        </is>
      </c>
      <c r="S97" s="353" t="inlineStr">
        <is>
          <t>Digital services and critical systems for defence and security, space and energy. CS Group is a French defence and security prime contractor with approximately 2,500 employees.</t>
        </is>
      </c>
      <c r="T97" s="353" t="inlineStr">
        <is>
          <t>Verified — primary source</t>
        </is>
      </c>
      <c r="U97" s="353" t="inlineStr">
        <is>
          <t>https://www.soprasteria.com/newsroom/press-releases/details/sopra-steria-finalises-its-acquisition-of-a-majority-stake-in-the-share-capital-of-cs-group</t>
        </is>
      </c>
      <c r="V97" s="353" t="inlineStr">
        <is>
          <t>Verified — primary source</t>
        </is>
      </c>
      <c r="W97" s="353" t="inlineStr">
        <is>
          <t>ADDED 2026-08-02: absent from the original workbook and from the audit log, although CS Group appears in the sheet as an acquirer. Passes the strict tests — French target, defence and security critical systems as primary business, change of control completed inside the window.</t>
        </is>
      </c>
    </row>
    <row r="98" ht="45" customHeight="1">
      <c r="A98" s="353" t="inlineStr">
        <is>
          <t>EUR-008</t>
        </is>
      </c>
      <c r="B98" s="353" t="inlineStr">
        <is>
          <t>Europe</t>
        </is>
      </c>
      <c r="C98" s="353" t="inlineStr">
        <is>
          <t>France</t>
        </is>
      </c>
      <c r="D98" s="353" t="inlineStr">
        <is>
          <t>Connectiv-IT SAS</t>
        </is>
      </c>
      <c r="E98" s="353" t="inlineStr">
        <is>
          <t>Sopra Steria Group</t>
        </is>
      </c>
      <c r="F98" s="353" t="inlineStr">
        <is>
          <t>France</t>
        </is>
      </c>
      <c r="G98" s="353" t="inlineStr">
        <is>
          <t>Not disclosed</t>
        </is>
      </c>
      <c r="H98" s="403" t="inlineStr">
        <is>
          <t>Not disclosed</t>
        </is>
      </c>
      <c r="I98" s="403" t="n">
        <v>45020</v>
      </c>
      <c r="J98" s="353" t="n">
        <v>2023</v>
      </c>
      <c r="K98" s="353" t="inlineStr">
        <is>
          <t>M&amp;A</t>
        </is>
      </c>
      <c r="L98" s="353" t="inlineStr">
        <is>
          <t>100% share acquisition</t>
        </is>
      </c>
      <c r="M98" s="353" t="inlineStr">
        <is>
          <t>Completed</t>
        </is>
      </c>
      <c r="N98" s="353" t="inlineStr">
        <is>
          <t>Not disclosed</t>
        </is>
      </c>
      <c r="O98" s="353" t="inlineStr">
        <is>
          <t>Not disclosed</t>
        </is>
      </c>
      <c r="P98" s="353" t="inlineStr">
        <is>
          <t>Software / Services</t>
        </is>
      </c>
      <c r="Q98" s="353" t="inlineStr">
        <is>
          <t>Defence Services &amp; Engineering</t>
        </is>
      </c>
      <c r="R98" s="353" t="inlineStr">
        <is>
          <t>Core A&amp;D</t>
        </is>
      </c>
      <c r="S98" s="353" t="inlineStr">
        <is>
          <t>Connectiv-IT provides software and digital services for aeronautics and defence supply-chain and operational-readiness processes.</t>
        </is>
      </c>
      <c r="T98" s="353" t="inlineStr">
        <is>
          <t>Verified — primary source</t>
        </is>
      </c>
      <c r="U98" s="353" t="inlineStr">
        <is>
          <t>https://www.soprasteria.com/Content/SopraSteria/soprasteria-2023-12-31-fr-viewer.html</t>
        </is>
      </c>
      <c r="V98" s="353" t="inlineStr">
        <is>
          <t>Verified — primary source</t>
        </is>
      </c>
      <c r="W98" s="353" t="inlineStr">
        <is>
          <t>Retain; completion and 100% ownership are supported by Sopra Steria reporting.</t>
        </is>
      </c>
    </row>
    <row r="99" ht="45" customHeight="1">
      <c r="A99" s="353" t="inlineStr">
        <is>
          <t>EUR-009</t>
        </is>
      </c>
      <c r="B99" s="353" t="inlineStr">
        <is>
          <t>Europe</t>
        </is>
      </c>
      <c r="C99" s="353" t="inlineStr">
        <is>
          <t>France</t>
        </is>
      </c>
      <c r="D99" s="353" t="inlineStr">
        <is>
          <t>Aubert &amp; Duval</t>
        </is>
      </c>
      <c r="E99" s="353" t="inlineStr">
        <is>
          <t>AD Holding (Airbus, Safran and Tikehau Capital)</t>
        </is>
      </c>
      <c r="F99" s="353" t="inlineStr">
        <is>
          <t>France</t>
        </is>
      </c>
      <c r="G99" s="353" t="inlineStr">
        <is>
          <t>Eramet</t>
        </is>
      </c>
      <c r="H99" s="403" t="inlineStr">
        <is>
          <t>Not disclosed</t>
        </is>
      </c>
      <c r="I99" s="403" t="n">
        <v>45044</v>
      </c>
      <c r="J99" s="353" t="n">
        <v>2023</v>
      </c>
      <c r="K99" s="353" t="inlineStr">
        <is>
          <t>M&amp;A</t>
        </is>
      </c>
      <c r="L99" s="353" t="inlineStr">
        <is>
          <t>100% share acquisition through an equally owned holding company</t>
        </is>
      </c>
      <c r="M99" s="353" t="inlineStr">
        <is>
          <t>Completed</t>
        </is>
      </c>
      <c r="N99" s="353" t="inlineStr">
        <is>
          <t>Not disclosed</t>
        </is>
      </c>
      <c r="O99" s="353" t="inlineStr">
        <is>
          <t>Not disclosed</t>
        </is>
      </c>
      <c r="P99" s="353" t="inlineStr">
        <is>
          <t>Hardware</t>
        </is>
      </c>
      <c r="Q99" s="353" t="inlineStr">
        <is>
          <t>Aerospace Materials &amp; Components</t>
        </is>
      </c>
      <c r="R99" s="353" t="inlineStr">
        <is>
          <t>Core A&amp;D</t>
        </is>
      </c>
      <c r="S99" s="353" t="inlineStr">
        <is>
          <t>Aubert &amp; Duval is a strategic manufacturer of high-performance steels, superalloys, titanium and critical parts central to aerospace and defence supply chains.</t>
        </is>
      </c>
      <c r="T99" s="353" t="inlineStr">
        <is>
          <t>Verified — primary source</t>
        </is>
      </c>
      <c r="U99" s="353" t="inlineStr">
        <is>
          <t>https://www.airbus.com/en/newsroom/press-releases/2023-04-airbus-safran-and-tikehau-capital-finalise-acquisition-of-aubert</t>
        </is>
      </c>
      <c r="V99" s="353" t="inlineStr">
        <is>
          <t>Verified — primary source</t>
        </is>
      </c>
      <c r="W99" s="353" t="inlineStr">
        <is>
          <t>Confirmed omitted completed control acquisition.</t>
        </is>
      </c>
    </row>
    <row r="100" ht="45" customHeight="1">
      <c r="A100" s="353" t="inlineStr">
        <is>
          <t>EUR-010</t>
        </is>
      </c>
      <c r="B100" s="353" t="inlineStr">
        <is>
          <t>Europe</t>
        </is>
      </c>
      <c r="C100" s="353" t="inlineStr">
        <is>
          <t>Italy</t>
        </is>
      </c>
      <c r="D100" s="353" t="inlineStr">
        <is>
          <t>Innovation Design S.r.l.</t>
        </is>
      </c>
      <c r="E100" s="353" t="inlineStr">
        <is>
          <t>Foramil S.r.l. / Defence Tech Holding S.p.A.</t>
        </is>
      </c>
      <c r="F100" s="353" t="inlineStr">
        <is>
          <t>Italy</t>
        </is>
      </c>
      <c r="G100" s="353" t="inlineStr">
        <is>
          <t>Not disclosed</t>
        </is>
      </c>
      <c r="H100" s="403" t="inlineStr">
        <is>
          <t>Not disclosed</t>
        </is>
      </c>
      <c r="I100" s="403" t="n">
        <v>45045</v>
      </c>
      <c r="J100" s="353" t="n">
        <v>2023</v>
      </c>
      <c r="K100" s="353" t="inlineStr">
        <is>
          <t>M&amp;A</t>
        </is>
      </c>
      <c r="L100" s="353" t="inlineStr">
        <is>
          <t>Majority/control share acquisition</t>
        </is>
      </c>
      <c r="M100" s="353" t="inlineStr">
        <is>
          <t>Completed</t>
        </is>
      </c>
      <c r="N100" s="353" t="inlineStr">
        <is>
          <t>Not disclosed</t>
        </is>
      </c>
      <c r="O100" s="353" t="inlineStr">
        <is>
          <t>Not disclosed</t>
        </is>
      </c>
      <c r="P100" s="353" t="inlineStr">
        <is>
          <t>Hardware / Software</t>
        </is>
      </c>
      <c r="Q100" s="353" t="inlineStr">
        <is>
          <t>Defence Electronics &amp; Sensors</t>
        </is>
      </c>
      <c r="R100" s="353" t="inlineStr">
        <is>
          <t>Core A&amp;D</t>
        </is>
      </c>
      <c r="S100" s="353" t="inlineStr">
        <is>
          <t>Innovation Design develops and supplies defence electronics and systems through Foramil/Defence Tech.</t>
        </is>
      </c>
      <c r="T100" s="353" t="inlineStr">
        <is>
          <t>Verified — primary source</t>
        </is>
      </c>
      <c r="U100" s="353" t="inlineStr">
        <is>
          <t>https://tinextadefence.it/en/download/29-04-2023-defence-tech-holding-through-its-subsidiary-foramil-finalises-the-acquisition-of-60-of-innovation-design-s-r-l/</t>
        </is>
      </c>
      <c r="V100" s="353" t="inlineStr">
        <is>
          <t>Verified — primary source</t>
        </is>
      </c>
      <c r="W100" s="353" t="inlineStr">
        <is>
          <t>Correct completion date is 29 April 2023 and ownership acquired was 60%, not 100%.</t>
        </is>
      </c>
    </row>
    <row r="101" ht="45" customHeight="1">
      <c r="A101" s="353" t="inlineStr">
        <is>
          <t>EUR-011</t>
        </is>
      </c>
      <c r="B101" s="353" t="inlineStr">
        <is>
          <t>Europe</t>
        </is>
      </c>
      <c r="C101" s="353" t="inlineStr">
        <is>
          <t>France</t>
        </is>
      </c>
      <c r="D101" s="353" t="inlineStr">
        <is>
          <t>Tonner Drones SAS</t>
        </is>
      </c>
      <c r="E101" s="353" t="inlineStr">
        <is>
          <t>Delta Drone S.A. (subsequently renamed Tonner Drones S.A.)</t>
        </is>
      </c>
      <c r="F101" s="353" t="inlineStr">
        <is>
          <t>France</t>
        </is>
      </c>
      <c r="G101" s="353" t="inlineStr">
        <is>
          <t>Not disclosed</t>
        </is>
      </c>
      <c r="H101" s="403" t="n">
        <v>45068</v>
      </c>
      <c r="I101" s="403" t="n">
        <v>45082</v>
      </c>
      <c r="J101" s="353" t="n">
        <v>2023</v>
      </c>
      <c r="K101" s="353" t="inlineStr">
        <is>
          <t>M&amp;A</t>
        </is>
      </c>
      <c r="L101" s="353" t="inlineStr">
        <is>
          <t>100% share acquisition</t>
        </is>
      </c>
      <c r="M101" s="353" t="inlineStr">
        <is>
          <t>Completed</t>
        </is>
      </c>
      <c r="N101" s="353" t="inlineStr">
        <is>
          <t>Not disclosed</t>
        </is>
      </c>
      <c r="O101" s="353" t="inlineStr">
        <is>
          <t>Not disclosed</t>
        </is>
      </c>
      <c r="P101" s="353" t="inlineStr">
        <is>
          <t>Hardware / Software</t>
        </is>
      </c>
      <c r="Q101" s="353" t="inlineStr">
        <is>
          <t>UAVs &amp; Autonomous Systems</t>
        </is>
      </c>
      <c r="R101" s="353" t="inlineStr">
        <is>
          <t>Core A&amp;D</t>
        </is>
      </c>
      <c r="S101" s="353" t="inlineStr">
        <is>
          <t>Tonner Drones develops military and dual-use drone technologies; the transaction transferred the operating company into Delta Drone.</t>
        </is>
      </c>
      <c r="T101" s="353" t="inlineStr">
        <is>
          <t>Verified — primary source</t>
        </is>
      </c>
      <c r="U101" s="353" t="inlineStr">
        <is>
          <t>https://tonnerdrones.com/wp-content/uploads/2023/06/DeltaDrone_CP_closing_07.06.2023_VD.pdf</t>
        </is>
      </c>
      <c r="V101" s="353" t="inlineStr">
        <is>
          <t>Verified — primary source</t>
        </is>
      </c>
      <c r="W101" s="353" t="inlineStr">
        <is>
          <t>Correct acquirer is Delta Drone, later renamed Tonner Drones; correct completion date is 5 June 2023.</t>
        </is>
      </c>
    </row>
    <row r="102" ht="45" customHeight="1">
      <c r="A102" s="353" t="inlineStr">
        <is>
          <t>EUR-012</t>
        </is>
      </c>
      <c r="B102" s="353" t="inlineStr">
        <is>
          <t>Europe</t>
        </is>
      </c>
      <c r="C102" s="353" t="inlineStr">
        <is>
          <t>Belgium</t>
        </is>
      </c>
      <c r="D102" s="353" t="inlineStr">
        <is>
          <t>Sky-Hero</t>
        </is>
      </c>
      <c r="E102" s="353" t="inlineStr">
        <is>
          <t>Axon Enterprise, Inc.</t>
        </is>
      </c>
      <c r="F102" s="353" t="inlineStr">
        <is>
          <t>United States</t>
        </is>
      </c>
      <c r="G102" s="353" t="inlineStr">
        <is>
          <t>Not disclosed</t>
        </is>
      </c>
      <c r="H102" s="403" t="n">
        <v>45121</v>
      </c>
      <c r="I102" s="403" t="n">
        <v>45121</v>
      </c>
      <c r="J102" s="353" t="n">
        <v>2023</v>
      </c>
      <c r="K102" s="353" t="inlineStr">
        <is>
          <t>M&amp;A</t>
        </is>
      </c>
      <c r="L102" s="353" t="inlineStr">
        <is>
          <t>Company acquisition</t>
        </is>
      </c>
      <c r="M102" s="353" t="inlineStr">
        <is>
          <t>Completed</t>
        </is>
      </c>
      <c r="N102" s="353" t="inlineStr">
        <is>
          <t>Not disclosed</t>
        </is>
      </c>
      <c r="O102" s="353" t="inlineStr">
        <is>
          <t>Not disclosed</t>
        </is>
      </c>
      <c r="P102" s="353" t="inlineStr">
        <is>
          <t>Hardware / Software</t>
        </is>
      </c>
      <c r="Q102" s="353" t="inlineStr">
        <is>
          <t>UAVs &amp; Autonomous Systems</t>
        </is>
      </c>
      <c r="R102" s="353" t="inlineStr">
        <is>
          <t>Core A&amp;D</t>
        </is>
      </c>
      <c r="S102" s="353" t="inlineStr">
        <is>
          <t>Sky-Hero develops tactical indoor UAVs and UGVs used by elite law-enforcement and military units.</t>
        </is>
      </c>
      <c r="T102" s="353" t="inlineStr">
        <is>
          <t>Verified — primary source</t>
        </is>
      </c>
      <c r="U102" s="353" t="inlineStr">
        <is>
          <t>https://investor.axon.com/image/AXON_Q3_2023_ShareholderLetter.pdf</t>
        </is>
      </c>
      <c r="V102" s="353" t="inlineStr">
        <is>
          <t>Verified — primary source</t>
        </is>
      </c>
      <c r="W102" s="353" t="inlineStr">
        <is>
          <t>Confirmed omitted acquisition; Axon discloses June 2023 closing but not the exact day or consideration. CORRECTED 2026-08-02: date was held as the text string '2023-06 (estimated)'. Axon's own announcement and transaction records date the acquisition 14 July 2023, so an exact date replaces the month estimate.</t>
        </is>
      </c>
    </row>
    <row r="103" ht="45" customHeight="1">
      <c r="A103" s="353" t="inlineStr">
        <is>
          <t>EUR-013</t>
        </is>
      </c>
      <c r="B103" s="353" t="inlineStr">
        <is>
          <t>Europe</t>
        </is>
      </c>
      <c r="C103" s="353" t="inlineStr">
        <is>
          <t>United Kingdom</t>
        </is>
      </c>
      <c r="D103" s="353" t="inlineStr">
        <is>
          <t>Artemis Optical Ltd</t>
        </is>
      </c>
      <c r="E103" s="353" t="inlineStr">
        <is>
          <t>Gooch &amp; Housego plc</t>
        </is>
      </c>
      <c r="F103" s="353" t="inlineStr">
        <is>
          <t>United Kingdom</t>
        </is>
      </c>
      <c r="G103" s="353" t="inlineStr">
        <is>
          <t>Not disclosed</t>
        </is>
      </c>
      <c r="H103" s="403" t="inlineStr">
        <is>
          <t>Not disclosed</t>
        </is>
      </c>
      <c r="I103" s="403" t="n">
        <v>45128</v>
      </c>
      <c r="J103" s="353" t="n">
        <v>2023</v>
      </c>
      <c r="K103" s="353" t="inlineStr">
        <is>
          <t>M&amp;A</t>
        </is>
      </c>
      <c r="L103" s="353" t="inlineStr">
        <is>
          <t>100% share acquisition</t>
        </is>
      </c>
      <c r="M103" s="353" t="inlineStr">
        <is>
          <t>Completed</t>
        </is>
      </c>
      <c r="N103" s="353" t="inlineStr">
        <is>
          <t>Not disclosed</t>
        </is>
      </c>
      <c r="O103" s="353" t="inlineStr">
        <is>
          <t>Not disclosed</t>
        </is>
      </c>
      <c r="P103" s="353" t="inlineStr">
        <is>
          <t>Hardware</t>
        </is>
      </c>
      <c r="Q103" s="353" t="inlineStr">
        <is>
          <t>Aerospace Materials &amp; Components</t>
        </is>
      </c>
      <c r="R103" s="353" t="inlineStr">
        <is>
          <t>Core A&amp;D</t>
        </is>
      </c>
      <c r="S103" s="353" t="inlineStr">
        <is>
          <t>Artemis develops optical thin-film coatings and protection systems for defence and aerospace applications.</t>
        </is>
      </c>
      <c r="T103" s="353" t="inlineStr">
        <is>
          <t>Verified — primary source</t>
        </is>
      </c>
      <c r="U103" s="353" t="inlineStr">
        <is>
          <t>https://www.investegate.co.uk/announcement/rns/gooch-housego--ghh/acquisition-of-artemis-optical/7640853</t>
        </is>
      </c>
      <c r="V103" s="353" t="inlineStr">
        <is>
          <t>Verified — primary source</t>
        </is>
      </c>
      <c r="W103" s="353" t="inlineStr">
        <is>
          <t>Retain as completed acquisition of the entire issued share capital.</t>
        </is>
      </c>
    </row>
    <row r="104" ht="45" customHeight="1">
      <c r="A104" s="353" t="inlineStr">
        <is>
          <t>EUR-014</t>
        </is>
      </c>
      <c r="B104" s="353" t="inlineStr">
        <is>
          <t>Europe</t>
        </is>
      </c>
      <c r="C104" s="353" t="inlineStr">
        <is>
          <t>Spain</t>
        </is>
      </c>
      <c r="D104" s="353" t="inlineStr">
        <is>
          <t>EXPAL Systems S.A.U.</t>
        </is>
      </c>
      <c r="E104" s="353" t="inlineStr">
        <is>
          <t>Rheinmetall AG</t>
        </is>
      </c>
      <c r="F104" s="353" t="inlineStr">
        <is>
          <t>Germany</t>
        </is>
      </c>
      <c r="G104" s="353" t="inlineStr">
        <is>
          <t>MaxamCorp Holding S.L.</t>
        </is>
      </c>
      <c r="H104" s="403" t="inlineStr">
        <is>
          <t>Not disclosed</t>
        </is>
      </c>
      <c r="I104" s="403" t="n">
        <v>45139</v>
      </c>
      <c r="J104" s="353" t="n">
        <v>2023</v>
      </c>
      <c r="K104" s="353" t="inlineStr">
        <is>
          <t>M&amp;A</t>
        </is>
      </c>
      <c r="L104" s="353" t="inlineStr">
        <is>
          <t>100% share acquisition / corporate divestiture</t>
        </is>
      </c>
      <c r="M104" s="353" t="inlineStr">
        <is>
          <t>Completed</t>
        </is>
      </c>
      <c r="N104" s="353" t="inlineStr">
        <is>
          <t>Not disclosed</t>
        </is>
      </c>
      <c r="O104" s="353" t="inlineStr">
        <is>
          <t>EUR</t>
        </is>
      </c>
      <c r="P104" s="353" t="inlineStr">
        <is>
          <t>Hardware</t>
        </is>
      </c>
      <c r="Q104" s="353" t="inlineStr">
        <is>
          <t>Ammunition &amp; Weapons</t>
        </is>
      </c>
      <c r="R104" s="353" t="inlineStr">
        <is>
          <t>Core A&amp;D</t>
        </is>
      </c>
      <c r="S104" s="353" t="inlineStr">
        <is>
          <t>EXPAL is a defence ammunition and weapons-systems producer with multiple Spanish defence-production sites.</t>
        </is>
      </c>
      <c r="T104" s="353" t="inlineStr">
        <is>
          <t>Verified — primary source</t>
        </is>
      </c>
      <c r="U104" s="353" t="inlineStr">
        <is>
          <t>https://www.rheinmetall.com/en/media/news-watch/news/2023/8/2023-08-01-rheinmetall-completes-acquisition-of-spanish-defence-contractor-expal-systems</t>
        </is>
      </c>
      <c r="V104" s="353" t="inlineStr">
        <is>
          <t>Verified — primary source</t>
        </is>
      </c>
      <c r="W104" s="353" t="inlineStr">
        <is>
          <t>Correct completion date is 1 August 2023, not 31 July.</t>
        </is>
      </c>
    </row>
    <row r="105" ht="45" customHeight="1">
      <c r="A105" s="353" t="inlineStr">
        <is>
          <t>EUR-015</t>
        </is>
      </c>
      <c r="B105" s="353" t="inlineStr">
        <is>
          <t>Europe</t>
        </is>
      </c>
      <c r="C105" s="353" t="inlineStr">
        <is>
          <t>Italy</t>
        </is>
      </c>
      <c r="D105" s="353" t="inlineStr">
        <is>
          <t>Porto Aviation Group S.p.A.</t>
        </is>
      </c>
      <c r="E105" s="353" t="inlineStr">
        <is>
          <t>Public market investors</t>
        </is>
      </c>
      <c r="F105" s="353" t="inlineStr">
        <is>
          <t>N/A — IPO</t>
        </is>
      </c>
      <c r="G105" s="353" t="inlineStr">
        <is>
          <t>N/A — IPO</t>
        </is>
      </c>
      <c r="H105" s="403" t="inlineStr">
        <is>
          <t>Not disclosed</t>
        </is>
      </c>
      <c r="I105" s="403" t="n">
        <v>45142</v>
      </c>
      <c r="J105" s="353" t="n">
        <v>2023</v>
      </c>
      <c r="K105" s="353" t="inlineStr">
        <is>
          <t>IPO</t>
        </is>
      </c>
      <c r="L105" s="353" t="inlineStr">
        <is>
          <t>Euronext Growth Milan listing following private placement</t>
        </is>
      </c>
      <c r="M105" s="353" t="inlineStr">
        <is>
          <t>Completed</t>
        </is>
      </c>
      <c r="N105" s="353" t="inlineStr">
        <is>
          <t>Not disclosed</t>
        </is>
      </c>
      <c r="O105" s="353" t="inlineStr">
        <is>
          <t>Not disclosed</t>
        </is>
      </c>
      <c r="P105" s="353" t="inlineStr">
        <is>
          <t>Hardware</t>
        </is>
      </c>
      <c r="Q105" s="353" t="inlineStr">
        <is>
          <t>Aerospace Platforms &amp; Components</t>
        </is>
      </c>
      <c r="R105" s="353" t="inlineStr">
        <is>
          <t>Core A&amp;D</t>
        </is>
      </c>
      <c r="S105" s="353" t="inlineStr">
        <is>
          <t>Porto Aviation designs and manufactures aircraft; its primary business is civil aerospace technology.</t>
        </is>
      </c>
      <c r="T105" s="353" t="inlineStr">
        <is>
          <t>Verified — primary source</t>
        </is>
      </c>
      <c r="U105" s="353" t="inlineStr">
        <is>
          <t>https://www.euronext.com/en/about/media/euronext-press-releases/porto-aviation-group-lists-euronext-growth-milan</t>
        </is>
      </c>
      <c r="V105" s="353" t="inlineStr">
        <is>
          <t>Verified — primary source</t>
        </is>
      </c>
      <c r="W105" s="353" t="inlineStr">
        <is>
          <t>Retain, but label as a private-placement-backed Euronext Growth listing rather than an undifferentiated IPO.</t>
        </is>
      </c>
    </row>
    <row r="106" ht="45" customHeight="1">
      <c r="A106" s="353" t="inlineStr">
        <is>
          <t>EUR-016</t>
        </is>
      </c>
      <c r="B106" s="353" t="inlineStr">
        <is>
          <t>Europe</t>
        </is>
      </c>
      <c r="C106" s="353" t="inlineStr">
        <is>
          <t>United Kingdom</t>
        </is>
      </c>
      <c r="D106" s="353" t="inlineStr">
        <is>
          <t>Blue Bear Systems Research Ltd</t>
        </is>
      </c>
      <c r="E106" s="353" t="inlineStr">
        <is>
          <t>Saab AB</t>
        </is>
      </c>
      <c r="F106" s="353" t="inlineStr">
        <is>
          <t>Sweden</t>
        </is>
      </c>
      <c r="G106" s="353" t="inlineStr">
        <is>
          <t>Not disclosed</t>
        </is>
      </c>
      <c r="H106" s="403" t="inlineStr">
        <is>
          <t>Not disclosed</t>
        </is>
      </c>
      <c r="I106" s="403" t="n">
        <v>45169</v>
      </c>
      <c r="J106" s="353" t="n">
        <v>2023</v>
      </c>
      <c r="K106" s="353" t="inlineStr">
        <is>
          <t>M&amp;A</t>
        </is>
      </c>
      <c r="L106" s="353" t="inlineStr">
        <is>
          <t>100% share acquisition</t>
        </is>
      </c>
      <c r="M106" s="353" t="inlineStr">
        <is>
          <t>Completed</t>
        </is>
      </c>
      <c r="N106" s="353" t="inlineStr">
        <is>
          <t>Not disclosed</t>
        </is>
      </c>
      <c r="O106" s="353" t="inlineStr">
        <is>
          <t>Not disclosed</t>
        </is>
      </c>
      <c r="P106" s="353" t="inlineStr">
        <is>
          <t>Hardware / Software</t>
        </is>
      </c>
      <c r="Q106" s="353" t="inlineStr">
        <is>
          <t>UAVs &amp; Autonomous Systems</t>
        </is>
      </c>
      <c r="R106" s="353" t="inlineStr">
        <is>
          <t>Core A&amp;D</t>
        </is>
      </c>
      <c r="S106" s="353" t="inlineStr">
        <is>
          <t>Blue Bear develops autonomous-system and UAV swarm technologies for defence and complex aerospace applications.</t>
        </is>
      </c>
      <c r="T106" s="353" t="inlineStr">
        <is>
          <t>Verified — primary source</t>
        </is>
      </c>
      <c r="U106" s="353" t="inlineStr">
        <is>
          <t>https://www.saab.com/newsroom/press-releases/2023/saab-acquires-bluebear</t>
        </is>
      </c>
      <c r="V106" s="353" t="inlineStr">
        <is>
          <t>Verified — primary source</t>
        </is>
      </c>
      <c r="W106" s="353" t="inlineStr">
        <is>
          <t>Retain as a completed acquisition of all shares.</t>
        </is>
      </c>
    </row>
    <row r="107" ht="45" customHeight="1">
      <c r="A107" s="353" t="inlineStr">
        <is>
          <t>EUR-017</t>
        </is>
      </c>
      <c r="B107" s="353" t="inlineStr">
        <is>
          <t>Europe</t>
        </is>
      </c>
      <c r="C107" s="353" t="inlineStr">
        <is>
          <t>Spain</t>
        </is>
      </c>
      <c r="D107" s="353" t="inlineStr">
        <is>
          <t>Epicom S.A.</t>
        </is>
      </c>
      <c r="E107" s="353" t="inlineStr">
        <is>
          <t>Indra Sistemas S.A. and Grupo Oesía</t>
        </is>
      </c>
      <c r="F107" s="353" t="inlineStr">
        <is>
          <t>Spain</t>
        </is>
      </c>
      <c r="G107" s="353" t="inlineStr">
        <is>
          <t>SEPI</t>
        </is>
      </c>
      <c r="H107" s="403" t="inlineStr">
        <is>
          <t>Not disclosed</t>
        </is>
      </c>
      <c r="I107" s="403" t="n">
        <v>45191</v>
      </c>
      <c r="J107" s="353" t="n">
        <v>2023</v>
      </c>
      <c r="K107" s="353" t="inlineStr">
        <is>
          <t>M&amp;A</t>
        </is>
      </c>
      <c r="L107" s="353" t="inlineStr">
        <is>
          <t>Joint majority/control acquisition</t>
        </is>
      </c>
      <c r="M107" s="353" t="inlineStr">
        <is>
          <t>Completed</t>
        </is>
      </c>
      <c r="N107" s="353" t="inlineStr">
        <is>
          <t>Not disclosed</t>
        </is>
      </c>
      <c r="O107" s="353" t="inlineStr">
        <is>
          <t>Not disclosed</t>
        </is>
      </c>
      <c r="P107" s="353" t="inlineStr">
        <is>
          <t>Hardware / Software</t>
        </is>
      </c>
      <c r="Q107" s="353" t="inlineStr">
        <is>
          <t>Cyber &amp; Digital Defence</t>
        </is>
      </c>
      <c r="R107" s="353" t="inlineStr">
        <is>
          <t>Core A&amp;D</t>
        </is>
      </c>
      <c r="S107" s="353" t="inlineStr">
        <is>
          <t>Epicom develops sovereign encryption and secure-communications systems for defence and government customers.</t>
        </is>
      </c>
      <c r="T107" s="353" t="inlineStr">
        <is>
          <t>Verified — primary source</t>
        </is>
      </c>
      <c r="U107" s="353" t="inlineStr">
        <is>
          <t>https://www.indragroup.com/en/news/indra-oesia-acquire-60-epicom-equal-shares</t>
        </is>
      </c>
      <c r="V107" s="353" t="inlineStr">
        <is>
          <t>Verified — primary source</t>
        </is>
      </c>
      <c r="W107" s="353" t="inlineStr">
        <is>
          <t>Correct the acquirer and structure: Indra and Grupo Oesía jointly acquired 60%; SEPI retained 40%.</t>
        </is>
      </c>
    </row>
    <row r="108" ht="45" customHeight="1">
      <c r="A108" s="353" t="inlineStr">
        <is>
          <t>EUR-018</t>
        </is>
      </c>
      <c r="B108" s="353" t="inlineStr">
        <is>
          <t>Europe</t>
        </is>
      </c>
      <c r="C108" s="353" t="inlineStr">
        <is>
          <t>United Kingdom</t>
        </is>
      </c>
      <c r="D108" s="353" t="inlineStr">
        <is>
          <t>OneWeb Holdings Limited</t>
        </is>
      </c>
      <c r="E108" s="353" t="inlineStr">
        <is>
          <t>Eutelsat Communications S.A.</t>
        </is>
      </c>
      <c r="F108" s="353" t="inlineStr">
        <is>
          <t>France</t>
        </is>
      </c>
      <c r="G108" s="353" t="inlineStr">
        <is>
          <t>Not disclosed</t>
        </is>
      </c>
      <c r="H108" s="403" t="inlineStr">
        <is>
          <t>Not disclosed</t>
        </is>
      </c>
      <c r="I108" s="403" t="n">
        <v>45197</v>
      </c>
      <c r="J108" s="353" t="n">
        <v>2023</v>
      </c>
      <c r="K108" s="353" t="inlineStr">
        <is>
          <t>M&amp;A</t>
        </is>
      </c>
      <c r="L108" s="353" t="inlineStr">
        <is>
          <t>All-share business combination resulting in control and full consolidation</t>
        </is>
      </c>
      <c r="M108" s="353" t="inlineStr">
        <is>
          <t>Completed</t>
        </is>
      </c>
      <c r="N108" s="353" t="inlineStr">
        <is>
          <t>Not disclosed</t>
        </is>
      </c>
      <c r="O108" s="353" t="inlineStr">
        <is>
          <t>Not disclosed</t>
        </is>
      </c>
      <c r="P108" s="353" t="inlineStr">
        <is>
          <t>Hardware / Software / Services</t>
        </is>
      </c>
      <c r="Q108" s="353" t="inlineStr">
        <is>
          <t>Space &amp; Satellite Systems</t>
        </is>
      </c>
      <c r="R108" s="353" t="inlineStr">
        <is>
          <t>Core A&amp;D</t>
        </is>
      </c>
      <c r="S108" s="353" t="inlineStr">
        <is>
          <t>OneWeb operates a low-Earth-orbit satellite constellation and satellite-communications network, a core space-technology business.</t>
        </is>
      </c>
      <c r="T108" s="353" t="inlineStr">
        <is>
          <t>Verified — primary source</t>
        </is>
      </c>
      <c r="U108" s="353" t="inlineStr">
        <is>
          <t>https://www.eutelsat.com/files/PR_2335_Day%201%20clean%20Wednesday%2028%20September%20-%20CLEAN%20%281%29.pdf</t>
        </is>
      </c>
      <c r="V108" s="353" t="inlineStr">
        <is>
          <t>Verified — primary source</t>
        </is>
      </c>
      <c r="W108" s="353" t="inlineStr">
        <is>
          <t>Use OneWeb Holdings as target and describe the event as an all-share combination, not a conventional cash full acquisition.</t>
        </is>
      </c>
    </row>
    <row r="109" ht="45" customHeight="1">
      <c r="A109" s="353" t="inlineStr">
        <is>
          <t>EUR-019</t>
        </is>
      </c>
      <c r="B109" s="353" t="inlineStr">
        <is>
          <t>Europe</t>
        </is>
      </c>
      <c r="C109" s="353" t="inlineStr">
        <is>
          <t>United Kingdom</t>
        </is>
      </c>
      <c r="D109" s="353" t="inlineStr">
        <is>
          <t>Park Air Systems Ltd</t>
        </is>
      </c>
      <c r="E109" s="353" t="inlineStr">
        <is>
          <t>Indra Sistemas S.A.</t>
        </is>
      </c>
      <c r="F109" s="353" t="inlineStr">
        <is>
          <t>Spain</t>
        </is>
      </c>
      <c r="G109" s="353" t="inlineStr">
        <is>
          <t>Northrop Grumman</t>
        </is>
      </c>
      <c r="H109" s="403" t="inlineStr">
        <is>
          <t>Not disclosed</t>
        </is>
      </c>
      <c r="I109" s="403" t="n">
        <v>45198</v>
      </c>
      <c r="J109" s="353" t="n">
        <v>2023</v>
      </c>
      <c r="K109" s="353" t="inlineStr">
        <is>
          <t>M&amp;A</t>
        </is>
      </c>
      <c r="L109" s="353" t="inlineStr">
        <is>
          <t>100% share acquisition / corporate divestiture</t>
        </is>
      </c>
      <c r="M109" s="353" t="inlineStr">
        <is>
          <t>Completed</t>
        </is>
      </c>
      <c r="N109" s="353" t="inlineStr">
        <is>
          <t>Not disclosed</t>
        </is>
      </c>
      <c r="O109" s="353" t="inlineStr">
        <is>
          <t>EUR</t>
        </is>
      </c>
      <c r="P109" s="353" t="inlineStr">
        <is>
          <t>Hardware / Software / Services</t>
        </is>
      </c>
      <c r="Q109" s="353" t="inlineStr">
        <is>
          <t>Air Traffic Management &amp; Communications</t>
        </is>
      </c>
      <c r="R109" s="353" t="inlineStr">
        <is>
          <t>Core A&amp;D</t>
        </is>
      </c>
      <c r="S109" s="353" t="inlineStr">
        <is>
          <t>Park Air manufactures ground-to-air communications systems for civil and military air-traffic management and defence customers.</t>
        </is>
      </c>
      <c r="T109" s="353" t="inlineStr">
        <is>
          <t>Verified — primary source</t>
        </is>
      </c>
      <c r="U109" s="353" t="inlineStr">
        <is>
          <t>https://www.indragroup.com/cms-content/importacion/indra_sistemas_and_subsidiaries_2023.pdf</t>
        </is>
      </c>
      <c r="V109" s="353" t="inlineStr">
        <is>
          <t>Verified — primary source</t>
        </is>
      </c>
      <c r="W109" s="353" t="inlineStr">
        <is>
          <t>Correct completion date is 29 September 2023, not the 3 October announcement date.</t>
        </is>
      </c>
    </row>
    <row r="110" ht="45" customHeight="1">
      <c r="A110" s="353" t="inlineStr">
        <is>
          <t>EUR-020</t>
        </is>
      </c>
      <c r="B110" s="353" t="inlineStr">
        <is>
          <t>Europe</t>
        </is>
      </c>
      <c r="C110" s="353" t="inlineStr">
        <is>
          <t>France</t>
        </is>
      </c>
      <c r="D110" s="353" t="inlineStr">
        <is>
          <t>Thales aeronautical electrical systems business</t>
        </is>
      </c>
      <c r="E110" s="353" t="inlineStr">
        <is>
          <t>Safran Electrical &amp; Power</t>
        </is>
      </c>
      <c r="F110" s="353" t="inlineStr">
        <is>
          <t>France</t>
        </is>
      </c>
      <c r="G110" s="353" t="inlineStr">
        <is>
          <t>Thales S.A.</t>
        </is>
      </c>
      <c r="H110" s="403" t="n">
        <v>44809</v>
      </c>
      <c r="I110" s="403" t="n">
        <v>45201</v>
      </c>
      <c r="J110" s="353" t="n">
        <v>2023</v>
      </c>
      <c r="K110" s="353" t="inlineStr">
        <is>
          <t>M&amp;A</t>
        </is>
      </c>
      <c r="L110" s="353" t="inlineStr">
        <is>
          <t>Identifiable operating-business acquisition / corporate divestiture</t>
        </is>
      </c>
      <c r="M110" s="353" t="inlineStr">
        <is>
          <t>Completed</t>
        </is>
      </c>
      <c r="N110" s="353" t="inlineStr">
        <is>
          <t>Not disclosed</t>
        </is>
      </c>
      <c r="O110" s="353" t="inlineStr">
        <is>
          <t>Not disclosed</t>
        </is>
      </c>
      <c r="P110" s="353" t="inlineStr">
        <is>
          <t>Hardware / Services</t>
        </is>
      </c>
      <c r="Q110" s="353" t="inlineStr">
        <is>
          <t>Power, Propulsion &amp; Energy</t>
        </is>
      </c>
      <c r="R110" s="353" t="inlineStr">
        <is>
          <t>Core A&amp;D</t>
        </is>
      </c>
      <c r="S110" s="353" t="inlineStr">
        <is>
          <t>The acquired business designs electric conversion, power generation and motors for civil and military aircraft and generated EUR145m revenue in 2022.</t>
        </is>
      </c>
      <c r="T110" s="353" t="inlineStr">
        <is>
          <t>Verified — primary source</t>
        </is>
      </c>
      <c r="U110" s="353" t="inlineStr">
        <is>
          <t>https://www.safran-group.com/pressroom/safran-acquires-thales-aeronautical-electrical-systems-activities-2023-10-02</t>
        </is>
      </c>
      <c r="V110" s="353" t="inlineStr">
        <is>
          <t>Verified — primary source</t>
        </is>
      </c>
      <c r="W110" s="353" t="inlineStr">
        <is>
          <t>Confirmed omitted completed acquisition of an identifiable aerospace operating business.</t>
        </is>
      </c>
    </row>
    <row r="111" ht="45" customHeight="1">
      <c r="A111" s="353" t="inlineStr">
        <is>
          <t>EUR-021</t>
        </is>
      </c>
      <c r="B111" s="353" t="inlineStr">
        <is>
          <t>Europe</t>
        </is>
      </c>
      <c r="C111" s="353" t="inlineStr">
        <is>
          <t>Poland</t>
        </is>
      </c>
      <c r="D111" s="353" t="inlineStr">
        <is>
          <t>Scanway S.A.</t>
        </is>
      </c>
      <c r="E111" s="353" t="inlineStr">
        <is>
          <t>Public market investors</t>
        </is>
      </c>
      <c r="F111" s="353" t="inlineStr">
        <is>
          <t>N/A — IPO</t>
        </is>
      </c>
      <c r="G111" s="353" t="inlineStr">
        <is>
          <t>N/A — IPO</t>
        </is>
      </c>
      <c r="H111" s="403" t="n">
        <v>45208</v>
      </c>
      <c r="I111" s="403" t="n">
        <v>45210</v>
      </c>
      <c r="J111" s="353" t="n">
        <v>2023</v>
      </c>
      <c r="K111" s="353" t="inlineStr">
        <is>
          <t>IPO</t>
        </is>
      </c>
      <c r="L111" s="353" t="inlineStr">
        <is>
          <t>Public offering followed by NewConnect listing</t>
        </is>
      </c>
      <c r="M111" s="353" t="inlineStr">
        <is>
          <t>Completed</t>
        </is>
      </c>
      <c r="N111" s="353" t="inlineStr">
        <is>
          <t>Not disclosed</t>
        </is>
      </c>
      <c r="O111" s="353" t="inlineStr">
        <is>
          <t>PLN</t>
        </is>
      </c>
      <c r="P111" s="353" t="inlineStr">
        <is>
          <t>Hardware / Software</t>
        </is>
      </c>
      <c r="Q111" s="353" t="inlineStr">
        <is>
          <t>Space &amp; Satellite Systems</t>
        </is>
      </c>
      <c r="R111" s="353" t="inlineStr">
        <is>
          <t>Core A&amp;D</t>
        </is>
      </c>
      <c r="S111" s="353" t="inlineStr">
        <is>
          <t>Scanway designs optical instruments for space observation; space technology is a primary operating line alongside industrial vision systems.</t>
        </is>
      </c>
      <c r="T111" s="353" t="inlineStr">
        <is>
          <t>Verified — primary source</t>
        </is>
      </c>
      <c r="U111" s="353" t="inlineStr">
        <is>
          <t>https://scanway.pl/en/space-company-scanways-debut-on-newconnect-is-set-for-11-october/</t>
        </is>
      </c>
      <c r="V111" s="353" t="inlineStr">
        <is>
          <t>Verified — primary source</t>
        </is>
      </c>
      <c r="W111" s="353" t="inlineStr">
        <is>
          <t>Retain; 11 October is the first-trading date, while the public offering itself was completed in June 2023.</t>
        </is>
      </c>
    </row>
    <row r="112" ht="45" customHeight="1">
      <c r="A112" s="353" t="inlineStr">
        <is>
          <t>EUR-022</t>
        </is>
      </c>
      <c r="B112" s="353" t="inlineStr">
        <is>
          <t>Europe</t>
        </is>
      </c>
      <c r="C112" s="353" t="inlineStr">
        <is>
          <t>France</t>
        </is>
      </c>
      <c r="D112" s="353" t="inlineStr">
        <is>
          <t>Elexo SAS</t>
        </is>
      </c>
      <c r="E112" s="353" t="inlineStr">
        <is>
          <t>Logic Instrument S.A.</t>
        </is>
      </c>
      <c r="F112" s="353" t="inlineStr">
        <is>
          <t>France</t>
        </is>
      </c>
      <c r="G112" s="353" t="inlineStr">
        <is>
          <t>Atos SE</t>
        </is>
      </c>
      <c r="H112" s="403" t="inlineStr">
        <is>
          <t>Not disclosed</t>
        </is>
      </c>
      <c r="I112" s="403" t="n">
        <v>45230</v>
      </c>
      <c r="J112" s="353" t="n">
        <v>2023</v>
      </c>
      <c r="K112" s="353" t="inlineStr">
        <is>
          <t>M&amp;A</t>
        </is>
      </c>
      <c r="L112" s="353" t="inlineStr">
        <is>
          <t>100% share acquisition / corporate divestiture</t>
        </is>
      </c>
      <c r="M112" s="353" t="inlineStr">
        <is>
          <t>Completed</t>
        </is>
      </c>
      <c r="N112" s="353" t="inlineStr">
        <is>
          <t>Not disclosed</t>
        </is>
      </c>
      <c r="O112" s="353" t="inlineStr">
        <is>
          <t>Not disclosed</t>
        </is>
      </c>
      <c r="P112" s="353" t="inlineStr">
        <is>
          <t>Hardware / Services</t>
        </is>
      </c>
      <c r="Q112" s="353" t="inlineStr">
        <is>
          <t>Defence Computing &amp; Rugged Systems</t>
        </is>
      </c>
      <c r="R112" s="353" t="inlineStr">
        <is>
          <t>Core A&amp;D</t>
        </is>
      </c>
      <c r="S112" s="353" t="inlineStr">
        <is>
          <t>Elexo is a defence-focused distributor and integrator of rugged mobile computing, test, network-security and telecom systems for critical environments.</t>
        </is>
      </c>
      <c r="T112" s="353" t="inlineStr">
        <is>
          <t>Verified — primary source</t>
        </is>
      </c>
      <c r="U112" s="353" t="inlineStr">
        <is>
          <t>https://logic-instrument.com/en/logic-instrument-announces-the-definitive-acquisition-on-october-31-of-100-of-the-shares-of-elexo-a-subsidiary-of-the-atos-group/</t>
        </is>
      </c>
      <c r="V112" s="353" t="inlineStr">
        <is>
          <t>Verified — primary source</t>
        </is>
      </c>
      <c r="W112" s="353" t="inlineStr">
        <is>
          <t>Correct completion date is 31 October 2023, not 31 December; remove the unverified value pending source closure.</t>
        </is>
      </c>
    </row>
    <row r="113" ht="45" customHeight="1">
      <c r="A113" s="353" t="inlineStr">
        <is>
          <t>EUR-023</t>
        </is>
      </c>
      <c r="B113" s="353" t="inlineStr">
        <is>
          <t>Europe</t>
        </is>
      </c>
      <c r="C113" s="353" t="inlineStr">
        <is>
          <t>United Kingdom</t>
        </is>
      </c>
      <c r="D113" s="353" t="inlineStr">
        <is>
          <t>Malloy Aeronautics Ltd</t>
        </is>
      </c>
      <c r="E113" s="353" t="inlineStr">
        <is>
          <t>BAE Systems plc</t>
        </is>
      </c>
      <c r="F113" s="353" t="inlineStr">
        <is>
          <t>United Kingdom</t>
        </is>
      </c>
      <c r="G113" s="353" t="inlineStr">
        <is>
          <t>Malloy Aeronautics shareholders</t>
        </is>
      </c>
      <c r="H113" s="403" t="inlineStr">
        <is>
          <t>Not disclosed</t>
        </is>
      </c>
      <c r="I113" s="403" t="n">
        <v>45322</v>
      </c>
      <c r="J113" s="353" t="n">
        <v>2024</v>
      </c>
      <c r="K113" s="353" t="inlineStr">
        <is>
          <t>M&amp;A</t>
        </is>
      </c>
      <c r="L113" s="353" t="inlineStr">
        <is>
          <t>100% share acquisition</t>
        </is>
      </c>
      <c r="M113" s="353" t="inlineStr">
        <is>
          <t>Completed</t>
        </is>
      </c>
      <c r="N113" s="353" t="inlineStr">
        <is>
          <t>Not disclosed</t>
        </is>
      </c>
      <c r="O113" s="353" t="inlineStr">
        <is>
          <t>Not disclosed</t>
        </is>
      </c>
      <c r="P113" s="353" t="inlineStr">
        <is>
          <t>Hardware / Software</t>
        </is>
      </c>
      <c r="Q113" s="353" t="inlineStr">
        <is>
          <t>UAVs &amp; Autonomous Systems</t>
        </is>
      </c>
      <c r="R113" s="353" t="inlineStr">
        <is>
          <t>Core A&amp;D</t>
        </is>
      </c>
      <c r="S113" s="353" t="inlineStr">
        <is>
          <t>Malloy develops heavy-lift uncrewed aerial vehicles for military logistics and autonomous operations.</t>
        </is>
      </c>
      <c r="T113" s="353" t="inlineStr">
        <is>
          <t>Verified — primary source</t>
        </is>
      </c>
      <c r="U113" s="353" t="inlineStr">
        <is>
          <t>https://www.investegate.co.uk/announcement/rns/bae-systems--ba./final-results/8742430</t>
        </is>
      </c>
      <c r="V113" s="353" t="inlineStr">
        <is>
          <t>Verified — primary source</t>
        </is>
      </c>
      <c r="W113" s="353" t="inlineStr">
        <is>
          <t>Retain as a completed 100% control acquisition.</t>
        </is>
      </c>
    </row>
    <row r="114" ht="45" customHeight="1">
      <c r="A114" s="353" t="inlineStr">
        <is>
          <t>EUR-024</t>
        </is>
      </c>
      <c r="B114" s="353" t="inlineStr">
        <is>
          <t>Europe</t>
        </is>
      </c>
      <c r="C114" s="353" t="inlineStr">
        <is>
          <t>Germany</t>
        </is>
      </c>
      <c r="D114" s="353" t="inlineStr">
        <is>
          <t>RENK Group AG</t>
        </is>
      </c>
      <c r="E114" s="353" t="inlineStr">
        <is>
          <t>Public market investors</t>
        </is>
      </c>
      <c r="F114" s="353" t="inlineStr">
        <is>
          <t>N/A — IPO</t>
        </is>
      </c>
      <c r="G114" s="353" t="inlineStr">
        <is>
          <t>Triton</t>
        </is>
      </c>
      <c r="H114" s="403" t="inlineStr">
        <is>
          <t>Not disclosed</t>
        </is>
      </c>
      <c r="I114" s="403" t="n">
        <v>45329</v>
      </c>
      <c r="J114" s="353" t="n">
        <v>2024</v>
      </c>
      <c r="K114" s="353" t="inlineStr">
        <is>
          <t>IPO</t>
        </is>
      </c>
      <c r="L114" s="353" t="inlineStr">
        <is>
          <t>Frankfurt Stock Exchange IPO/listing</t>
        </is>
      </c>
      <c r="M114" s="353" t="inlineStr">
        <is>
          <t>Completed</t>
        </is>
      </c>
      <c r="N114" s="353" t="inlineStr">
        <is>
          <t>Not disclosed</t>
        </is>
      </c>
      <c r="O114" s="353" t="inlineStr">
        <is>
          <t>EUR</t>
        </is>
      </c>
      <c r="P114" s="353" t="inlineStr">
        <is>
          <t>Hardware / Services</t>
        </is>
      </c>
      <c r="Q114" s="353" t="inlineStr">
        <is>
          <t>Power, Propulsion &amp; Energy</t>
        </is>
      </c>
      <c r="R114" s="353" t="inlineStr">
        <is>
          <t>Core A&amp;D</t>
        </is>
      </c>
      <c r="S114" s="353" t="inlineStr">
        <is>
          <t>RENK develops transmissions and propulsion systems with a major focus on military tracked vehicles, naval vessels and defence applications.</t>
        </is>
      </c>
      <c r="T114" s="353" t="inlineStr">
        <is>
          <t>Verified — primary source</t>
        </is>
      </c>
      <c r="U114" s="353" t="inlineStr">
        <is>
          <t>https://www.deutsche-boerse.com/dbg-en/media/news-stories/press-releases/RENK-Group-AG-new-in-the-Prime-Standard-of-the-Frankfurt-Stock-Exchange-3847060</t>
        </is>
      </c>
      <c r="V114" s="353" t="inlineStr">
        <is>
          <t>Verified — primary source</t>
        </is>
      </c>
      <c r="W114" s="353" t="inlineStr">
        <is>
          <t>Retain; listing date and placement volume are exchange-verified.</t>
        </is>
      </c>
    </row>
    <row r="115" ht="45" customHeight="1">
      <c r="A115" s="353" t="inlineStr">
        <is>
          <t>EUR-025</t>
        </is>
      </c>
      <c r="B115" s="353" t="inlineStr">
        <is>
          <t>Europe</t>
        </is>
      </c>
      <c r="C115" s="353" t="inlineStr">
        <is>
          <t>Cyprus</t>
        </is>
      </c>
      <c r="D115" s="353" t="inlineStr">
        <is>
          <t>THEON International Plc</t>
        </is>
      </c>
      <c r="E115" s="353" t="inlineStr">
        <is>
          <t>Public market investors</t>
        </is>
      </c>
      <c r="F115" s="353" t="inlineStr">
        <is>
          <t>N/A — IPO</t>
        </is>
      </c>
      <c r="G115" s="353" t="inlineStr">
        <is>
          <t>N/A — IPO</t>
        </is>
      </c>
      <c r="H115" s="403" t="n">
        <v>45320</v>
      </c>
      <c r="I115" s="403" t="n">
        <v>45329</v>
      </c>
      <c r="J115" s="353" t="n">
        <v>2024</v>
      </c>
      <c r="K115" s="353" t="inlineStr">
        <is>
          <t>IPO</t>
        </is>
      </c>
      <c r="L115" s="353" t="inlineStr">
        <is>
          <t>Euronext Amsterdam IPO/private placement and listing</t>
        </is>
      </c>
      <c r="M115" s="353" t="inlineStr">
        <is>
          <t>Completed</t>
        </is>
      </c>
      <c r="N115" s="353" t="inlineStr">
        <is>
          <t>Not disclosed</t>
        </is>
      </c>
      <c r="O115" s="353" t="inlineStr">
        <is>
          <t>EUR</t>
        </is>
      </c>
      <c r="P115" s="353" t="inlineStr">
        <is>
          <t>Hardware</t>
        </is>
      </c>
      <c r="Q115" s="353" t="inlineStr">
        <is>
          <t>Defence Electronics &amp; Sensors</t>
        </is>
      </c>
      <c r="R115" s="353" t="inlineStr">
        <is>
          <t>Core A&amp;D</t>
        </is>
      </c>
      <c r="S115" s="353" t="inlineStr">
        <is>
          <t>THEON designs and manufactures night-vision and thermal-imaging systems for defence and security; headquarters and main production are in Greece, while the issuer is Cyprus-registered.</t>
        </is>
      </c>
      <c r="T115" s="353" t="inlineStr">
        <is>
          <t>Verified — primary source</t>
        </is>
      </c>
      <c r="U115" s="353" t="inlineStr">
        <is>
          <t>https://www.euronext.com/en/about/media/euronext-press-releases/theon-international-plc-lists-euronext-amsterdam</t>
        </is>
      </c>
      <c r="V115" s="353" t="inlineStr">
        <is>
          <t>Verified — primary source</t>
        </is>
      </c>
      <c r="W115" s="353" t="inlineStr">
        <is>
          <t>Confirmed omitted European defence-technology IPO.</t>
        </is>
      </c>
    </row>
    <row r="116" ht="45" customHeight="1">
      <c r="A116" s="353" t="inlineStr">
        <is>
          <t>EUR-026</t>
        </is>
      </c>
      <c r="B116" s="353" t="inlineStr">
        <is>
          <t>Europe</t>
        </is>
      </c>
      <c r="C116" s="353" t="inlineStr">
        <is>
          <t>France</t>
        </is>
      </c>
      <c r="D116" s="353" t="inlineStr">
        <is>
          <t>Cobham Aerospace Communications</t>
        </is>
      </c>
      <c r="E116" s="353" t="inlineStr">
        <is>
          <t>Thales S.A.</t>
        </is>
      </c>
      <c r="F116" s="353" t="inlineStr">
        <is>
          <t>France</t>
        </is>
      </c>
      <c r="G116" s="353" t="inlineStr">
        <is>
          <t>TransDigm Group</t>
        </is>
      </c>
      <c r="H116" s="403" t="inlineStr">
        <is>
          <t>Not disclosed</t>
        </is>
      </c>
      <c r="I116" s="403" t="n">
        <v>45384</v>
      </c>
      <c r="J116" s="353" t="n">
        <v>2024</v>
      </c>
      <c r="K116" s="353" t="inlineStr">
        <is>
          <t>M&amp;A</t>
        </is>
      </c>
      <c r="L116" s="353" t="inlineStr">
        <is>
          <t>100% operating-business acquisition / corporate divestiture</t>
        </is>
      </c>
      <c r="M116" s="353" t="inlineStr">
        <is>
          <t>Completed</t>
        </is>
      </c>
      <c r="N116" s="353" t="n">
        <v>1100</v>
      </c>
      <c r="O116" s="353" t="inlineStr">
        <is>
          <t>USD</t>
        </is>
      </c>
      <c r="P116" s="353" t="inlineStr">
        <is>
          <t>Hardware / Software</t>
        </is>
      </c>
      <c r="Q116" s="353" t="inlineStr">
        <is>
          <t>Air Traffic Management &amp; Communications</t>
        </is>
      </c>
      <c r="R116" s="353" t="inlineStr">
        <is>
          <t>Core A&amp;D</t>
        </is>
      </c>
      <c r="S116" s="353" t="inlineStr">
        <is>
          <t>Cobham Aerospace Communications develops safety-critical and secure cockpit communications for civil and military aircraft.</t>
        </is>
      </c>
      <c r="T116" s="353" t="inlineStr">
        <is>
          <t>Verified — primary source</t>
        </is>
      </c>
      <c r="U116" s="353" t="inlineStr">
        <is>
          <t>https://www.thalesgroup.com/sites/default/files/investor/documents/Thales_completes_the_acquisition_of_Cobham_Aerospace_Communications___2_April_2024_1.pdf</t>
        </is>
      </c>
      <c r="V116" s="353" t="inlineStr">
        <is>
          <t>Verified — primary source</t>
        </is>
      </c>
      <c r="W116" s="353" t="inlineStr">
        <is>
          <t>Retain as completed acquisition of the aerospace communications operating business.</t>
        </is>
      </c>
    </row>
    <row r="117" ht="45" customHeight="1">
      <c r="A117" s="353" t="inlineStr">
        <is>
          <t>EUR-027</t>
        </is>
      </c>
      <c r="B117" s="353" t="inlineStr">
        <is>
          <t>Europe</t>
        </is>
      </c>
      <c r="C117" s="353" t="inlineStr">
        <is>
          <t>Germany</t>
        </is>
      </c>
      <c r="D117" s="353" t="inlineStr">
        <is>
          <t>ESG Elektroniksystem- und Logistik-GmbH</t>
        </is>
      </c>
      <c r="E117" s="353" t="inlineStr">
        <is>
          <t>HENSOLDT AG</t>
        </is>
      </c>
      <c r="F117" s="353" t="inlineStr">
        <is>
          <t>Germany</t>
        </is>
      </c>
      <c r="G117" s="353" t="inlineStr">
        <is>
          <t>Armira</t>
        </is>
      </c>
      <c r="H117" s="403" t="inlineStr">
        <is>
          <t>Not disclosed</t>
        </is>
      </c>
      <c r="I117" s="403" t="n">
        <v>45384</v>
      </c>
      <c r="J117" s="353" t="n">
        <v>2024</v>
      </c>
      <c r="K117" s="353" t="inlineStr">
        <is>
          <t>M&amp;A</t>
        </is>
      </c>
      <c r="L117" s="353" t="inlineStr">
        <is>
          <t>100% share acquisition</t>
        </is>
      </c>
      <c r="M117" s="353" t="inlineStr">
        <is>
          <t>Completed</t>
        </is>
      </c>
      <c r="N117" s="353" t="inlineStr">
        <is>
          <t>Not disclosed</t>
        </is>
      </c>
      <c r="O117" s="353" t="inlineStr">
        <is>
          <t>EUR</t>
        </is>
      </c>
      <c r="P117" s="353" t="inlineStr">
        <is>
          <t>Software / Services</t>
        </is>
      </c>
      <c r="Q117" s="353" t="inlineStr">
        <is>
          <t>Defence Services &amp; Engineering</t>
        </is>
      </c>
      <c r="R117" s="353" t="inlineStr">
        <is>
          <t>Core A&amp;D</t>
        </is>
      </c>
      <c r="S117" s="353" t="inlineStr">
        <is>
          <t>ESG is a defence-electronics, systems-integration and logistics technology company active in FCAS, F-35, AI and cyber programmes.</t>
        </is>
      </c>
      <c r="T117" s="353" t="inlineStr">
        <is>
          <t>Verified — primary source</t>
        </is>
      </c>
      <c r="U117" s="353" t="inlineStr">
        <is>
          <t>https://investors.hensoldt.net/news/hensoldt-completes-acquisition-of-esg/fc5faac1-65bb-4c36-9dc2-1eed4f010c8b</t>
        </is>
      </c>
      <c r="V117" s="353" t="inlineStr">
        <is>
          <t>Verified — primary source</t>
        </is>
      </c>
      <c r="W117" s="353" t="inlineStr">
        <is>
          <t>Retain; closing effective 2 April 2024.</t>
        </is>
      </c>
    </row>
    <row r="118" ht="45" customHeight="1">
      <c r="A118" s="353" t="inlineStr">
        <is>
          <t>EUR-028</t>
        </is>
      </c>
      <c r="B118" s="353" t="inlineStr">
        <is>
          <t>Europe</t>
        </is>
      </c>
      <c r="C118" s="353" t="inlineStr">
        <is>
          <t>United Kingdom</t>
        </is>
      </c>
      <c r="D118" s="353" t="inlineStr">
        <is>
          <t>Woodford Engineering Consultancy (UK) Ltd</t>
        </is>
      </c>
      <c r="E118" s="353" t="inlineStr">
        <is>
          <t>ALTEN S.A.</t>
        </is>
      </c>
      <c r="F118" s="353" t="inlineStr">
        <is>
          <t>France</t>
        </is>
      </c>
      <c r="G118" s="353" t="inlineStr">
        <is>
          <t>Not disclosed</t>
        </is>
      </c>
      <c r="H118" s="403" t="inlineStr">
        <is>
          <t>Not disclosed</t>
        </is>
      </c>
      <c r="I118" s="403" t="n">
        <v>45408</v>
      </c>
      <c r="J118" s="353" t="n">
        <v>2024</v>
      </c>
      <c r="K118" s="353" t="inlineStr">
        <is>
          <t>M&amp;A</t>
        </is>
      </c>
      <c r="L118" s="353" t="inlineStr">
        <is>
          <t>100% share acquisition</t>
        </is>
      </c>
      <c r="M118" s="353" t="inlineStr">
        <is>
          <t>Completed</t>
        </is>
      </c>
      <c r="N118" s="353" t="inlineStr">
        <is>
          <t>Not disclosed</t>
        </is>
      </c>
      <c r="O118" s="353" t="inlineStr">
        <is>
          <t>GBP</t>
        </is>
      </c>
      <c r="P118" s="353" t="inlineStr">
        <is>
          <t>Services</t>
        </is>
      </c>
      <c r="Q118" s="353" t="inlineStr">
        <is>
          <t>Defence Services &amp; Engineering</t>
        </is>
      </c>
      <c r="R118" s="353" t="inlineStr">
        <is>
          <t>Core A&amp;D</t>
        </is>
      </c>
      <c r="S118" s="353" t="inlineStr">
        <is>
          <t>Woodford is an aerospace engineering consultancy focused on aircraft design, certification and technical services.</t>
        </is>
      </c>
      <c r="T118" s="353" t="inlineStr">
        <is>
          <t>Verified — primary source</t>
        </is>
      </c>
      <c r="U118" s="353" t="inlineStr">
        <is>
          <t>https://www.alten.com/wp-content/uploads/2025/09/2024_Universal_Registration_Document-accessibility.pdf</t>
        </is>
      </c>
      <c r="V118" s="353" t="inlineStr">
        <is>
          <t>Verified — primary source</t>
        </is>
      </c>
      <c r="W118" s="353" t="inlineStr">
        <is>
          <t>Correct acquisition date is 26 April 2024, not 8 July.</t>
        </is>
      </c>
    </row>
    <row r="119" ht="45" customHeight="1">
      <c r="A119" s="353" t="inlineStr">
        <is>
          <t>EUR-029</t>
        </is>
      </c>
      <c r="B119" s="353" t="inlineStr">
        <is>
          <t>Europe</t>
        </is>
      </c>
      <c r="C119" s="353" t="inlineStr">
        <is>
          <t>United Kingdom</t>
        </is>
      </c>
      <c r="D119" s="353" t="inlineStr">
        <is>
          <t>Mabway Ltd</t>
        </is>
      </c>
      <c r="E119" s="353" t="inlineStr">
        <is>
          <t>Calian Group Ltd.</t>
        </is>
      </c>
      <c r="F119" s="353" t="inlineStr">
        <is>
          <t>Canada</t>
        </is>
      </c>
      <c r="G119" s="353" t="inlineStr">
        <is>
          <t>Not disclosed</t>
        </is>
      </c>
      <c r="H119" s="403" t="inlineStr">
        <is>
          <t>Not disclosed</t>
        </is>
      </c>
      <c r="I119" s="403" t="n">
        <v>45421</v>
      </c>
      <c r="J119" s="353" t="n">
        <v>2024</v>
      </c>
      <c r="K119" s="353" t="inlineStr">
        <is>
          <t>M&amp;A</t>
        </is>
      </c>
      <c r="L119" s="353" t="inlineStr">
        <is>
          <t>100% share acquisition</t>
        </is>
      </c>
      <c r="M119" s="353" t="inlineStr">
        <is>
          <t>Completed</t>
        </is>
      </c>
      <c r="N119" s="353" t="inlineStr">
        <is>
          <t>Not disclosed</t>
        </is>
      </c>
      <c r="O119" s="353" t="inlineStr">
        <is>
          <t>Not disclosed</t>
        </is>
      </c>
      <c r="P119" s="353" t="inlineStr">
        <is>
          <t>Services</t>
        </is>
      </c>
      <c r="Q119" s="353" t="inlineStr">
        <is>
          <t>Training &amp; Simulation</t>
        </is>
      </c>
      <c r="R119" s="353" t="inlineStr">
        <is>
          <t>Core A&amp;D</t>
        </is>
      </c>
      <c r="S119" s="353" t="inlineStr">
        <is>
          <t>Mabway provides defence training, simulation, operational support and technical services to armed-forces customers.</t>
        </is>
      </c>
      <c r="T119" s="353" t="inlineStr">
        <is>
          <t>Verified — primary source</t>
        </is>
      </c>
      <c r="U119" s="353" t="inlineStr">
        <is>
          <t>https://www.calian.com/news-media/calian-reports-record-results-for-the-second-quarter/</t>
        </is>
      </c>
      <c r="V119" s="353" t="inlineStr">
        <is>
          <t>Verified — primary source</t>
        </is>
      </c>
      <c r="W119" s="353" t="inlineStr">
        <is>
          <t>Retain; Calian reporting confirms completion in the second quarter on 9 May.</t>
        </is>
      </c>
    </row>
    <row r="120" ht="45" customHeight="1">
      <c r="A120" s="353" t="inlineStr">
        <is>
          <t>EUR-030</t>
        </is>
      </c>
      <c r="B120" s="353" t="inlineStr">
        <is>
          <t>Europe</t>
        </is>
      </c>
      <c r="C120" s="353" t="inlineStr">
        <is>
          <t>France</t>
        </is>
      </c>
      <c r="D120" s="353" t="inlineStr">
        <is>
          <t>AD Industries SAS</t>
        </is>
      </c>
      <c r="E120" s="353" t="inlineStr">
        <is>
          <t>Samvardhana Motherson International Ltd.</t>
        </is>
      </c>
      <c r="F120" s="353" t="inlineStr">
        <is>
          <t>India</t>
        </is>
      </c>
      <c r="G120" s="353" t="inlineStr">
        <is>
          <t>Not disclosed</t>
        </is>
      </c>
      <c r="H120" s="403" t="inlineStr">
        <is>
          <t>Not disclosed</t>
        </is>
      </c>
      <c r="I120" s="403" t="n">
        <v>45425</v>
      </c>
      <c r="J120" s="353" t="n">
        <v>2024</v>
      </c>
      <c r="K120" s="353" t="inlineStr">
        <is>
          <t>M&amp;A</t>
        </is>
      </c>
      <c r="L120" s="353" t="inlineStr">
        <is>
          <t>100% share acquisition</t>
        </is>
      </c>
      <c r="M120" s="353" t="inlineStr">
        <is>
          <t>Completed</t>
        </is>
      </c>
      <c r="N120" s="353" t="inlineStr">
        <is>
          <t>Not disclosed</t>
        </is>
      </c>
      <c r="O120" s="353" t="inlineStr">
        <is>
          <t>EUR</t>
        </is>
      </c>
      <c r="P120" s="353" t="inlineStr">
        <is>
          <t>Hardware</t>
        </is>
      </c>
      <c r="Q120" s="353" t="inlineStr">
        <is>
          <t>Aerospace Materials &amp; Components</t>
        </is>
      </c>
      <c r="R120" s="353" t="inlineStr">
        <is>
          <t>Core A&amp;D</t>
        </is>
      </c>
      <c r="S120" s="353" t="inlineStr">
        <is>
          <t>Motherson describes AD Industries as a group manufacturing components mainly for aero engines, with a smaller healthcare activity.</t>
        </is>
      </c>
      <c r="T120" s="353" t="inlineStr">
        <is>
          <t>Verified — primary source</t>
        </is>
      </c>
      <c r="U120" s="353" t="inlineStr">
        <is>
          <t>https://www.motherson.com/storage/Corporate%20Announcements/FY2024-25/Interim_condensed_consolidated_financial_statements.16.09.24.pdf</t>
        </is>
      </c>
      <c r="V120" s="353" t="inlineStr">
        <is>
          <t>Verified — primary source</t>
        </is>
      </c>
      <c r="W120" s="353" t="inlineStr">
        <is>
          <t>Correct completion date to 13 May and consideration to EUR30.3m plus potential EUR6m, not EUR45m plus EUR10m.</t>
        </is>
      </c>
    </row>
    <row r="121" ht="45" customHeight="1">
      <c r="A121" s="353" t="inlineStr">
        <is>
          <t>EUR-031</t>
        </is>
      </c>
      <c r="B121" s="353" t="inlineStr">
        <is>
          <t>Europe</t>
        </is>
      </c>
      <c r="C121" s="353" t="inlineStr">
        <is>
          <t>Czech Republic</t>
        </is>
      </c>
      <c r="D121" s="353" t="inlineStr">
        <is>
          <t>Sellier &amp; Bellot a.s.</t>
        </is>
      </c>
      <c r="E121" s="353" t="inlineStr">
        <is>
          <t>Colt CZ Group SE</t>
        </is>
      </c>
      <c r="F121" s="353" t="inlineStr">
        <is>
          <t>Czech Republic</t>
        </is>
      </c>
      <c r="G121" s="353" t="inlineStr">
        <is>
          <t>CBC Europe S.à r.l.</t>
        </is>
      </c>
      <c r="H121" s="403" t="inlineStr">
        <is>
          <t>Not disclosed</t>
        </is>
      </c>
      <c r="I121" s="403" t="n">
        <v>45428</v>
      </c>
      <c r="J121" s="353" t="n">
        <v>2024</v>
      </c>
      <c r="K121" s="353" t="inlineStr">
        <is>
          <t>M&amp;A</t>
        </is>
      </c>
      <c r="L121" s="353" t="inlineStr">
        <is>
          <t>100% share acquisition / corporate divestiture</t>
        </is>
      </c>
      <c r="M121" s="353" t="inlineStr">
        <is>
          <t>Completed</t>
        </is>
      </c>
      <c r="N121" s="353" t="n">
        <v>703</v>
      </c>
      <c r="O121" s="353" t="inlineStr">
        <is>
          <t>USD</t>
        </is>
      </c>
      <c r="P121" s="353" t="inlineStr">
        <is>
          <t>Hardware</t>
        </is>
      </c>
      <c r="Q121" s="353" t="inlineStr">
        <is>
          <t>Ammunition &amp; Weapons</t>
        </is>
      </c>
      <c r="R121" s="353" t="inlineStr">
        <is>
          <t>Core A&amp;D</t>
        </is>
      </c>
      <c r="S121" s="353" t="inlineStr">
        <is>
          <t>Sellier &amp; Bellot is an ammunition manufacturer serving military, law-enforcement and commercial markets; ammunition is its primary business.</t>
        </is>
      </c>
      <c r="T121" s="353" t="inlineStr">
        <is>
          <t>Verified — primary source</t>
        </is>
      </c>
      <c r="U121" s="353" t="inlineStr">
        <is>
          <t>https://www.coltczgroup.com/en/media-press-releases/Colt-CZ-Group-SE-announces-closing-of-the-acquisition-of-Sellier-Bellot</t>
        </is>
      </c>
      <c r="V121" s="353" t="inlineStr">
        <is>
          <t>Verified — primary source</t>
        </is>
      </c>
      <c r="W121" s="353" t="inlineStr">
        <is>
          <t>Retain as completed acquisition of 100% of the shares.</t>
        </is>
      </c>
    </row>
    <row r="122" ht="45" customHeight="1">
      <c r="A122" s="353" t="inlineStr">
        <is>
          <t>EUR-032</t>
        </is>
      </c>
      <c r="B122" s="353" t="inlineStr">
        <is>
          <t>Europe</t>
        </is>
      </c>
      <c r="C122" s="353" t="inlineStr">
        <is>
          <t>Sweden</t>
        </is>
      </c>
      <c r="D122" s="353" t="inlineStr">
        <is>
          <t>Airsafe Sweden AB</t>
        </is>
      </c>
      <c r="E122" s="353" t="inlineStr">
        <is>
          <t>Scandinavian Astor Group AB</t>
        </is>
      </c>
      <c r="F122" s="353" t="inlineStr">
        <is>
          <t>Sweden</t>
        </is>
      </c>
      <c r="G122" s="353" t="inlineStr">
        <is>
          <t>Not disclosed</t>
        </is>
      </c>
      <c r="H122" s="403" t="n">
        <v>45391</v>
      </c>
      <c r="I122" s="403" t="n">
        <v>45429</v>
      </c>
      <c r="J122" s="353" t="n">
        <v>2024</v>
      </c>
      <c r="K122" s="353" t="inlineStr">
        <is>
          <t>M&amp;A</t>
        </is>
      </c>
      <c r="L122" s="353" t="inlineStr">
        <is>
          <t>100% share acquisition</t>
        </is>
      </c>
      <c r="M122" s="353" t="inlineStr">
        <is>
          <t>Completed</t>
        </is>
      </c>
      <c r="N122" s="353" t="inlineStr">
        <is>
          <t>Not disclosed</t>
        </is>
      </c>
      <c r="O122" s="353" t="inlineStr">
        <is>
          <t>SEK</t>
        </is>
      </c>
      <c r="P122" s="353" t="inlineStr">
        <is>
          <t>Hardware / Services</t>
        </is>
      </c>
      <c r="Q122" s="353" t="inlineStr">
        <is>
          <t>Aerospace Platforms &amp; Components</t>
        </is>
      </c>
      <c r="R122" s="353" t="inlineStr">
        <is>
          <t>Core A&amp;D</t>
        </is>
      </c>
      <c r="S122" s="353" t="inlineStr">
        <is>
          <t>Airsafe designs and manufactures military and civil aviation-safety equipment, parachute systems, ammunition parts and weapon-system components.</t>
        </is>
      </c>
      <c r="T122" s="353" t="inlineStr">
        <is>
          <t>Verified — primary source</t>
        </is>
      </c>
      <c r="U122" s="353" t="inlineStr">
        <is>
          <t>https://mb.cision.com/Main/22055/3983661/2804807.pdf</t>
        </is>
      </c>
      <c r="V122" s="353" t="inlineStr">
        <is>
          <t>Verified — primary source</t>
        </is>
      </c>
      <c r="W122" s="353" t="inlineStr">
        <is>
          <t>Confirmed omitted completed acquisition.</t>
        </is>
      </c>
    </row>
    <row r="123" ht="45" customHeight="1">
      <c r="A123" s="353" t="inlineStr">
        <is>
          <t>EUR-033</t>
        </is>
      </c>
      <c r="B123" s="353" t="inlineStr">
        <is>
          <t>Europe</t>
        </is>
      </c>
      <c r="C123" s="353" t="inlineStr">
        <is>
          <t>France</t>
        </is>
      </c>
      <c r="D123" s="353" t="inlineStr">
        <is>
          <t>Steel Electronique SAS</t>
        </is>
      </c>
      <c r="E123" s="353" t="inlineStr">
        <is>
          <t>ACTIA Group / ACTIA Aerospace</t>
        </is>
      </c>
      <c r="F123" s="353" t="inlineStr">
        <is>
          <t>France</t>
        </is>
      </c>
      <c r="G123" s="353" t="inlineStr">
        <is>
          <t>Diadem Industries</t>
        </is>
      </c>
      <c r="H123" s="403" t="inlineStr">
        <is>
          <t>Not disclosed</t>
        </is>
      </c>
      <c r="I123" s="403" t="n">
        <v>45435</v>
      </c>
      <c r="J123" s="353" t="n">
        <v>2024</v>
      </c>
      <c r="K123" s="353" t="inlineStr">
        <is>
          <t>M&amp;A</t>
        </is>
      </c>
      <c r="L123" s="353" t="inlineStr">
        <is>
          <t>100% contribution/share-exchange into ACTIA Aerospace</t>
        </is>
      </c>
      <c r="M123" s="353" t="inlineStr">
        <is>
          <t>Completed</t>
        </is>
      </c>
      <c r="N123" s="353" t="inlineStr">
        <is>
          <t>Not disclosed</t>
        </is>
      </c>
      <c r="O123" s="353" t="inlineStr">
        <is>
          <t>EUR</t>
        </is>
      </c>
      <c r="P123" s="353" t="inlineStr">
        <is>
          <t>Hardware / Software</t>
        </is>
      </c>
      <c r="Q123" s="353" t="inlineStr">
        <is>
          <t>Defence Electronics &amp; Sensors</t>
        </is>
      </c>
      <c r="R123" s="353" t="inlineStr">
        <is>
          <t>Core A&amp;D</t>
        </is>
      </c>
      <c r="S123" s="353" t="inlineStr">
        <is>
          <t>Steel Electronique designs and manufactures embedded electronics for space and aerospace customers.</t>
        </is>
      </c>
      <c r="T123" s="353" t="inlineStr">
        <is>
          <t>Verified — primary source</t>
        </is>
      </c>
      <c r="U123" s="353" t="inlineStr">
        <is>
          <t>https://investors.actia.com/en/actia-group-completes-the-merger-with-steel-electronique-2/</t>
        </is>
      </c>
      <c r="V123" s="353" t="inlineStr">
        <is>
          <t>Verified — primary source</t>
        </is>
      </c>
      <c r="W123" s="353" t="inlineStr">
        <is>
          <t>Replace simple divestiture description with a 100% contribution/share exchange; EUR5.7m is not a clean cash purchase price.</t>
        </is>
      </c>
    </row>
    <row r="124" ht="45" customHeight="1">
      <c r="A124" s="353" t="inlineStr">
        <is>
          <t>EUR-034</t>
        </is>
      </c>
      <c r="B124" s="353" t="inlineStr">
        <is>
          <t>Europe</t>
        </is>
      </c>
      <c r="C124" s="353" t="inlineStr">
        <is>
          <t>United Kingdom</t>
        </is>
      </c>
      <c r="D124" s="353" t="inlineStr">
        <is>
          <t>Interactive Technical Solutions Ltd</t>
        </is>
      </c>
      <c r="E124" s="353" t="inlineStr">
        <is>
          <t>Marlborough Communications Ltd / Cohort plc</t>
        </is>
      </c>
      <c r="F124" s="353" t="inlineStr">
        <is>
          <t>United Kingdom</t>
        </is>
      </c>
      <c r="G124" s="353" t="inlineStr">
        <is>
          <t>Cohort</t>
        </is>
      </c>
      <c r="H124" s="403" t="inlineStr">
        <is>
          <t>Not disclosed</t>
        </is>
      </c>
      <c r="I124" s="403" t="n">
        <v>45443</v>
      </c>
      <c r="J124" s="353" t="n">
        <v>2024</v>
      </c>
      <c r="K124" s="353" t="inlineStr">
        <is>
          <t>M&amp;A</t>
        </is>
      </c>
      <c r="L124" s="353" t="inlineStr">
        <is>
          <t>100% share acquisition</t>
        </is>
      </c>
      <c r="M124" s="353" t="inlineStr">
        <is>
          <t>Completed</t>
        </is>
      </c>
      <c r="N124" s="353" t="inlineStr">
        <is>
          <t>Not disclosed</t>
        </is>
      </c>
      <c r="O124" s="353" t="inlineStr">
        <is>
          <t>Not disclosed</t>
        </is>
      </c>
      <c r="P124" s="353" t="inlineStr">
        <is>
          <t>Services</t>
        </is>
      </c>
      <c r="Q124" s="353" t="inlineStr">
        <is>
          <t>Defence Services &amp; Engineering</t>
        </is>
      </c>
      <c r="R124" s="353" t="inlineStr">
        <is>
          <t>Core A&amp;D</t>
        </is>
      </c>
      <c r="S124" s="353" t="inlineStr">
        <is>
          <t>ITS provides technical support, integration and services for military vehicles to the UK Ministry of Defence and defence primes.</t>
        </is>
      </c>
      <c r="T124" s="353" t="inlineStr">
        <is>
          <t>Verified — primary source</t>
        </is>
      </c>
      <c r="U124" s="353" t="inlineStr">
        <is>
          <t>https://www.cohortplc.com/download_file/597/0</t>
        </is>
      </c>
      <c r="V124" s="353" t="inlineStr">
        <is>
          <t>Verified — primary source</t>
        </is>
      </c>
      <c r="W124" s="353" t="inlineStr">
        <is>
          <t>Retain as a completed 100% acquisition of a defence-focused operating company.</t>
        </is>
      </c>
    </row>
    <row r="125" ht="45" customHeight="1">
      <c r="A125" s="353" t="inlineStr">
        <is>
          <t>EUR-035</t>
        </is>
      </c>
      <c r="B125" s="353" t="inlineStr">
        <is>
          <t>Europe</t>
        </is>
      </c>
      <c r="C125" s="353" t="inlineStr">
        <is>
          <t>France</t>
        </is>
      </c>
      <c r="D125" s="353" t="inlineStr">
        <is>
          <t>Exosens S.A.</t>
        </is>
      </c>
      <c r="E125" s="353" t="inlineStr">
        <is>
          <t>Public market investors</t>
        </is>
      </c>
      <c r="F125" s="353" t="inlineStr">
        <is>
          <t>N/A — IPO</t>
        </is>
      </c>
      <c r="G125" s="353" t="inlineStr">
        <is>
          <t>HLD and other selling shareholders</t>
        </is>
      </c>
      <c r="H125" s="403" t="inlineStr">
        <is>
          <t>Not disclosed</t>
        </is>
      </c>
      <c r="I125" s="403" t="n">
        <v>45450</v>
      </c>
      <c r="J125" s="353" t="n">
        <v>2024</v>
      </c>
      <c r="K125" s="353" t="inlineStr">
        <is>
          <t>IPO</t>
        </is>
      </c>
      <c r="L125" s="353" t="inlineStr">
        <is>
          <t>Euronext Paris IPO with full over-allotment exercise</t>
        </is>
      </c>
      <c r="M125" s="353" t="inlineStr">
        <is>
          <t>Completed</t>
        </is>
      </c>
      <c r="N125" s="353" t="inlineStr">
        <is>
          <t>Not disclosed</t>
        </is>
      </c>
      <c r="O125" s="353" t="inlineStr">
        <is>
          <t>EUR</t>
        </is>
      </c>
      <c r="P125" s="353" t="inlineStr">
        <is>
          <t>Hardware</t>
        </is>
      </c>
      <c r="Q125" s="353" t="inlineStr">
        <is>
          <t>Defence Electronics &amp; Sensors</t>
        </is>
      </c>
      <c r="R125" s="353" t="inlineStr">
        <is>
          <t>Core A&amp;D</t>
        </is>
      </c>
      <c r="S125" s="353" t="inlineStr">
        <is>
          <t>Exosens develops mission-critical amplification, detection and imaging devices, including night-vision technology for defence.</t>
        </is>
      </c>
      <c r="T125" s="353" t="inlineStr">
        <is>
          <t>Verified — primary source</t>
        </is>
      </c>
      <c r="U125" s="353" t="inlineStr">
        <is>
          <t>https://www.exosens.com/news/exosens-increases-size-offering-context-its-initial-public-offering</t>
        </is>
      </c>
      <c r="V125" s="353" t="inlineStr">
        <is>
          <t>Verified — primary source</t>
        </is>
      </c>
      <c r="W125" s="353" t="inlineStr">
        <is>
          <t>Correct IPO metrics: EUR402.5m final placement, 20,125,003 shares offered, 50,782,552 post-IPO shares and about EUR1.016bn market cap at the offer price.</t>
        </is>
      </c>
    </row>
    <row r="126" ht="45" customHeight="1">
      <c r="A126" s="353" t="inlineStr">
        <is>
          <t>EUR-036</t>
        </is>
      </c>
      <c r="B126" s="353" t="inlineStr">
        <is>
          <t>Europe</t>
        </is>
      </c>
      <c r="C126" s="353" t="inlineStr">
        <is>
          <t>France</t>
        </is>
      </c>
      <c r="D126" s="353" t="inlineStr">
        <is>
          <t>Arquus SAS</t>
        </is>
      </c>
      <c r="E126" s="353" t="inlineStr">
        <is>
          <t>John Cockerill</t>
        </is>
      </c>
      <c r="F126" s="353" t="inlineStr">
        <is>
          <t>Belgium</t>
        </is>
      </c>
      <c r="G126" s="353" t="inlineStr">
        <is>
          <t>Volvo Group</t>
        </is>
      </c>
      <c r="H126" s="403" t="inlineStr">
        <is>
          <t>Not disclosed</t>
        </is>
      </c>
      <c r="I126" s="403" t="n">
        <v>45475</v>
      </c>
      <c r="J126" s="353" t="n">
        <v>2024</v>
      </c>
      <c r="K126" s="353" t="inlineStr">
        <is>
          <t>M&amp;A</t>
        </is>
      </c>
      <c r="L126" s="353" t="inlineStr">
        <is>
          <t>100% operating-company divestiture</t>
        </is>
      </c>
      <c r="M126" s="353" t="inlineStr">
        <is>
          <t>Completed</t>
        </is>
      </c>
      <c r="N126" s="353" t="inlineStr">
        <is>
          <t>Not disclosed</t>
        </is>
      </c>
      <c r="O126" s="353" t="inlineStr">
        <is>
          <t>Not disclosed</t>
        </is>
      </c>
      <c r="P126" s="353" t="inlineStr">
        <is>
          <t>Hardware / Services</t>
        </is>
      </c>
      <c r="Q126" s="353" t="inlineStr">
        <is>
          <t>Land Systems &amp; Military Vehicles</t>
        </is>
      </c>
      <c r="R126" s="353" t="inlineStr">
        <is>
          <t>Core A&amp;D</t>
        </is>
      </c>
      <c r="S126" s="353" t="inlineStr">
        <is>
          <t>Arquus designs, manufactures and supports armoured and tactical military vehicles.</t>
        </is>
      </c>
      <c r="T126" s="353" t="inlineStr">
        <is>
          <t>Verified — primary source</t>
        </is>
      </c>
      <c r="U126" s="353" t="inlineStr">
        <is>
          <t>https://www.volvogroup.com/en/news-and-media/news/2024/jul/volvo-group-completes-divestment-of-arquus.html</t>
        </is>
      </c>
      <c r="V126" s="353" t="inlineStr">
        <is>
          <t>Verified — primary source</t>
        </is>
      </c>
      <c r="W126" s="353" t="inlineStr">
        <is>
          <t>Retain, but remove the unsupported EUR300m purchase-price claim.</t>
        </is>
      </c>
    </row>
    <row r="127" ht="45" customHeight="1">
      <c r="A127" s="353" t="inlineStr">
        <is>
          <t>EUR-037</t>
        </is>
      </c>
      <c r="B127" s="353" t="inlineStr">
        <is>
          <t>Europe</t>
        </is>
      </c>
      <c r="C127" s="353" t="inlineStr">
        <is>
          <t>United Kingdom</t>
        </is>
      </c>
      <c r="D127" s="353" t="inlineStr">
        <is>
          <t>Rockford Components Holdings Ltd</t>
        </is>
      </c>
      <c r="E127" s="353" t="inlineStr">
        <is>
          <t>AQ Group AB</t>
        </is>
      </c>
      <c r="F127" s="353" t="inlineStr">
        <is>
          <t>Sweden</t>
        </is>
      </c>
      <c r="G127" s="353" t="inlineStr">
        <is>
          <t>Not disclosed</t>
        </is>
      </c>
      <c r="H127" s="403" t="inlineStr">
        <is>
          <t>Not disclosed</t>
        </is>
      </c>
      <c r="I127" s="403" t="n">
        <v>45483</v>
      </c>
      <c r="J127" s="353" t="n">
        <v>2024</v>
      </c>
      <c r="K127" s="353" t="inlineStr">
        <is>
          <t>M&amp;A</t>
        </is>
      </c>
      <c r="L127" s="353" t="inlineStr">
        <is>
          <t>100% share acquisition</t>
        </is>
      </c>
      <c r="M127" s="353" t="inlineStr">
        <is>
          <t>Completed</t>
        </is>
      </c>
      <c r="N127" s="353" t="inlineStr">
        <is>
          <t>Not disclosed</t>
        </is>
      </c>
      <c r="O127" s="353" t="inlineStr">
        <is>
          <t>SEK</t>
        </is>
      </c>
      <c r="P127" s="353" t="inlineStr">
        <is>
          <t>Hardware</t>
        </is>
      </c>
      <c r="Q127" s="353" t="inlineStr">
        <is>
          <t>Aerospace Materials &amp; Components</t>
        </is>
      </c>
      <c r="R127" s="353" t="inlineStr">
        <is>
          <t>Core A&amp;D</t>
        </is>
      </c>
      <c r="S127" s="353" t="inlineStr">
        <is>
          <t>AQ reports that Rockford manufactures wiring and electromechanical systems primarily for aerospace and defence customers.</t>
        </is>
      </c>
      <c r="T127" s="353" t="inlineStr">
        <is>
          <t>Verified — primary source</t>
        </is>
      </c>
      <c r="U127" s="353" t="inlineStr">
        <is>
          <t>https://www.aqgroup.com/download/4678-765F80FA4B1B365EBD697F2A8A0EEB1C/AQ-Group-Q2-2024.pdf</t>
        </is>
      </c>
      <c r="V127" s="353" t="inlineStr">
        <is>
          <t>Verified — primary source</t>
        </is>
      </c>
      <c r="W127" s="353" t="inlineStr">
        <is>
          <t>Retain. Replace SEK34m estimate with SEK18m fixed cash and separately disclose the conflicting official earn-out caps.</t>
        </is>
      </c>
    </row>
    <row r="128" ht="45" customHeight="1">
      <c r="A128" s="353" t="inlineStr">
        <is>
          <t>EUR-038</t>
        </is>
      </c>
      <c r="B128" s="353" t="inlineStr">
        <is>
          <t>Europe</t>
        </is>
      </c>
      <c r="C128" s="353" t="inlineStr">
        <is>
          <t>Italy</t>
        </is>
      </c>
      <c r="D128" s="353" t="inlineStr">
        <is>
          <t>Civitanavi Systems S.p.A.</t>
        </is>
      </c>
      <c r="E128" s="353" t="inlineStr">
        <is>
          <t>Honeywell International Inc.</t>
        </is>
      </c>
      <c r="F128" s="353" t="inlineStr">
        <is>
          <t>United States</t>
        </is>
      </c>
      <c r="G128" s="353" t="inlineStr">
        <is>
          <t>Not disclosed</t>
        </is>
      </c>
      <c r="H128" s="403" t="n">
        <v>45378</v>
      </c>
      <c r="I128" s="403" t="n">
        <v>45523</v>
      </c>
      <c r="J128" s="353" t="n">
        <v>2024</v>
      </c>
      <c r="K128" s="353" t="inlineStr">
        <is>
          <t>M&amp;A</t>
        </is>
      </c>
      <c r="L128" s="353" t="inlineStr">
        <is>
          <t>Tender offer resulting in control</t>
        </is>
      </c>
      <c r="M128" s="353" t="inlineStr">
        <is>
          <t>Completed</t>
        </is>
      </c>
      <c r="N128" s="353" t="inlineStr">
        <is>
          <t>Not disclosed</t>
        </is>
      </c>
      <c r="O128" s="353" t="inlineStr">
        <is>
          <t>EUR</t>
        </is>
      </c>
      <c r="P128" s="353" t="inlineStr">
        <is>
          <t>Hardware / Software</t>
        </is>
      </c>
      <c r="Q128" s="353" t="inlineStr">
        <is>
          <t>Defence Electronics &amp; Sensors</t>
        </is>
      </c>
      <c r="R128" s="353" t="inlineStr">
        <is>
          <t>Core A&amp;D</t>
        </is>
      </c>
      <c r="S128" s="353" t="inlineStr">
        <is>
          <t>Civitanavi develops inertial navigation and stabilization systems for aerospace, defence and autonomous platforms.</t>
        </is>
      </c>
      <c r="T128" s="353" t="inlineStr">
        <is>
          <t>Verified — primary source</t>
        </is>
      </c>
      <c r="U128" s="353" t="inlineStr">
        <is>
          <t>https://investor.honeywell.com/static-files/98bf174f-edb5-4dfe-8f24-1455590edbcb</t>
        </is>
      </c>
      <c r="V128" s="353" t="inlineStr">
        <is>
          <t>Verified — primary source</t>
        </is>
      </c>
      <c r="W128" s="353" t="inlineStr">
        <is>
          <t>27 March was announcement; correct completion/control date is 19 August 2024.</t>
        </is>
      </c>
    </row>
    <row r="129" ht="45" customHeight="1">
      <c r="A129" s="353" t="inlineStr">
        <is>
          <t>EUR-039</t>
        </is>
      </c>
      <c r="B129" s="353" t="inlineStr">
        <is>
          <t>Europe</t>
        </is>
      </c>
      <c r="C129" s="353" t="inlineStr">
        <is>
          <t>France</t>
        </is>
      </c>
      <c r="D129" s="353" t="inlineStr">
        <is>
          <t>Preligens</t>
        </is>
      </c>
      <c r="E129" s="353" t="inlineStr">
        <is>
          <t>Safran S.A.</t>
        </is>
      </c>
      <c r="F129" s="353" t="inlineStr">
        <is>
          <t>France</t>
        </is>
      </c>
      <c r="G129" s="353" t="inlineStr">
        <is>
          <t>Preligens shareholders</t>
        </is>
      </c>
      <c r="H129" s="403" t="n">
        <v>45467</v>
      </c>
      <c r="I129" s="403" t="n">
        <v>45537</v>
      </c>
      <c r="J129" s="353" t="n">
        <v>2024</v>
      </c>
      <c r="K129" s="353" t="inlineStr">
        <is>
          <t>M&amp;A</t>
        </is>
      </c>
      <c r="L129" s="353" t="inlineStr">
        <is>
          <t>100% company acquisition</t>
        </is>
      </c>
      <c r="M129" s="353" t="inlineStr">
        <is>
          <t>Completed</t>
        </is>
      </c>
      <c r="N129" s="353" t="inlineStr">
        <is>
          <t>Not disclosed</t>
        </is>
      </c>
      <c r="O129" s="353" t="inlineStr">
        <is>
          <t>EUR</t>
        </is>
      </c>
      <c r="P129" s="353" t="inlineStr">
        <is>
          <t>Software</t>
        </is>
      </c>
      <c r="Q129" s="353" t="inlineStr">
        <is>
          <t>Cyber &amp; Digital Defence</t>
        </is>
      </c>
      <c r="R129" s="353" t="inlineStr">
        <is>
          <t>Core A&amp;D</t>
        </is>
      </c>
      <c r="S129" s="353" t="inlineStr">
        <is>
          <t>Preligens develops combat-proven AI for military object detection and analysis of satellite imagery, video and acoustic signals for aerospace, defence and government users.</t>
        </is>
      </c>
      <c r="T129" s="353" t="inlineStr">
        <is>
          <t>Verified — primary source</t>
        </is>
      </c>
      <c r="U129" s="353" t="inlineStr">
        <is>
          <t>https://www.safran-group.com/fr/download/press_release/file/2241770</t>
        </is>
      </c>
      <c r="V129" s="353" t="inlineStr">
        <is>
          <t>Verified — primary source</t>
        </is>
      </c>
      <c r="W129" s="353" t="inlineStr">
        <is>
          <t>Confirmed omitted completed defence-AI acquisition.</t>
        </is>
      </c>
    </row>
    <row r="130" ht="45" customHeight="1">
      <c r="A130" s="353" t="inlineStr">
        <is>
          <t>EUR-040</t>
        </is>
      </c>
      <c r="B130" s="353" t="inlineStr">
        <is>
          <t>Europe</t>
        </is>
      </c>
      <c r="C130" s="353" t="inlineStr">
        <is>
          <t>Germany</t>
        </is>
      </c>
      <c r="D130" s="353" t="inlineStr">
        <is>
          <t>INFODAS GmbH</t>
        </is>
      </c>
      <c r="E130" s="353" t="inlineStr">
        <is>
          <t>Airbus Defence and Space</t>
        </is>
      </c>
      <c r="F130" s="353" t="inlineStr">
        <is>
          <t>Netherlands / Germany</t>
        </is>
      </c>
      <c r="G130" s="353" t="inlineStr">
        <is>
          <t>INFODAS shareholders</t>
        </is>
      </c>
      <c r="H130" s="403" t="n">
        <v>45376</v>
      </c>
      <c r="I130" s="403" t="n">
        <v>45540</v>
      </c>
      <c r="J130" s="353" t="n">
        <v>2024</v>
      </c>
      <c r="K130" s="353" t="inlineStr">
        <is>
          <t>M&amp;A</t>
        </is>
      </c>
      <c r="L130" s="353" t="inlineStr">
        <is>
          <t>Full company acquisition</t>
        </is>
      </c>
      <c r="M130" s="353" t="inlineStr">
        <is>
          <t>Completed</t>
        </is>
      </c>
      <c r="N130" s="353" t="inlineStr">
        <is>
          <t>Not disclosed</t>
        </is>
      </c>
      <c r="O130" s="353" t="inlineStr">
        <is>
          <t>Not disclosed</t>
        </is>
      </c>
      <c r="P130" s="353" t="inlineStr">
        <is>
          <t>Hardware / Software / Services</t>
        </is>
      </c>
      <c r="Q130" s="353" t="inlineStr">
        <is>
          <t>Cyber &amp; Digital Defence</t>
        </is>
      </c>
      <c r="R130" s="353" t="inlineStr">
        <is>
          <t>Core A&amp;D</t>
        </is>
      </c>
      <c r="S130" s="353" t="inlineStr">
        <is>
          <t>INFODAS develops cross-domain solutions and cybersecurity products for defence, government and critical-infrastructure customers; Airbus identified the acquisition as strengthening its defence cybersecurity portfolio.</t>
        </is>
      </c>
      <c r="T130" s="353" t="inlineStr">
        <is>
          <t>Verified — primary source</t>
        </is>
      </c>
      <c r="U130" s="353" t="inlineStr">
        <is>
          <t>https://www.cyber.airbus.com/en/newsroom/press-release/2024-09-airbus-completes-acquisition-of-infodas-strengthens-cybersecurity</t>
        </is>
      </c>
      <c r="V130" s="353" t="inlineStr">
        <is>
          <t>Verified — primary source</t>
        </is>
      </c>
      <c r="W130" s="353" t="inlineStr">
        <is>
          <t>Confirmed omitted completed acquisition; Airbus announced finalization on 5 September 2024.</t>
        </is>
      </c>
    </row>
    <row r="131" ht="45" customHeight="1">
      <c r="A131" s="353" t="inlineStr">
        <is>
          <t>EUR-041</t>
        </is>
      </c>
      <c r="B131" s="353" t="inlineStr">
        <is>
          <t>Europe</t>
        </is>
      </c>
      <c r="C131" s="353" t="inlineStr">
        <is>
          <t>Italy</t>
        </is>
      </c>
      <c r="D131" s="353" t="inlineStr">
        <is>
          <t>GEM elettronica S.r.l.</t>
        </is>
      </c>
      <c r="E131" s="353" t="inlineStr">
        <is>
          <t>Leonardo S.p.A.</t>
        </is>
      </c>
      <c r="F131" s="353" t="inlineStr">
        <is>
          <t>Italy</t>
        </is>
      </c>
      <c r="G131" s="353" t="inlineStr">
        <is>
          <t>Not disclosed</t>
        </is>
      </c>
      <c r="H131" s="403" t="inlineStr">
        <is>
          <t>Not disclosed</t>
        </is>
      </c>
      <c r="I131" s="403" t="n">
        <v>45558</v>
      </c>
      <c r="J131" s="353" t="n">
        <v>2024</v>
      </c>
      <c r="K131" s="353" t="inlineStr">
        <is>
          <t>M&amp;A</t>
        </is>
      </c>
      <c r="L131" s="353" t="inlineStr">
        <is>
          <t>Incremental acquisition producing majority control</t>
        </is>
      </c>
      <c r="M131" s="353" t="inlineStr">
        <is>
          <t>Completed</t>
        </is>
      </c>
      <c r="N131" s="353" t="inlineStr">
        <is>
          <t>Not disclosed</t>
        </is>
      </c>
      <c r="O131" s="353" t="inlineStr">
        <is>
          <t>EUR</t>
        </is>
      </c>
      <c r="P131" s="353" t="inlineStr">
        <is>
          <t>Hardware / Software</t>
        </is>
      </c>
      <c r="Q131" s="353" t="inlineStr">
        <is>
          <t>Defence Electronics &amp; Sensors</t>
        </is>
      </c>
      <c r="R131" s="353" t="inlineStr">
        <is>
          <t>Core A&amp;D</t>
        </is>
      </c>
      <c r="S131" s="353" t="inlineStr">
        <is>
          <t>GEM develops naval and coastal surveillance radars, sensors and defence electronics.</t>
        </is>
      </c>
      <c r="T131" s="353" t="inlineStr">
        <is>
          <t>Verified — primary source</t>
        </is>
      </c>
      <c r="U131" s="353" t="inlineStr">
        <is>
          <t>https://www.leonardo.com/documents/15646808/29153006/ComLDO_Closing%2BGEM_ENG.pdf?t=1727108001697</t>
        </is>
      </c>
      <c r="V131" s="353" t="inlineStr">
        <is>
          <t>Verified — primary source</t>
        </is>
      </c>
      <c r="W131" s="353" t="inlineStr">
        <is>
          <t>Correct structure from full acquisition to a 35% top-up that increased Leonardo's holding from 30% to 65% and conferred control.</t>
        </is>
      </c>
    </row>
    <row r="132" ht="45" customHeight="1">
      <c r="A132" s="353" t="inlineStr">
        <is>
          <t>EUR-042</t>
        </is>
      </c>
      <c r="B132" s="353" t="inlineStr">
        <is>
          <t>Europe</t>
        </is>
      </c>
      <c r="C132" s="353" t="inlineStr">
        <is>
          <t>Finland</t>
        </is>
      </c>
      <c r="D132" s="353" t="inlineStr">
        <is>
          <t>Nordic Drones Oy</t>
        </is>
      </c>
      <c r="E132" s="353" t="inlineStr">
        <is>
          <t>Patria Oyj</t>
        </is>
      </c>
      <c r="F132" s="353" t="inlineStr">
        <is>
          <t>Finland</t>
        </is>
      </c>
      <c r="G132" s="353" t="inlineStr">
        <is>
          <t>Not disclosed</t>
        </is>
      </c>
      <c r="H132" s="403" t="n">
        <v>45456</v>
      </c>
      <c r="I132" s="403" t="n">
        <v>45566</v>
      </c>
      <c r="J132" s="353" t="n">
        <v>2024</v>
      </c>
      <c r="K132" s="353" t="inlineStr">
        <is>
          <t>M&amp;A</t>
        </is>
      </c>
      <c r="L132" s="353" t="inlineStr">
        <is>
          <t>100% share acquisition</t>
        </is>
      </c>
      <c r="M132" s="353" t="inlineStr">
        <is>
          <t>Completed</t>
        </is>
      </c>
      <c r="N132" s="353" t="inlineStr">
        <is>
          <t>Not disclosed</t>
        </is>
      </c>
      <c r="O132" s="353" t="inlineStr">
        <is>
          <t>Not disclosed</t>
        </is>
      </c>
      <c r="P132" s="353" t="inlineStr">
        <is>
          <t>Hardware / Software / Services</t>
        </is>
      </c>
      <c r="Q132" s="353" t="inlineStr">
        <is>
          <t>UAVs &amp; Autonomous Systems</t>
        </is>
      </c>
      <c r="R132" s="353" t="inlineStr">
        <is>
          <t>Core A&amp;D</t>
        </is>
      </c>
      <c r="S132" s="353" t="inlineStr">
        <is>
          <t>Nordic Drones develops and manufactures professional UAV systems for authority and defence uses; Patria acquired it to expand its unmanned-system defence offering.</t>
        </is>
      </c>
      <c r="T132" s="353" t="inlineStr">
        <is>
          <t>Verified — primary source</t>
        </is>
      </c>
      <c r="U132" s="353" t="inlineStr">
        <is>
          <t>https://www.patriagroup.com/newsroom/news/2024/patria-received-authority-approval-for-the-nordic-drones-acquisition-and-transaction-of-open-source-data-collection-product-and-business-from</t>
        </is>
      </c>
      <c r="V132" s="353" t="inlineStr">
        <is>
          <t>Verified — primary source</t>
        </is>
      </c>
      <c r="W132" s="353" t="inlineStr">
        <is>
          <t>Confirmed omitted completed acquisition of the entire share capital.</t>
        </is>
      </c>
    </row>
    <row r="133" ht="45" customHeight="1">
      <c r="A133" s="353" t="inlineStr">
        <is>
          <t>EUR-043</t>
        </is>
      </c>
      <c r="B133" s="353" t="inlineStr">
        <is>
          <t>Europe</t>
        </is>
      </c>
      <c r="C133" s="353" t="inlineStr">
        <is>
          <t>Sweden</t>
        </is>
      </c>
      <c r="D133" s="353" t="inlineStr">
        <is>
          <t>Scandiflash AB</t>
        </is>
      </c>
      <c r="E133" s="353" t="inlineStr">
        <is>
          <t>Scandinavian Astor Group AB</t>
        </is>
      </c>
      <c r="F133" s="353" t="inlineStr">
        <is>
          <t>Sweden</t>
        </is>
      </c>
      <c r="G133" s="353" t="inlineStr">
        <is>
          <t>Not disclosed</t>
        </is>
      </c>
      <c r="H133" s="403" t="n">
        <v>45531</v>
      </c>
      <c r="I133" s="403" t="n">
        <v>45566</v>
      </c>
      <c r="J133" s="353" t="n">
        <v>2024</v>
      </c>
      <c r="K133" s="353" t="inlineStr">
        <is>
          <t>M&amp;A</t>
        </is>
      </c>
      <c r="L133" s="353" t="inlineStr">
        <is>
          <t>100% share acquisition</t>
        </is>
      </c>
      <c r="M133" s="353" t="inlineStr">
        <is>
          <t>Completed</t>
        </is>
      </c>
      <c r="N133" s="353" t="inlineStr">
        <is>
          <t>Not disclosed</t>
        </is>
      </c>
      <c r="O133" s="353" t="inlineStr">
        <is>
          <t>SEK</t>
        </is>
      </c>
      <c r="P133" s="353" t="inlineStr">
        <is>
          <t>Hardware / Software</t>
        </is>
      </c>
      <c r="Q133" s="353" t="inlineStr">
        <is>
          <t>Defence Electronics &amp; Sensors</t>
        </is>
      </c>
      <c r="R133" s="353" t="inlineStr">
        <is>
          <t>Core A&amp;D</t>
        </is>
      </c>
      <c r="S133" s="353" t="inlineStr">
        <is>
          <t>Scandiflash develops high-speed flash X-ray systems used to measure fast-moving objects, including defence and ballistic-test applications; the acquirer explicitly consolidated it into its defence group.</t>
        </is>
      </c>
      <c r="T133" s="353" t="inlineStr">
        <is>
          <t>Verified — primary source</t>
        </is>
      </c>
      <c r="U133" s="353" t="inlineStr">
        <is>
          <t>https://news.cision.com/se/scandinavian-astor-group-ab/r/scandinavian-astor-group-tilltrader-forvarvet-av-scandiflash-ab%2Cc4045350</t>
        </is>
      </c>
      <c r="V133" s="353" t="inlineStr">
        <is>
          <t>Verified — primary source</t>
        </is>
      </c>
      <c r="W133" s="353" t="inlineStr">
        <is>
          <t>Confirmed omitted completed defence-technology acquisition.</t>
        </is>
      </c>
    </row>
    <row r="134" ht="45" customHeight="1">
      <c r="A134" s="353" t="inlineStr">
        <is>
          <t>EUR-044</t>
        </is>
      </c>
      <c r="B134" s="353" t="inlineStr">
        <is>
          <t>Europe</t>
        </is>
      </c>
      <c r="C134" s="353" t="inlineStr">
        <is>
          <t>Austria</t>
        </is>
      </c>
      <c r="D134" s="353" t="inlineStr">
        <is>
          <t>Steyr Motors AG</t>
        </is>
      </c>
      <c r="E134" s="353" t="inlineStr">
        <is>
          <t>Public market investors</t>
        </is>
      </c>
      <c r="F134" s="353" t="inlineStr">
        <is>
          <t>N/A — IPO</t>
        </is>
      </c>
      <c r="G134" s="353" t="inlineStr">
        <is>
          <t>Mutares SE &amp; Co. KGaA</t>
        </is>
      </c>
      <c r="H134" s="403" t="inlineStr">
        <is>
          <t>Not disclosed</t>
        </is>
      </c>
      <c r="I134" s="403" t="n">
        <v>45595</v>
      </c>
      <c r="J134" s="353" t="n">
        <v>2024</v>
      </c>
      <c r="K134" s="353" t="inlineStr">
        <is>
          <t>IPO</t>
        </is>
      </c>
      <c r="L134" s="353" t="inlineStr">
        <is>
          <t>Private placement and Scale segment listing</t>
        </is>
      </c>
      <c r="M134" s="353" t="inlineStr">
        <is>
          <t>Completed</t>
        </is>
      </c>
      <c r="N134" s="353" t="inlineStr">
        <is>
          <t>Not disclosed</t>
        </is>
      </c>
      <c r="O134" s="353" t="inlineStr">
        <is>
          <t>EUR</t>
        </is>
      </c>
      <c r="P134" s="353" t="inlineStr">
        <is>
          <t>Hardware / Services</t>
        </is>
      </c>
      <c r="Q134" s="353" t="inlineStr">
        <is>
          <t>Power, Propulsion &amp; Energy</t>
        </is>
      </c>
      <c r="R134" s="353" t="inlineStr">
        <is>
          <t>Core A&amp;D</t>
        </is>
      </c>
      <c r="S134" s="353" t="inlineStr">
        <is>
          <t>Steyr Motors manufactures high-performance engines with a material and primary focus on military vehicles, boats and auxiliary-power systems.</t>
        </is>
      </c>
      <c r="T134" s="353" t="inlineStr">
        <is>
          <t>Verified — primary source</t>
        </is>
      </c>
      <c r="U134" s="353" t="inlineStr">
        <is>
          <t>https://www.cashmarket.deutsche-boerse.com/cash-en/Data-Tech/statistics/New-Companies/Steyr-Motors-AG-4158938</t>
        </is>
      </c>
      <c r="V134" s="353" t="inlineStr">
        <is>
          <t>Verified — primary source</t>
        </is>
      </c>
      <c r="W134" s="353" t="inlineStr">
        <is>
          <t>Label as private-placement/Scale listing; correct shares outstanding to 5,200,000 and first-price market cap to EUR82.68m.</t>
        </is>
      </c>
    </row>
    <row r="135" ht="45" customHeight="1">
      <c r="A135" s="353" t="inlineStr">
        <is>
          <t>EUR-045</t>
        </is>
      </c>
      <c r="B135" s="353" t="inlineStr">
        <is>
          <t>Europe</t>
        </is>
      </c>
      <c r="C135" s="353" t="inlineStr">
        <is>
          <t>Spain</t>
        </is>
      </c>
      <c r="D135" s="353" t="inlineStr">
        <is>
          <t>Elecnor Deimos / Deimos Space</t>
        </is>
      </c>
      <c r="E135" s="353" t="inlineStr">
        <is>
          <t>Indra Sistemas S.A.</t>
        </is>
      </c>
      <c r="F135" s="353" t="inlineStr">
        <is>
          <t>Spain</t>
        </is>
      </c>
      <c r="G135" s="353" t="inlineStr">
        <is>
          <t>Elecnor S.A.</t>
        </is>
      </c>
      <c r="H135" s="403" t="n">
        <v>45511</v>
      </c>
      <c r="I135" s="403" t="n">
        <v>45596</v>
      </c>
      <c r="J135" s="353" t="n">
        <v>2024</v>
      </c>
      <c r="K135" s="353" t="inlineStr">
        <is>
          <t>M&amp;A</t>
        </is>
      </c>
      <c r="L135" s="353" t="inlineStr">
        <is>
          <t>100% operating-company acquisition / corporate divestiture</t>
        </is>
      </c>
      <c r="M135" s="353" t="inlineStr">
        <is>
          <t>Completed</t>
        </is>
      </c>
      <c r="N135" s="353" t="inlineStr">
        <is>
          <t>Not disclosed</t>
        </is>
      </c>
      <c r="O135" s="353" t="inlineStr">
        <is>
          <t>EUR</t>
        </is>
      </c>
      <c r="P135" s="353" t="inlineStr">
        <is>
          <t>Hardware / Software / Services</t>
        </is>
      </c>
      <c r="Q135" s="353" t="inlineStr">
        <is>
          <t>Space &amp; Satellite Systems</t>
        </is>
      </c>
      <c r="R135" s="353" t="inlineStr">
        <is>
          <t>Core A&amp;D</t>
        </is>
      </c>
      <c r="S135" s="353" t="inlineStr">
        <is>
          <t>Deimos develops satellites, mission systems, flight dynamics, Earth-observation and space-domain technology.</t>
        </is>
      </c>
      <c r="T135" s="353" t="inlineStr">
        <is>
          <t>Verified — primary source</t>
        </is>
      </c>
      <c r="U135" s="353" t="inlineStr">
        <is>
          <t>https://www.indragroup.com/en/news/indra-completes-acquisition-deimos</t>
        </is>
      </c>
      <c r="V135" s="353" t="inlineStr">
        <is>
          <t>Verified — primary source</t>
        </is>
      </c>
      <c r="W135" s="353" t="inlineStr">
        <is>
          <t>Replace Geosat Satélites with the actual acquired target, Elecnor Deimos/Deimos Space.</t>
        </is>
      </c>
    </row>
    <row r="136" ht="45" customHeight="1">
      <c r="A136" s="353" t="inlineStr">
        <is>
          <t>EUR-046</t>
        </is>
      </c>
      <c r="B136" s="353" t="inlineStr">
        <is>
          <t>Europe</t>
        </is>
      </c>
      <c r="C136" s="353" t="inlineStr">
        <is>
          <t>Germany</t>
        </is>
      </c>
      <c r="D136" s="353" t="inlineStr">
        <is>
          <t>Harder Digital group</t>
        </is>
      </c>
      <c r="E136" s="353" t="inlineStr">
        <is>
          <t>THEON International Plc</t>
        </is>
      </c>
      <c r="F136" s="353" t="inlineStr">
        <is>
          <t>Cyprus</t>
        </is>
      </c>
      <c r="G136" s="353" t="inlineStr">
        <is>
          <t>Not disclosed</t>
        </is>
      </c>
      <c r="H136" s="403" t="n">
        <v>45544</v>
      </c>
      <c r="I136" s="403" t="n">
        <v>45610</v>
      </c>
      <c r="J136" s="353" t="n">
        <v>2024</v>
      </c>
      <c r="K136" s="353" t="inlineStr">
        <is>
          <t>M&amp;A</t>
        </is>
      </c>
      <c r="L136" s="353" t="inlineStr">
        <is>
          <t>Majority/control share acquisition</t>
        </is>
      </c>
      <c r="M136" s="353" t="inlineStr">
        <is>
          <t>Completed</t>
        </is>
      </c>
      <c r="N136" s="353" t="inlineStr">
        <is>
          <t>Not disclosed</t>
        </is>
      </c>
      <c r="O136" s="353" t="inlineStr">
        <is>
          <t>EUR</t>
        </is>
      </c>
      <c r="P136" s="353" t="inlineStr">
        <is>
          <t>Hardware</t>
        </is>
      </c>
      <c r="Q136" s="353" t="inlineStr">
        <is>
          <t>Defence Electronics &amp; Sensors</t>
        </is>
      </c>
      <c r="R136" s="353" t="inlineStr">
        <is>
          <t>Core A&amp;D</t>
        </is>
      </c>
      <c r="S136" s="353" t="inlineStr">
        <is>
          <t>Harder Digital manufactures image-intensifier tubes and related production equipment, a critical component of military night-vision systems.</t>
        </is>
      </c>
      <c r="T136" s="353" t="inlineStr">
        <is>
          <t>Verified — primary source</t>
        </is>
      </c>
      <c r="U136" s="353" t="inlineStr">
        <is>
          <t>https://investors.theon.com/files/doc_financials/2024/ar/Theon_Annual-Report_FY-2024.pdf</t>
        </is>
      </c>
      <c r="V136" s="353" t="inlineStr">
        <is>
          <t>Verified — primary source</t>
        </is>
      </c>
      <c r="W136" s="353" t="inlineStr">
        <is>
          <t>Confirmed omitted completed majority-control acquisition; announcement preceded legal completion on 14 November.</t>
        </is>
      </c>
    </row>
    <row r="137" ht="45" customHeight="1">
      <c r="A137" s="353" t="inlineStr">
        <is>
          <t>EUR-047</t>
        </is>
      </c>
      <c r="B137" s="353" t="inlineStr">
        <is>
          <t>Europe</t>
        </is>
      </c>
      <c r="C137" s="353" t="inlineStr">
        <is>
          <t>Spain</t>
        </is>
      </c>
      <c r="D137" s="353" t="inlineStr">
        <is>
          <t>Clue Technologies S.L.</t>
        </is>
      </c>
      <c r="E137" s="353" t="inlineStr">
        <is>
          <t>Indra Sistemas S.A.</t>
        </is>
      </c>
      <c r="F137" s="353" t="inlineStr">
        <is>
          <t>Spain</t>
        </is>
      </c>
      <c r="G137" s="353" t="inlineStr">
        <is>
          <t>Not disclosed</t>
        </is>
      </c>
      <c r="H137" s="403" t="inlineStr">
        <is>
          <t>Not disclosed</t>
        </is>
      </c>
      <c r="I137" s="403" t="n">
        <v>45625</v>
      </c>
      <c r="J137" s="353" t="n">
        <v>2024</v>
      </c>
      <c r="K137" s="353" t="inlineStr">
        <is>
          <t>M&amp;A</t>
        </is>
      </c>
      <c r="L137" s="353" t="inlineStr">
        <is>
          <t>100% share acquisition</t>
        </is>
      </c>
      <c r="M137" s="353" t="inlineStr">
        <is>
          <t>Completed</t>
        </is>
      </c>
      <c r="N137" s="353" t="inlineStr">
        <is>
          <t>Not disclosed</t>
        </is>
      </c>
      <c r="O137" s="353" t="inlineStr">
        <is>
          <t>EUR</t>
        </is>
      </c>
      <c r="P137" s="353" t="inlineStr">
        <is>
          <t>Hardware / Software</t>
        </is>
      </c>
      <c r="Q137" s="353" t="inlineStr">
        <is>
          <t>Defence Electronics &amp; Sensors</t>
        </is>
      </c>
      <c r="R137" s="353" t="inlineStr">
        <is>
          <t>Core A&amp;D</t>
        </is>
      </c>
      <c r="S137" s="353" t="inlineStr">
        <is>
          <t>Clue develops avionics, embedded electronics and aerospace systems for aircraft and defence applications.</t>
        </is>
      </c>
      <c r="T137" s="353" t="inlineStr">
        <is>
          <t>Verified — primary source</t>
        </is>
      </c>
      <c r="U137" s="353" t="inlineStr">
        <is>
          <t>https://www.indragroup.com/sites/default/files/memoria_grupo_indra_eng.pdf</t>
        </is>
      </c>
      <c r="V137" s="353" t="inlineStr">
        <is>
          <t>Verified — primary source</t>
        </is>
      </c>
      <c r="W137" s="353" t="inlineStr">
        <is>
          <t>Retain; relabel approximately EUR40m as aggregate estimated consideration including contingent liability.</t>
        </is>
      </c>
    </row>
    <row r="138" ht="45" customHeight="1">
      <c r="A138" s="353" t="inlineStr">
        <is>
          <t>EUR-048</t>
        </is>
      </c>
      <c r="B138" s="353" t="inlineStr">
        <is>
          <t>Europe</t>
        </is>
      </c>
      <c r="C138" s="353" t="inlineStr">
        <is>
          <t>France</t>
        </is>
      </c>
      <c r="D138" s="353" t="inlineStr">
        <is>
          <t>Odyssée Technologies Group S.A.</t>
        </is>
      </c>
      <c r="E138" s="353" t="inlineStr">
        <is>
          <t>Public market investors</t>
        </is>
      </c>
      <c r="F138" s="353" t="inlineStr">
        <is>
          <t>N/A — IPO</t>
        </is>
      </c>
      <c r="G138" s="353" t="inlineStr">
        <is>
          <t>N/A — IPO</t>
        </is>
      </c>
      <c r="H138" s="403" t="inlineStr">
        <is>
          <t>Not disclosed</t>
        </is>
      </c>
      <c r="I138" s="403" t="n">
        <v>45639</v>
      </c>
      <c r="J138" s="353" t="n">
        <v>2024</v>
      </c>
      <c r="K138" s="353" t="inlineStr">
        <is>
          <t>IPO</t>
        </is>
      </c>
      <c r="L138" s="353" t="inlineStr">
        <is>
          <t>Euronext Growth Paris IPO/listing</t>
        </is>
      </c>
      <c r="M138" s="353" t="inlineStr">
        <is>
          <t>Completed</t>
        </is>
      </c>
      <c r="N138" s="353" t="inlineStr">
        <is>
          <t>Not disclosed</t>
        </is>
      </c>
      <c r="O138" s="353" t="inlineStr">
        <is>
          <t>EUR</t>
        </is>
      </c>
      <c r="P138" s="353" t="inlineStr">
        <is>
          <t>Hardware</t>
        </is>
      </c>
      <c r="Q138" s="353" t="inlineStr">
        <is>
          <t>Aerospace Materials &amp; Components</t>
        </is>
      </c>
      <c r="R138" s="353" t="inlineStr">
        <is>
          <t>Core A&amp;D</t>
        </is>
      </c>
      <c r="S138" s="353" t="inlineStr">
        <is>
          <t>Odyssée is a precision-engineering group positioned as a strategic supplier to aerospace, defence and space customers, with energy as an additional end market.</t>
        </is>
      </c>
      <c r="T138" s="353" t="inlineStr">
        <is>
          <t>Verified — primary source</t>
        </is>
      </c>
      <c r="U138" s="353" t="inlineStr">
        <is>
          <t>https://www.euronext.com/en/about/media/euronext-press-releases/odyssee-technologies-lists-euronext-growth</t>
        </is>
      </c>
      <c r="V138" s="353" t="inlineStr">
        <is>
          <t>Verified — primary source</t>
        </is>
      </c>
      <c r="W138" s="353" t="inlineStr">
        <is>
          <t>Retain; fill the missing post-offering outstanding-share count with 1,615,384.</t>
        </is>
      </c>
    </row>
    <row r="139" ht="45" customHeight="1">
      <c r="A139" s="353" t="inlineStr">
        <is>
          <t>EUR-049</t>
        </is>
      </c>
      <c r="B139" s="353" t="inlineStr">
        <is>
          <t>Europe</t>
        </is>
      </c>
      <c r="C139" s="353" t="inlineStr">
        <is>
          <t>Italy</t>
        </is>
      </c>
      <c r="D139" s="353" t="inlineStr">
        <is>
          <t>WASS Submarine Systems business</t>
        </is>
      </c>
      <c r="E139" s="353" t="inlineStr">
        <is>
          <t>Fincantieri S.p.A.</t>
        </is>
      </c>
      <c r="F139" s="353" t="inlineStr">
        <is>
          <t>Italy</t>
        </is>
      </c>
      <c r="G139" s="353" t="inlineStr">
        <is>
          <t>Leonardo S.p.A.</t>
        </is>
      </c>
      <c r="H139" s="403" t="n">
        <v>45671</v>
      </c>
      <c r="I139" s="403" t="n">
        <v>45671</v>
      </c>
      <c r="J139" s="353" t="n">
        <v>2025</v>
      </c>
      <c r="K139" s="353" t="inlineStr">
        <is>
          <t>M&amp;A</t>
        </is>
      </c>
      <c r="L139" s="353" t="inlineStr">
        <is>
          <t>Corporate carve-out acquisition</t>
        </is>
      </c>
      <c r="M139" s="353" t="inlineStr">
        <is>
          <t>Completed</t>
        </is>
      </c>
      <c r="N139" s="353" t="inlineStr">
        <is>
          <t>Not disclosed</t>
        </is>
      </c>
      <c r="O139" s="353" t="inlineStr">
        <is>
          <t>EUR</t>
        </is>
      </c>
      <c r="P139" s="353" t="inlineStr">
        <is>
          <t>Hardware / Software</t>
        </is>
      </c>
      <c r="Q139" s="353" t="inlineStr">
        <is>
          <t>Naval &amp; Underwater Systems</t>
        </is>
      </c>
      <c r="R139" s="353" t="inlineStr">
        <is>
          <t>Core A&amp;D</t>
        </is>
      </c>
      <c r="S139" s="353" t="inlineStr">
        <is>
          <t>Core underwater-defence business producing torpedoes, sonar and integrated submarine systems.</t>
        </is>
      </c>
      <c r="T139" s="353" t="inlineStr">
        <is>
          <t>Verified — primary source</t>
        </is>
      </c>
      <c r="U139" s="353" t="inlineStr">
        <is>
          <t>https://www.fincantieri.com/en/newsroom/news-e-comunicati-stampa/2025/fincantieri-completes-the-acquisition-of-leonardos-uas-underwater-business</t>
        </is>
      </c>
      <c r="V139" s="353" t="inlineStr">
        <is>
          <t>Verified — primary source</t>
        </is>
      </c>
      <c r="W139" s="353" t="inlineStr">
        <is>
          <t>Confirmed omission from the original Europe 2025 section.</t>
        </is>
      </c>
    </row>
    <row r="140" ht="45" customHeight="1">
      <c r="A140" s="353" t="inlineStr">
        <is>
          <t>EUR-050</t>
        </is>
      </c>
      <c r="B140" s="353" t="inlineStr">
        <is>
          <t>Europe</t>
        </is>
      </c>
      <c r="C140" s="353" t="inlineStr">
        <is>
          <t>Luxembourg</t>
        </is>
      </c>
      <c r="D140" s="353" t="inlineStr">
        <is>
          <t>Excelitas aerospace and defence electronics businesses, including Qioptiq</t>
        </is>
      </c>
      <c r="E140" s="353" t="inlineStr">
        <is>
          <t>Teledyne Technologies</t>
        </is>
      </c>
      <c r="F140" s="353" t="inlineStr">
        <is>
          <t>United States</t>
        </is>
      </c>
      <c r="G140" s="353" t="inlineStr">
        <is>
          <t>Excelitas Technologies</t>
        </is>
      </c>
      <c r="H140" s="403" t="inlineStr">
        <is>
          <t>Not disclosed</t>
        </is>
      </c>
      <c r="I140" s="403" t="n">
        <v>45691</v>
      </c>
      <c r="J140" s="353" t="n">
        <v>2025</v>
      </c>
      <c r="K140" s="353" t="inlineStr">
        <is>
          <t>M&amp;A</t>
        </is>
      </c>
      <c r="L140" s="353" t="inlineStr">
        <is>
          <t>Corporate carve-out acquisition</t>
        </is>
      </c>
      <c r="M140" s="353" t="inlineStr">
        <is>
          <t>Completed</t>
        </is>
      </c>
      <c r="N140" s="353" t="n">
        <v>710</v>
      </c>
      <c r="O140" s="353" t="inlineStr">
        <is>
          <t>USD</t>
        </is>
      </c>
      <c r="P140" s="353" t="inlineStr">
        <is>
          <t>Hardware</t>
        </is>
      </c>
      <c r="Q140" s="353" t="inlineStr">
        <is>
          <t>Defence Electronics &amp; Sensors</t>
        </is>
      </c>
      <c r="R140" s="353" t="inlineStr">
        <is>
          <t>Core A&amp;D</t>
        </is>
      </c>
      <c r="S140" s="353" t="inlineStr">
        <is>
          <t>The acquired businesses manufacture high-performance electronics and optics specifically for aerospace and defence applications.</t>
        </is>
      </c>
      <c r="T140" s="353" t="inlineStr">
        <is>
          <t>Verified — primary source</t>
        </is>
      </c>
      <c r="U140" s="353" t="inlineStr">
        <is>
          <t>https://www.teledyne.com/en-us/news/Pages/teledyne-completes-acquisition-of-select-aerospace-and-defense-electronics-businesses-of-excelitas.aspx</t>
        </is>
      </c>
      <c r="V140" s="353" t="inlineStr">
        <is>
          <t>Verified — primary source</t>
        </is>
      </c>
      <c r="W140" s="353" t="inlineStr">
        <is>
          <t>Use the carve-out perimeter rather than implying acquisition of the entire Qioptiq group; normalize value to buyer's approximately $710m.</t>
        </is>
      </c>
    </row>
    <row r="141" ht="45" customHeight="1">
      <c r="A141" s="353" t="inlineStr">
        <is>
          <t>EUR-051</t>
        </is>
      </c>
      <c r="B141" s="353" t="inlineStr">
        <is>
          <t>Europe</t>
        </is>
      </c>
      <c r="C141" s="353" t="inlineStr">
        <is>
          <t>United Kingdom</t>
        </is>
      </c>
      <c r="D141" s="353" t="inlineStr">
        <is>
          <t>RC Fornax plc</t>
        </is>
      </c>
      <c r="E141" s="353" t="inlineStr">
        <is>
          <t>Public market investors</t>
        </is>
      </c>
      <c r="F141" s="353" t="inlineStr">
        <is>
          <t>N/A — IPO</t>
        </is>
      </c>
      <c r="G141" s="353" t="inlineStr">
        <is>
          <t>N/A — IPO</t>
        </is>
      </c>
      <c r="H141" s="403" t="n">
        <v>45693</v>
      </c>
      <c r="I141" s="403" t="n">
        <v>45693</v>
      </c>
      <c r="J141" s="353" t="n">
        <v>2025</v>
      </c>
      <c r="K141" s="353" t="inlineStr">
        <is>
          <t>IPO</t>
        </is>
      </c>
      <c r="L141" s="353" t="inlineStr">
        <is>
          <t>AIM admission and primary/secondary share offering</t>
        </is>
      </c>
      <c r="M141" s="353" t="inlineStr">
        <is>
          <t>Completed</t>
        </is>
      </c>
      <c r="N141" s="353" t="inlineStr">
        <is>
          <t>Not disclosed</t>
        </is>
      </c>
      <c r="O141" s="353" t="inlineStr">
        <is>
          <t>GBP</t>
        </is>
      </c>
      <c r="P141" s="353" t="inlineStr">
        <is>
          <t>Services</t>
        </is>
      </c>
      <c r="Q141" s="353" t="inlineStr">
        <is>
          <t>Defence Services &amp; Engineering</t>
        </is>
      </c>
      <c r="R141" s="353" t="inlineStr">
        <is>
          <t>Core A&amp;D</t>
        </is>
      </c>
      <c r="S141" s="353" t="inlineStr">
        <is>
          <t>Defence engineering and project-delivery consultancy focused on UK defence programmes.</t>
        </is>
      </c>
      <c r="T141" s="353" t="inlineStr">
        <is>
          <t>Verified — primary source</t>
        </is>
      </c>
      <c r="U141" s="353" t="inlineStr">
        <is>
          <t>https://www.londonstockexchange.com/discover/news-and-insights/london-stock-exchange-welcomes-rc-fornax-aim</t>
        </is>
      </c>
      <c r="V141" s="353" t="inlineStr">
        <is>
          <t>Verified — primary source</t>
        </is>
      </c>
      <c r="W141" s="353" t="inlineStr">
        <is>
          <t>Retain; source-native GBP value is preferable to an undocumented USD conversion.</t>
        </is>
      </c>
    </row>
    <row r="142" ht="45" customHeight="1">
      <c r="A142" s="353" t="inlineStr">
        <is>
          <t>EUR-052</t>
        </is>
      </c>
      <c r="B142" s="353" t="inlineStr">
        <is>
          <t>Europe</t>
        </is>
      </c>
      <c r="C142" s="353" t="inlineStr">
        <is>
          <t>Germany</t>
        </is>
      </c>
      <c r="D142" s="353" t="inlineStr">
        <is>
          <t>GMT Aerospace GmbH</t>
        </is>
      </c>
      <c r="E142" s="353" t="inlineStr">
        <is>
          <t>TriMas Corporation</t>
        </is>
      </c>
      <c r="F142" s="353" t="inlineStr">
        <is>
          <t>United States</t>
        </is>
      </c>
      <c r="G142" s="353" t="inlineStr">
        <is>
          <t>Not disclosed</t>
        </is>
      </c>
      <c r="H142" s="403" t="n">
        <v>45705</v>
      </c>
      <c r="I142" s="403" t="n">
        <v>45705</v>
      </c>
      <c r="J142" s="353" t="n">
        <v>2025</v>
      </c>
      <c r="K142" s="353" t="inlineStr">
        <is>
          <t>M&amp;A</t>
        </is>
      </c>
      <c r="L142" s="353" t="inlineStr">
        <is>
          <t>Full acquisition</t>
        </is>
      </c>
      <c r="M142" s="353" t="inlineStr">
        <is>
          <t>Completed</t>
        </is>
      </c>
      <c r="N142" s="353" t="inlineStr">
        <is>
          <t>Not disclosed</t>
        </is>
      </c>
      <c r="O142" s="353" t="inlineStr">
        <is>
          <t>Not disclosed</t>
        </is>
      </c>
      <c r="P142" s="353" t="inlineStr">
        <is>
          <t>Hardware</t>
        </is>
      </c>
      <c r="Q142" s="353" t="inlineStr">
        <is>
          <t>Aerospace Materials &amp; Components</t>
        </is>
      </c>
      <c r="R142" s="353" t="inlineStr">
        <is>
          <t>Core A&amp;D</t>
        </is>
      </c>
      <c r="S142" s="353" t="inlineStr">
        <is>
          <t>GMT manufactures tie rods and vibration-control systems specifically for commercial and military aerospace platforms.</t>
        </is>
      </c>
      <c r="T142" s="353" t="inlineStr">
        <is>
          <t>Verified — primary source</t>
        </is>
      </c>
      <c r="U142" s="353" t="inlineStr">
        <is>
          <t>https://trimas.com/news/2025/trimas-completes-acquisition-of-gmt-aerospace/</t>
        </is>
      </c>
      <c r="V142" s="353" t="inlineStr">
        <is>
          <t>Verified — primary source</t>
        </is>
      </c>
      <c r="W142" s="353" t="inlineStr">
        <is>
          <t>Confirmed omission from the original Europe 2025 section.</t>
        </is>
      </c>
    </row>
    <row r="143" ht="45" customHeight="1">
      <c r="A143" s="353" t="inlineStr">
        <is>
          <t>EUR-053</t>
        </is>
      </c>
      <c r="B143" s="353" t="inlineStr">
        <is>
          <t>Europe</t>
        </is>
      </c>
      <c r="C143" s="353" t="inlineStr">
        <is>
          <t>Italy</t>
        </is>
      </c>
      <c r="D143" s="353" t="inlineStr">
        <is>
          <t>PowerFlex S.r.l.</t>
        </is>
      </c>
      <c r="E143" s="353" t="inlineStr">
        <is>
          <t>Mare Group</t>
        </is>
      </c>
      <c r="F143" s="353" t="inlineStr">
        <is>
          <t>Italy</t>
        </is>
      </c>
      <c r="G143" s="353" t="inlineStr">
        <is>
          <t>Not disclosed</t>
        </is>
      </c>
      <c r="H143" s="403" t="n">
        <v>45644</v>
      </c>
      <c r="I143" s="403" t="n">
        <v>45711</v>
      </c>
      <c r="J143" s="353" t="n">
        <v>2025</v>
      </c>
      <c r="K143" s="353" t="inlineStr">
        <is>
          <t>M&amp;A</t>
        </is>
      </c>
      <c r="L143" s="353" t="inlineStr">
        <is>
          <t>Full acquisition</t>
        </is>
      </c>
      <c r="M143" s="353" t="inlineStr">
        <is>
          <t>Completed</t>
        </is>
      </c>
      <c r="N143" s="353" t="inlineStr">
        <is>
          <t>Not disclosed</t>
        </is>
      </c>
      <c r="O143" s="353" t="inlineStr">
        <is>
          <t>EUR</t>
        </is>
      </c>
      <c r="P143" s="353" t="inlineStr">
        <is>
          <t>Hardware</t>
        </is>
      </c>
      <c r="Q143" s="353" t="inlineStr">
        <is>
          <t>Aerospace Platforms &amp; Components</t>
        </is>
      </c>
      <c r="R143" s="353" t="inlineStr">
        <is>
          <t>Core A&amp;D</t>
        </is>
      </c>
      <c r="S143" s="353" t="inlineStr">
        <is>
          <t>PowerFlex designs and manufactures products for defence, avionics, aerospace and naval applications.</t>
        </is>
      </c>
      <c r="T143" s="353" t="inlineStr">
        <is>
          <t>Verified — primary source</t>
        </is>
      </c>
      <c r="U143" s="353" t="inlineStr">
        <is>
          <t>https://www.maregroup.it/wp-content/uploads/2025/03/20318_152166_2025_oneinfo.pdf</t>
        </is>
      </c>
      <c r="V143" s="353" t="inlineStr">
        <is>
          <t>Verified — primary source</t>
        </is>
      </c>
      <c r="W143" s="353" t="inlineStr">
        <is>
          <t>Correct completion from 20 February to 23 February 2025.</t>
        </is>
      </c>
    </row>
    <row r="144" ht="45" customHeight="1">
      <c r="A144" s="353" t="inlineStr">
        <is>
          <t>EUR-054</t>
        </is>
      </c>
      <c r="B144" s="353" t="inlineStr">
        <is>
          <t>Europe</t>
        </is>
      </c>
      <c r="C144" s="353" t="inlineStr">
        <is>
          <t>Germany</t>
        </is>
      </c>
      <c r="D144" s="353" t="inlineStr">
        <is>
          <t>roda computer GmbH</t>
        </is>
      </c>
      <c r="E144" s="353" t="inlineStr">
        <is>
          <t>MilDef Group</t>
        </is>
      </c>
      <c r="F144" s="353" t="inlineStr">
        <is>
          <t>Sweden</t>
        </is>
      </c>
      <c r="G144" s="353" t="inlineStr">
        <is>
          <t>Not disclosed</t>
        </is>
      </c>
      <c r="H144" s="403" t="inlineStr">
        <is>
          <t>Not disclosed</t>
        </is>
      </c>
      <c r="I144" s="403" t="n">
        <v>45722</v>
      </c>
      <c r="J144" s="353" t="n">
        <v>2025</v>
      </c>
      <c r="K144" s="353" t="inlineStr">
        <is>
          <t>M&amp;A</t>
        </is>
      </c>
      <c r="L144" s="353" t="inlineStr">
        <is>
          <t>Full acquisition</t>
        </is>
      </c>
      <c r="M144" s="353" t="inlineStr">
        <is>
          <t>Completed</t>
        </is>
      </c>
      <c r="N144" s="353" t="inlineStr">
        <is>
          <t>Not disclosed</t>
        </is>
      </c>
      <c r="O144" s="353" t="inlineStr">
        <is>
          <t>EUR</t>
        </is>
      </c>
      <c r="P144" s="353" t="inlineStr">
        <is>
          <t>Hardware</t>
        </is>
      </c>
      <c r="Q144" s="353" t="inlineStr">
        <is>
          <t>Defence Computing &amp; Rugged Systems</t>
        </is>
      </c>
      <c r="R144" s="353" t="inlineStr">
        <is>
          <t>Core A&amp;D</t>
        </is>
      </c>
      <c r="S144" s="353" t="inlineStr">
        <is>
          <t>roda develops rugged military IT systems and is dedicated to defence customers.</t>
        </is>
      </c>
      <c r="T144" s="353" t="inlineStr">
        <is>
          <t>Verified — primary source</t>
        </is>
      </c>
      <c r="U144" s="353" t="inlineStr">
        <is>
          <t>https://news.cision.com/mildef-group-ab/r/mildef-successfully-completes-the-acquisition-of-roda-computer-gmbh-and-resolves-on-an-issue-in-kind%2Cc4114017</t>
        </is>
      </c>
      <c r="V144" s="353" t="inlineStr">
        <is>
          <t>Verified — primary source</t>
        </is>
      </c>
      <c r="W144" s="353" t="inlineStr">
        <is>
          <t>Retain; use source-native consideration and disclose its contingent component.</t>
        </is>
      </c>
    </row>
    <row r="145" ht="45" customHeight="1">
      <c r="A145" s="353" t="inlineStr">
        <is>
          <t>EUR-055</t>
        </is>
      </c>
      <c r="B145" s="353" t="inlineStr">
        <is>
          <t>Europe</t>
        </is>
      </c>
      <c r="C145" s="353" t="inlineStr">
        <is>
          <t>France</t>
        </is>
      </c>
      <c r="D145" s="353" t="inlineStr">
        <is>
          <t>Noxant</t>
        </is>
      </c>
      <c r="E145" s="353" t="inlineStr">
        <is>
          <t>Exosens</t>
        </is>
      </c>
      <c r="F145" s="353" t="inlineStr">
        <is>
          <t>France</t>
        </is>
      </c>
      <c r="G145" s="353" t="inlineStr">
        <is>
          <t>Not disclosed</t>
        </is>
      </c>
      <c r="H145" s="403" t="n">
        <v>45729</v>
      </c>
      <c r="I145" s="403" t="n">
        <v>45729</v>
      </c>
      <c r="J145" s="353" t="n">
        <v>2025</v>
      </c>
      <c r="K145" s="353" t="inlineStr">
        <is>
          <t>M&amp;A</t>
        </is>
      </c>
      <c r="L145" s="353" t="inlineStr">
        <is>
          <t>Full acquisition</t>
        </is>
      </c>
      <c r="M145" s="353" t="inlineStr">
        <is>
          <t>Completed</t>
        </is>
      </c>
      <c r="N145" s="353" t="inlineStr">
        <is>
          <t>Not disclosed</t>
        </is>
      </c>
      <c r="O145" s="353" t="inlineStr">
        <is>
          <t>EUR</t>
        </is>
      </c>
      <c r="P145" s="353" t="inlineStr">
        <is>
          <t>Hardware</t>
        </is>
      </c>
      <c r="Q145" s="353" t="inlineStr">
        <is>
          <t>Defence Electronics &amp; Sensors</t>
        </is>
      </c>
      <c r="R145" s="353" t="inlineStr">
        <is>
          <t>Core A&amp;D</t>
        </is>
      </c>
      <c r="S145" s="353" t="inlineStr">
        <is>
          <t>Noxant's cooled infrared cameras are used in surveillance, drones and defence systems; defence end-use is a material stated market.</t>
        </is>
      </c>
      <c r="T145" s="353" t="inlineStr">
        <is>
          <t>Verified — primary source</t>
        </is>
      </c>
      <c r="U145" s="353" t="inlineStr">
        <is>
          <t>https://www.exosens.com/news/q1-2025-results</t>
        </is>
      </c>
      <c r="V145" s="353" t="inlineStr">
        <is>
          <t>Verified — primary source</t>
        </is>
      </c>
      <c r="W145" s="353" t="inlineStr">
        <is>
          <t>Retain as a defence-imaging technology acquisition.</t>
        </is>
      </c>
    </row>
    <row r="146" ht="45" customHeight="1">
      <c r="A146" s="353" t="inlineStr">
        <is>
          <t>EUR-056</t>
        </is>
      </c>
      <c r="B146" s="353" t="inlineStr">
        <is>
          <t>Europe</t>
        </is>
      </c>
      <c r="C146" s="353" t="inlineStr">
        <is>
          <t>United Kingdom</t>
        </is>
      </c>
      <c r="D146" s="353" t="inlineStr">
        <is>
          <t>Ultra Maritime Signature Management &amp; Power business</t>
        </is>
      </c>
      <c r="E146" s="353" t="inlineStr">
        <is>
          <t>ESCO Technologies</t>
        </is>
      </c>
      <c r="F146" s="353" t="inlineStr">
        <is>
          <t>United States</t>
        </is>
      </c>
      <c r="G146" s="353" t="inlineStr">
        <is>
          <t>Ultra Maritime</t>
        </is>
      </c>
      <c r="H146" s="403" t="n">
        <v>45772</v>
      </c>
      <c r="I146" s="403" t="n">
        <v>45775</v>
      </c>
      <c r="J146" s="353" t="n">
        <v>2025</v>
      </c>
      <c r="K146" s="353" t="inlineStr">
        <is>
          <t>M&amp;A</t>
        </is>
      </c>
      <c r="L146" s="353" t="inlineStr">
        <is>
          <t>Corporate carve-out acquisition</t>
        </is>
      </c>
      <c r="M146" s="353" t="inlineStr">
        <is>
          <t>Completed</t>
        </is>
      </c>
      <c r="N146" s="353" t="n">
        <v>472</v>
      </c>
      <c r="O146" s="353" t="inlineStr">
        <is>
          <t>USD</t>
        </is>
      </c>
      <c r="P146" s="353" t="inlineStr">
        <is>
          <t>Hardware</t>
        </is>
      </c>
      <c r="Q146" s="353" t="inlineStr">
        <is>
          <t>Naval &amp; Underwater Systems</t>
        </is>
      </c>
      <c r="R146" s="353" t="inlineStr">
        <is>
          <t>Core A&amp;D</t>
        </is>
      </c>
      <c r="S146" s="353" t="inlineStr">
        <is>
          <t>The business supplies signature-management and power technologies for naval defence platforms.</t>
        </is>
      </c>
      <c r="T146" s="353" t="inlineStr">
        <is>
          <t>Verified — primary source</t>
        </is>
      </c>
      <c r="U146" s="353" t="inlineStr">
        <is>
          <t>https://investor.escotechnologies.com/news-releases/news-release-details/esco-completes-acquisition-smp</t>
        </is>
      </c>
      <c r="V146" s="353" t="inlineStr">
        <is>
          <t>Verified — primary source</t>
        </is>
      </c>
      <c r="W146" s="353" t="inlineStr">
        <is>
          <t>Retain; explicitly label USD472m as net consideration, not headline gross price. CORRECTED 2026-08-02: completion date 25 April 2025 replaced with 28 April 2025, the date of ESCO's completion release.</t>
        </is>
      </c>
    </row>
    <row r="147" ht="45" customHeight="1">
      <c r="A147" s="353" t="inlineStr">
        <is>
          <t>EUR-057</t>
        </is>
      </c>
      <c r="B147" s="353" t="inlineStr">
        <is>
          <t>Europe</t>
        </is>
      </c>
      <c r="C147" s="353" t="inlineStr">
        <is>
          <t>Germany</t>
        </is>
      </c>
      <c r="D147" s="353" t="inlineStr">
        <is>
          <t>e.sigma Systems GmbH</t>
        </is>
      </c>
      <c r="E147" s="353" t="inlineStr">
        <is>
          <t>Diehl Defence GmbH &amp; Co. KG</t>
        </is>
      </c>
      <c r="F147" s="353" t="inlineStr">
        <is>
          <t>Germany</t>
        </is>
      </c>
      <c r="G147" s="353" t="inlineStr">
        <is>
          <t>Not disclosed</t>
        </is>
      </c>
      <c r="H147" s="403" t="n">
        <v>45810</v>
      </c>
      <c r="I147" s="403" t="n">
        <v>45810</v>
      </c>
      <c r="J147" s="353" t="n">
        <v>2025</v>
      </c>
      <c r="K147" s="353" t="inlineStr">
        <is>
          <t>M&amp;A</t>
        </is>
      </c>
      <c r="L147" s="353" t="inlineStr">
        <is>
          <t>Full acquisition</t>
        </is>
      </c>
      <c r="M147" s="353" t="inlineStr">
        <is>
          <t>Completed</t>
        </is>
      </c>
      <c r="N147" s="353" t="inlineStr">
        <is>
          <t>Not disclosed</t>
        </is>
      </c>
      <c r="O147" s="353" t="inlineStr">
        <is>
          <t>Not disclosed</t>
        </is>
      </c>
      <c r="P147" s="353" t="inlineStr">
        <is>
          <t>Software / Services</t>
        </is>
      </c>
      <c r="Q147" s="353" t="inlineStr">
        <is>
          <t>Training &amp; Simulation</t>
        </is>
      </c>
      <c r="R147" s="353" t="inlineStr">
        <is>
          <t>Core A&amp;D</t>
        </is>
      </c>
      <c r="S147" s="353" t="inlineStr">
        <is>
          <t>e.sigma develops military training, simulation, command-and-control and secure voice/AI software.</t>
        </is>
      </c>
      <c r="T147" s="353" t="inlineStr">
        <is>
          <t>Verified — primary source</t>
        </is>
      </c>
      <c r="U147" s="353" t="inlineStr">
        <is>
          <t>https://new.diehl.com/defence/en/press-media/news/takeover-of-e.sigma-systems-gmbh</t>
        </is>
      </c>
      <c r="V147" s="353" t="inlineStr">
        <is>
          <t>Verified — primary source</t>
        </is>
      </c>
      <c r="W147" s="353" t="inlineStr">
        <is>
          <t>Confirmed omission from the original Europe 2025 section.</t>
        </is>
      </c>
    </row>
    <row r="148" ht="45" customHeight="1">
      <c r="A148" s="353" t="inlineStr">
        <is>
          <t>EUR-058</t>
        </is>
      </c>
      <c r="B148" s="353" t="inlineStr">
        <is>
          <t>Europe</t>
        </is>
      </c>
      <c r="C148" s="353" t="inlineStr">
        <is>
          <t>Finland</t>
        </is>
      </c>
      <c r="D148" s="353" t="inlineStr">
        <is>
          <t>Summa Defence Oy</t>
        </is>
      </c>
      <c r="E148" s="353" t="inlineStr">
        <is>
          <t>Meriaura Group Plc, renamed Summa Defence Oyj</t>
        </is>
      </c>
      <c r="F148" s="353" t="inlineStr">
        <is>
          <t>Finland</t>
        </is>
      </c>
      <c r="G148" s="353" t="inlineStr">
        <is>
          <t>Summa Defence shareholders</t>
        </is>
      </c>
      <c r="H148" s="403" t="n">
        <v>45817</v>
      </c>
      <c r="I148" s="403" t="n">
        <v>45817</v>
      </c>
      <c r="J148" s="353" t="n">
        <v>2025</v>
      </c>
      <c r="K148" s="353" t="inlineStr">
        <is>
          <t>M&amp;A</t>
        </is>
      </c>
      <c r="L148" s="353" t="inlineStr">
        <is>
          <t>Share-exchange merger/reverse acquisition</t>
        </is>
      </c>
      <c r="M148" s="353" t="inlineStr">
        <is>
          <t>Completed</t>
        </is>
      </c>
      <c r="N148" s="353" t="inlineStr">
        <is>
          <t>Not disclosed</t>
        </is>
      </c>
      <c r="O148" s="353" t="inlineStr">
        <is>
          <t>EUR</t>
        </is>
      </c>
      <c r="P148" s="353" t="inlineStr">
        <is>
          <t>Hardware / Software / Services</t>
        </is>
      </c>
      <c r="Q148" s="353" t="inlineStr">
        <is>
          <t>Defence Services &amp; Engineering</t>
        </is>
      </c>
      <c r="R148" s="353" t="inlineStr">
        <is>
          <t>Core A&amp;D</t>
        </is>
      </c>
      <c r="S148" s="353" t="inlineStr">
        <is>
          <t>Summa Defence is a dedicated defence and security technology group.</t>
        </is>
      </c>
      <c r="T148" s="353" t="inlineStr">
        <is>
          <t>Verified — primary source</t>
        </is>
      </c>
      <c r="U148" s="353" t="inlineStr">
        <is>
          <t>https://news.cision.com/summa-defence-oyj/r/the-merger-of-meriaura-group-plc-and-summa-defence-oy-has-been-completed%2Cc4160816</t>
        </is>
      </c>
      <c r="V148" s="353" t="inlineStr">
        <is>
          <t>Verified — primary source</t>
        </is>
      </c>
      <c r="W148" s="353" t="inlineStr">
        <is>
          <t>Confirmed omission; classify separately as a completed share-exchange merger/reverse acquisition rather than a conventional IPO.</t>
        </is>
      </c>
    </row>
    <row r="149" ht="45" customHeight="1">
      <c r="A149" s="353" t="inlineStr">
        <is>
          <t>EUR-059</t>
        </is>
      </c>
      <c r="B149" s="353" t="inlineStr">
        <is>
          <t>Europe</t>
        </is>
      </c>
      <c r="C149" s="353" t="inlineStr">
        <is>
          <t>Spain</t>
        </is>
      </c>
      <c r="D149" s="353" t="inlineStr">
        <is>
          <t>Tess-Defence</t>
        </is>
      </c>
      <c r="E149" s="353" t="inlineStr">
        <is>
          <t>Indra Sistemas S.A.</t>
        </is>
      </c>
      <c r="F149" s="353" t="inlineStr">
        <is>
          <t>Spain</t>
        </is>
      </c>
      <c r="G149" s="353" t="inlineStr">
        <is>
          <t>Not disclosed</t>
        </is>
      </c>
      <c r="H149" s="403" t="n">
        <v>45565</v>
      </c>
      <c r="I149" s="403" t="n">
        <v>45821</v>
      </c>
      <c r="J149" s="353" t="n">
        <v>2025</v>
      </c>
      <c r="K149" s="353" t="inlineStr">
        <is>
          <t>M&amp;A</t>
        </is>
      </c>
      <c r="L149" s="353" t="inlineStr">
        <is>
          <t>Incremental acquisition producing majority control</t>
        </is>
      </c>
      <c r="M149" s="353" t="inlineStr">
        <is>
          <t>Completed</t>
        </is>
      </c>
      <c r="N149" s="353" t="inlineStr">
        <is>
          <t>Not disclosed</t>
        </is>
      </c>
      <c r="O149" s="353" t="inlineStr">
        <is>
          <t>Not disclosed</t>
        </is>
      </c>
      <c r="P149" s="353" t="inlineStr">
        <is>
          <t>Hardware / Services</t>
        </is>
      </c>
      <c r="Q149" s="353" t="inlineStr">
        <is>
          <t>Land Systems &amp; Military Vehicles</t>
        </is>
      </c>
      <c r="R149" s="353" t="inlineStr">
        <is>
          <t>Core A&amp;D</t>
        </is>
      </c>
      <c r="S149" s="353" t="inlineStr">
        <is>
          <t>TESS Defence is a core Spanish defence land-systems joint venture, but no qualifying 2024 completion occurred.</t>
        </is>
      </c>
      <c r="T149" s="353" t="inlineStr">
        <is>
          <t>Verified — primary source</t>
        </is>
      </c>
      <c r="U149" s="353" t="inlineStr">
        <is>
          <t>https://www.indragroup.com/en/news/indra-acquires-majority-stake-tess-defence</t>
        </is>
      </c>
      <c r="V149" s="353" t="inlineStr">
        <is>
          <t>Verified — primary source</t>
        </is>
      </c>
      <c r="W149" s="353" t="inlineStr">
        <is>
          <t>Move to 2025: the 2024 entry was an agreement; the 26.34% incremental purchase completed on 13 June 2025 and raised Indra's ownership to 51.01% control. Promoted to the completed population because the transaction legally closed by the 2026-08-02 cutoff.</t>
        </is>
      </c>
    </row>
    <row r="150" ht="45" customHeight="1">
      <c r="A150" s="353" t="inlineStr">
        <is>
          <t>EUR-060</t>
        </is>
      </c>
      <c r="B150" s="353" t="inlineStr">
        <is>
          <t>Europe</t>
        </is>
      </c>
      <c r="C150" s="353" t="inlineStr">
        <is>
          <t>Norway</t>
        </is>
      </c>
      <c r="D150" s="353" t="inlineStr">
        <is>
          <t>Fjord Defence AS</t>
        </is>
      </c>
      <c r="E150" s="353" t="inlineStr">
        <is>
          <t>Aquila Holdings ASA, renamed Fjord Defence Group ASA</t>
        </is>
      </c>
      <c r="F150" s="353" t="inlineStr">
        <is>
          <t>Norway</t>
        </is>
      </c>
      <c r="G150" s="353" t="inlineStr">
        <is>
          <t>Not disclosed</t>
        </is>
      </c>
      <c r="H150" s="403" t="n">
        <v>45828</v>
      </c>
      <c r="I150" s="403" t="n">
        <v>45828</v>
      </c>
      <c r="J150" s="353" t="n">
        <v>2025</v>
      </c>
      <c r="K150" s="353" t="inlineStr">
        <is>
          <t>M&amp;A</t>
        </is>
      </c>
      <c r="L150" s="353" t="inlineStr">
        <is>
          <t>Full acquisition/share consideration</t>
        </is>
      </c>
      <c r="M150" s="353" t="inlineStr">
        <is>
          <t>Completed</t>
        </is>
      </c>
      <c r="N150" s="353" t="inlineStr">
        <is>
          <t>Not disclosed</t>
        </is>
      </c>
      <c r="O150" s="353" t="inlineStr">
        <is>
          <t>NOK</t>
        </is>
      </c>
      <c r="P150" s="353" t="inlineStr">
        <is>
          <t>Hardware / Software / Services</t>
        </is>
      </c>
      <c r="Q150" s="353" t="inlineStr">
        <is>
          <t>Ammunition &amp; Weapons</t>
        </is>
      </c>
      <c r="R150" s="353" t="inlineStr">
        <is>
          <t>Core A&amp;D</t>
        </is>
      </c>
      <c r="S150" s="353" t="inlineStr">
        <is>
          <t>Fjord Defence develops weapon-integration systems and defence-platform technology.</t>
        </is>
      </c>
      <c r="T150" s="353" t="inlineStr">
        <is>
          <t>Verified — primary source</t>
        </is>
      </c>
      <c r="U150" s="353" t="inlineStr">
        <is>
          <t>https://live.euronext.com/en/products/equities/company-news/2025-06-20-aquila-holdings-successful-completion-fjord-defence</t>
        </is>
      </c>
      <c r="V150" s="353" t="inlineStr">
        <is>
          <t>Verified — primary source</t>
        </is>
      </c>
      <c r="W150" s="353" t="inlineStr">
        <is>
          <t>Confirmed omission; label value basis carefully because share-price accounting changed the completion value.</t>
        </is>
      </c>
    </row>
    <row r="151" ht="45" customHeight="1">
      <c r="A151" s="353" t="inlineStr">
        <is>
          <t>EUR-061</t>
        </is>
      </c>
      <c r="B151" s="353" t="inlineStr">
        <is>
          <t>Europe</t>
        </is>
      </c>
      <c r="C151" s="353" t="inlineStr">
        <is>
          <t>United Kingdom</t>
        </is>
      </c>
      <c r="D151" s="353" t="inlineStr">
        <is>
          <t>Slingsby Advanced Composites Ltd.</t>
        </is>
      </c>
      <c r="E151" s="353" t="inlineStr">
        <is>
          <t>Mangohojden AB</t>
        </is>
      </c>
      <c r="F151" s="353" t="inlineStr">
        <is>
          <t>Sweden</t>
        </is>
      </c>
      <c r="G151" s="353" t="inlineStr">
        <is>
          <t>Marshall Group</t>
        </is>
      </c>
      <c r="H151" s="403" t="n">
        <v>45838</v>
      </c>
      <c r="I151" s="403" t="n">
        <v>45838</v>
      </c>
      <c r="J151" s="353" t="n">
        <v>2025</v>
      </c>
      <c r="K151" s="353" t="inlineStr">
        <is>
          <t>M&amp;A</t>
        </is>
      </c>
      <c r="L151" s="353" t="inlineStr">
        <is>
          <t>Full acquisition</t>
        </is>
      </c>
      <c r="M151" s="353" t="inlineStr">
        <is>
          <t>Completed</t>
        </is>
      </c>
      <c r="N151" s="353" t="inlineStr">
        <is>
          <t>Not disclosed</t>
        </is>
      </c>
      <c r="O151" s="353" t="inlineStr">
        <is>
          <t>Not disclosed</t>
        </is>
      </c>
      <c r="P151" s="353" t="inlineStr">
        <is>
          <t>Hardware</t>
        </is>
      </c>
      <c r="Q151" s="353" t="inlineStr">
        <is>
          <t>Aerospace Materials &amp; Components</t>
        </is>
      </c>
      <c r="R151" s="353" t="inlineStr">
        <is>
          <t>Core A&amp;D</t>
        </is>
      </c>
      <c r="S151" s="353" t="inlineStr">
        <is>
          <t>Slingsby manufactures complex composite structures for land, air and sea defence applications.</t>
        </is>
      </c>
      <c r="T151" s="353" t="inlineStr">
        <is>
          <t>Verified — primary source</t>
        </is>
      </c>
      <c r="U151" s="353" t="inlineStr">
        <is>
          <t>https://marshallgroup.com/en/news-stories/acquisition-of-slingsby-advanced-composites-by-mangohojden-ab</t>
        </is>
      </c>
      <c r="V151" s="353" t="inlineStr">
        <is>
          <t>Verified — primary source</t>
        </is>
      </c>
      <c r="W151" s="353" t="inlineStr">
        <is>
          <t>Confirmed omission from the original Europe 2025 section.</t>
        </is>
      </c>
    </row>
    <row r="152" ht="45" customHeight="1">
      <c r="A152" s="353" t="inlineStr">
        <is>
          <t>EUR-062</t>
        </is>
      </c>
      <c r="B152" s="353" t="inlineStr">
        <is>
          <t>Europe</t>
        </is>
      </c>
      <c r="C152" s="353" t="inlineStr">
        <is>
          <t>Sweden</t>
        </is>
      </c>
      <c r="D152" s="353" t="inlineStr">
        <is>
          <t>Milso AB</t>
        </is>
      </c>
      <c r="E152" s="353" t="inlineStr">
        <is>
          <t>Knowit AB</t>
        </is>
      </c>
      <c r="F152" s="353" t="inlineStr">
        <is>
          <t>Sweden</t>
        </is>
      </c>
      <c r="G152" s="353" t="inlineStr">
        <is>
          <t>Not disclosed</t>
        </is>
      </c>
      <c r="H152" s="403" t="n">
        <v>45839</v>
      </c>
      <c r="I152" s="403" t="n">
        <v>45839</v>
      </c>
      <c r="J152" s="353" t="n">
        <v>2025</v>
      </c>
      <c r="K152" s="353" t="inlineStr">
        <is>
          <t>M&amp;A</t>
        </is>
      </c>
      <c r="L152" s="353" t="inlineStr">
        <is>
          <t>Full acquisition</t>
        </is>
      </c>
      <c r="M152" s="353" t="inlineStr">
        <is>
          <t>Completed</t>
        </is>
      </c>
      <c r="N152" s="353" t="inlineStr">
        <is>
          <t>Not disclosed</t>
        </is>
      </c>
      <c r="O152" s="353" t="inlineStr">
        <is>
          <t>SEK</t>
        </is>
      </c>
      <c r="P152" s="353" t="inlineStr">
        <is>
          <t>Services</t>
        </is>
      </c>
      <c r="Q152" s="353" t="inlineStr">
        <is>
          <t>Defence Services &amp; Engineering</t>
        </is>
      </c>
      <c r="R152" s="353" t="inlineStr">
        <is>
          <t>Core A&amp;D</t>
        </is>
      </c>
      <c r="S152" s="353" t="inlineStr">
        <is>
          <t>Milso is a defence-focused technology, management and IT consultancy.</t>
        </is>
      </c>
      <c r="T152" s="353" t="inlineStr">
        <is>
          <t>Verified — primary source</t>
        </is>
      </c>
      <c r="U152" s="353" t="inlineStr">
        <is>
          <t>https://www.knowit.eu/news-press/knowit-acquires-consulting-firm-milso-and-further-strengthens-its-position-in-the-defense-sector/</t>
        </is>
      </c>
      <c r="V152" s="353" t="inlineStr">
        <is>
          <t>Verified — primary source</t>
        </is>
      </c>
      <c r="W152" s="353" t="inlineStr">
        <is>
          <t>Retain as a completed defence-technology services acquisition.</t>
        </is>
      </c>
    </row>
    <row r="153" ht="45" customHeight="1">
      <c r="A153" s="353" t="inlineStr">
        <is>
          <t>EUR-063</t>
        </is>
      </c>
      <c r="B153" s="353" t="inlineStr">
        <is>
          <t>Europe</t>
        </is>
      </c>
      <c r="C153" s="353" t="inlineStr">
        <is>
          <t>Spain</t>
        </is>
      </c>
      <c r="D153" s="353" t="inlineStr">
        <is>
          <t>Nightvision Lasers Spain S.L.</t>
        </is>
      </c>
      <c r="E153" s="353" t="inlineStr">
        <is>
          <t>Exosens</t>
        </is>
      </c>
      <c r="F153" s="353" t="inlineStr">
        <is>
          <t>France</t>
        </is>
      </c>
      <c r="G153" s="353" t="inlineStr">
        <is>
          <t>Not disclosed</t>
        </is>
      </c>
      <c r="H153" s="403" t="n">
        <v>45854</v>
      </c>
      <c r="I153" s="403" t="n">
        <v>45853</v>
      </c>
      <c r="J153" s="353" t="n">
        <v>2025</v>
      </c>
      <c r="K153" s="353" t="inlineStr">
        <is>
          <t>M&amp;A</t>
        </is>
      </c>
      <c r="L153" s="353" t="inlineStr">
        <is>
          <t>Majority control acquisition</t>
        </is>
      </c>
      <c r="M153" s="353" t="inlineStr">
        <is>
          <t>Completed</t>
        </is>
      </c>
      <c r="N153" s="353" t="inlineStr">
        <is>
          <t>Not disclosed</t>
        </is>
      </c>
      <c r="O153" s="353" t="inlineStr">
        <is>
          <t>EUR</t>
        </is>
      </c>
      <c r="P153" s="353" t="inlineStr">
        <is>
          <t>Hardware</t>
        </is>
      </c>
      <c r="Q153" s="353" t="inlineStr">
        <is>
          <t>Defence Electronics &amp; Sensors</t>
        </is>
      </c>
      <c r="R153" s="353" t="inlineStr">
        <is>
          <t>Core A&amp;D</t>
        </is>
      </c>
      <c r="S153" s="353" t="inlineStr">
        <is>
          <t>NVLS develops laser and night-vision technologies for defence applications.</t>
        </is>
      </c>
      <c r="T153" s="353" t="inlineStr">
        <is>
          <t>Verified — primary source</t>
        </is>
      </c>
      <c r="U153" s="353" t="inlineStr">
        <is>
          <t>https://ldar.exosens.com/system/files/2025-09/Exosens%20RFS%20EN%202025_06.pdf</t>
        </is>
      </c>
      <c r="V153" s="353" t="inlineStr">
        <is>
          <t>Verified — primary source</t>
        </is>
      </c>
      <c r="W153" s="353" t="inlineStr">
        <is>
          <t>Correct from full acquisition/16 July to 75% majority acquisition closed 15 July.</t>
        </is>
      </c>
    </row>
    <row r="154" ht="45" customHeight="1">
      <c r="A154" s="353" t="inlineStr">
        <is>
          <t>EUR-064</t>
        </is>
      </c>
      <c r="B154" s="353" t="inlineStr">
        <is>
          <t>Europe</t>
        </is>
      </c>
      <c r="C154" s="353" t="inlineStr">
        <is>
          <t>United Kingdom</t>
        </is>
      </c>
      <c r="D154" s="353" t="inlineStr">
        <is>
          <t>Beadlight Ltd.</t>
        </is>
      </c>
      <c r="E154" s="353" t="inlineStr">
        <is>
          <t>Loar Holdings Inc.</t>
        </is>
      </c>
      <c r="F154" s="353" t="inlineStr">
        <is>
          <t>United States</t>
        </is>
      </c>
      <c r="G154" s="353" t="inlineStr">
        <is>
          <t>Original BTC</t>
        </is>
      </c>
      <c r="H154" s="403" t="n">
        <v>45866</v>
      </c>
      <c r="I154" s="403" t="n">
        <v>45866</v>
      </c>
      <c r="J154" s="353" t="n">
        <v>2025</v>
      </c>
      <c r="K154" s="353" t="inlineStr">
        <is>
          <t>M&amp;A</t>
        </is>
      </c>
      <c r="L154" s="353" t="inlineStr">
        <is>
          <t>Corporate divestiture</t>
        </is>
      </c>
      <c r="M154" s="353" t="inlineStr">
        <is>
          <t>Completed</t>
        </is>
      </c>
      <c r="N154" s="353" t="inlineStr">
        <is>
          <t>Not disclosed</t>
        </is>
      </c>
      <c r="O154" s="353" t="inlineStr">
        <is>
          <t>GBP</t>
        </is>
      </c>
      <c r="P154" s="353" t="inlineStr">
        <is>
          <t>Hardware</t>
        </is>
      </c>
      <c r="Q154" s="353" t="inlineStr">
        <is>
          <t>Aerospace Platforms &amp; Components</t>
        </is>
      </c>
      <c r="R154" s="353" t="inlineStr">
        <is>
          <t>Core A&amp;D</t>
        </is>
      </c>
      <c r="S154" s="353" t="inlineStr">
        <is>
          <t>Beadlight designs and manufactures LED lighting products for aircraft interiors.</t>
        </is>
      </c>
      <c r="T154" s="353" t="inlineStr">
        <is>
          <t>Verified — primary source</t>
        </is>
      </c>
      <c r="U154" s="353" t="inlineStr">
        <is>
          <t>https://ir.loargroup.com/news-events/press-releases/detail/30/loar-holdings-inc-reports-q2-2025-record-results-and-upward-revision-to-2025-outlook-and-announces-the-acquisition-of-beadlight-ltd</t>
        </is>
      </c>
      <c r="V154" s="353" t="inlineStr">
        <is>
          <t>Verified — primary source</t>
        </is>
      </c>
      <c r="W154" s="353" t="inlineStr">
        <is>
          <t>Retain as a commercial-aerospace technology acquisition.</t>
        </is>
      </c>
    </row>
    <row r="155" ht="45" customHeight="1">
      <c r="A155" s="353" t="inlineStr">
        <is>
          <t>EUR-065</t>
        </is>
      </c>
      <c r="B155" s="353" t="inlineStr">
        <is>
          <t>Europe</t>
        </is>
      </c>
      <c r="C155" s="353" t="inlineStr">
        <is>
          <t>Spain</t>
        </is>
      </c>
      <c r="D155" s="353" t="inlineStr">
        <is>
          <t>Málaga Aerospace, Defense &amp; Electronics Systems S.A. (MADES)</t>
        </is>
      </c>
      <c r="E155" s="353" t="inlineStr">
        <is>
          <t>Cicor Technologies Ltd.</t>
        </is>
      </c>
      <c r="F155" s="353" t="inlineStr">
        <is>
          <t>Switzerland</t>
        </is>
      </c>
      <c r="G155" s="353" t="inlineStr">
        <is>
          <t>Not disclosed</t>
        </is>
      </c>
      <c r="H155" s="403" t="inlineStr">
        <is>
          <t>Not disclosed</t>
        </is>
      </c>
      <c r="I155" s="403" t="n">
        <v>45870</v>
      </c>
      <c r="J155" s="353" t="n">
        <v>2025</v>
      </c>
      <c r="K155" s="353" t="inlineStr">
        <is>
          <t>M&amp;A</t>
        </is>
      </c>
      <c r="L155" s="353" t="inlineStr">
        <is>
          <t>Full acquisition</t>
        </is>
      </c>
      <c r="M155" s="353" t="inlineStr">
        <is>
          <t>Completed</t>
        </is>
      </c>
      <c r="N155" s="353" t="inlineStr">
        <is>
          <t>Not disclosed</t>
        </is>
      </c>
      <c r="O155" s="353" t="inlineStr">
        <is>
          <t>EUR</t>
        </is>
      </c>
      <c r="P155" s="353" t="inlineStr">
        <is>
          <t>Hardware</t>
        </is>
      </c>
      <c r="Q155" s="353" t="inlineStr">
        <is>
          <t>Defence Electronics &amp; Sensors</t>
        </is>
      </c>
      <c r="R155" s="353" t="inlineStr">
        <is>
          <t>Core A&amp;D</t>
        </is>
      </c>
      <c r="S155" s="353" t="inlineStr">
        <is>
          <t>MADES manufactures electronics primarily for aerospace and defence customers.</t>
        </is>
      </c>
      <c r="T155" s="353" t="inlineStr">
        <is>
          <t>Verified — primary source</t>
        </is>
      </c>
      <c r="U155" s="353" t="inlineStr">
        <is>
          <t>https://www.cicor.com/en/news/article/cicor-completes-acquisition-of-mades-strengthens-ad-market-leadership-and-sees-no-material-impact-from-us-tariffs/</t>
        </is>
      </c>
      <c r="V155" s="353" t="inlineStr">
        <is>
          <t>Verified — primary source</t>
        </is>
      </c>
      <c r="W155" s="353" t="inlineStr">
        <is>
          <t>Confirmed omission from the original Europe 2025 section.</t>
        </is>
      </c>
    </row>
    <row r="156" ht="45" customHeight="1">
      <c r="A156" s="353" t="inlineStr">
        <is>
          <t>EUR-066</t>
        </is>
      </c>
      <c r="B156" s="353" t="inlineStr">
        <is>
          <t>Europe</t>
        </is>
      </c>
      <c r="C156" s="353" t="inlineStr">
        <is>
          <t>Belgium</t>
        </is>
      </c>
      <c r="D156" s="353" t="inlineStr">
        <is>
          <t>ILIAS Solutions N.V.</t>
        </is>
      </c>
      <c r="E156" s="353" t="inlineStr">
        <is>
          <t>Patria Oyj</t>
        </is>
      </c>
      <c r="F156" s="353" t="inlineStr">
        <is>
          <t>Finland</t>
        </is>
      </c>
      <c r="G156" s="353" t="inlineStr">
        <is>
          <t>Not disclosed</t>
        </is>
      </c>
      <c r="H156" s="403" t="inlineStr">
        <is>
          <t>Not disclosed</t>
        </is>
      </c>
      <c r="I156" s="403" t="n">
        <v>45901</v>
      </c>
      <c r="J156" s="353" t="n">
        <v>2025</v>
      </c>
      <c r="K156" s="353" t="inlineStr">
        <is>
          <t>M&amp;A</t>
        </is>
      </c>
      <c r="L156" s="353" t="inlineStr">
        <is>
          <t>Full acquisition</t>
        </is>
      </c>
      <c r="M156" s="353" t="inlineStr">
        <is>
          <t>Completed</t>
        </is>
      </c>
      <c r="N156" s="353" t="inlineStr">
        <is>
          <t>Not disclosed</t>
        </is>
      </c>
      <c r="O156" s="353" t="inlineStr">
        <is>
          <t>Not disclosed</t>
        </is>
      </c>
      <c r="P156" s="353" t="inlineStr">
        <is>
          <t>Software / Services</t>
        </is>
      </c>
      <c r="Q156" s="353" t="inlineStr">
        <is>
          <t>Cyber &amp; Digital Defence</t>
        </is>
      </c>
      <c r="R156" s="353" t="inlineStr">
        <is>
          <t>Core A&amp;D</t>
        </is>
      </c>
      <c r="S156" s="353" t="inlineStr">
        <is>
          <t>ILIAS develops integrated digital resource-management software specifically for armed forces.</t>
        </is>
      </c>
      <c r="T156" s="353" t="inlineStr">
        <is>
          <t>Verified — primary source</t>
        </is>
      </c>
      <c r="U156" s="353" t="inlineStr">
        <is>
          <t>https://www.patriagroup.com/newsroom/news/2025/patria-has-completed-the-acquisition-of-ilias-solutions</t>
        </is>
      </c>
      <c r="V156" s="353" t="inlineStr">
        <is>
          <t>Verified — primary source</t>
        </is>
      </c>
      <c r="W156" s="353" t="inlineStr">
        <is>
          <t>Confirmed omission from the original Europe 2025 section.</t>
        </is>
      </c>
    </row>
    <row r="157" ht="45" customHeight="1">
      <c r="A157" s="353" t="inlineStr">
        <is>
          <t>EUR-067</t>
        </is>
      </c>
      <c r="B157" s="353" t="inlineStr">
        <is>
          <t>Europe</t>
        </is>
      </c>
      <c r="C157" s="353" t="inlineStr">
        <is>
          <t>France</t>
        </is>
      </c>
      <c r="D157" s="353" t="inlineStr">
        <is>
          <t>Sofisport</t>
        </is>
      </c>
      <c r="E157" s="353" t="inlineStr">
        <is>
          <t>FN Browning Group</t>
        </is>
      </c>
      <c r="F157" s="353" t="inlineStr">
        <is>
          <t>Belgium</t>
        </is>
      </c>
      <c r="G157" s="353" t="inlineStr">
        <is>
          <t>Not disclosed</t>
        </is>
      </c>
      <c r="H157" s="403" t="n">
        <v>45930</v>
      </c>
      <c r="I157" s="403" t="n">
        <v>45930</v>
      </c>
      <c r="J157" s="353" t="n">
        <v>2025</v>
      </c>
      <c r="K157" s="353" t="inlineStr">
        <is>
          <t>M&amp;A</t>
        </is>
      </c>
      <c r="L157" s="353" t="inlineStr">
        <is>
          <t>Full acquisition</t>
        </is>
      </c>
      <c r="M157" s="353" t="inlineStr">
        <is>
          <t>Completed</t>
        </is>
      </c>
      <c r="N157" s="353" t="inlineStr">
        <is>
          <t>Not disclosed</t>
        </is>
      </c>
      <c r="O157" s="353" t="inlineStr">
        <is>
          <t>Not disclosed</t>
        </is>
      </c>
      <c r="P157" s="353" t="inlineStr">
        <is>
          <t>Hardware</t>
        </is>
      </c>
      <c r="Q157" s="353" t="inlineStr">
        <is>
          <t>Ammunition &amp; Weapons</t>
        </is>
      </c>
      <c r="R157" s="353" t="inlineStr">
        <is>
          <t>Core A&amp;D</t>
        </is>
      </c>
      <c r="S157" s="353" t="inlineStr">
        <is>
          <t>Sofisport manufactures small-calibre ammunition and ammunition components for defence/security and sporting markets.</t>
        </is>
      </c>
      <c r="T157" s="353" t="inlineStr">
        <is>
          <t>Verified — primary source</t>
        </is>
      </c>
      <c r="U157" s="353" t="inlineStr">
        <is>
          <t>https://fnherstal.com/en/news/fn-browning-group-announces-the-completion-of-its-acquisition-of-sofisport/</t>
        </is>
      </c>
      <c r="V157" s="353" t="inlineStr">
        <is>
          <t>Verified — primary source</t>
        </is>
      </c>
      <c r="W157" s="353" t="inlineStr">
        <is>
          <t>Confirmed omission under the strict defence-ammunition category.</t>
        </is>
      </c>
    </row>
    <row r="158" ht="45" customHeight="1">
      <c r="A158" s="353" t="inlineStr">
        <is>
          <t>EUR-068</t>
        </is>
      </c>
      <c r="B158" s="353" t="inlineStr">
        <is>
          <t>Europe</t>
        </is>
      </c>
      <c r="C158" s="353" t="inlineStr">
        <is>
          <t>Finland</t>
        </is>
      </c>
      <c r="D158" s="353" t="inlineStr">
        <is>
          <t>Milectria Group</t>
        </is>
      </c>
      <c r="E158" s="353" t="inlineStr">
        <is>
          <t>HANZA AB</t>
        </is>
      </c>
      <c r="F158" s="353" t="inlineStr">
        <is>
          <t>Sweden</t>
        </is>
      </c>
      <c r="G158" s="353" t="inlineStr">
        <is>
          <t>Not disclosed</t>
        </is>
      </c>
      <c r="H158" s="403" t="n">
        <v>45931</v>
      </c>
      <c r="I158" s="403" t="n">
        <v>45931</v>
      </c>
      <c r="J158" s="353" t="n">
        <v>2025</v>
      </c>
      <c r="K158" s="353" t="inlineStr">
        <is>
          <t>M&amp;A</t>
        </is>
      </c>
      <c r="L158" s="353" t="inlineStr">
        <is>
          <t>Full acquisition</t>
        </is>
      </c>
      <c r="M158" s="353" t="inlineStr">
        <is>
          <t>Completed</t>
        </is>
      </c>
      <c r="N158" s="353" t="inlineStr">
        <is>
          <t>Not disclosed</t>
        </is>
      </c>
      <c r="O158" s="353" t="inlineStr">
        <is>
          <t>SEK</t>
        </is>
      </c>
      <c r="P158" s="353" t="inlineStr">
        <is>
          <t>Hardware / Services</t>
        </is>
      </c>
      <c r="Q158" s="353" t="inlineStr">
        <is>
          <t>Power, Propulsion &amp; Energy</t>
        </is>
      </c>
      <c r="R158" s="353" t="inlineStr">
        <is>
          <t>Core A&amp;D</t>
        </is>
      </c>
      <c r="S158" s="353" t="inlineStr">
        <is>
          <t>Milectria manufactures electrical systems specifically for military platforms and defence customers.</t>
        </is>
      </c>
      <c r="T158" s="353" t="inlineStr">
        <is>
          <t>Verified — primary source</t>
        </is>
      </c>
      <c r="U158" s="353" t="inlineStr">
        <is>
          <t>https://hanza.com/investor/pressreleases/hanza-completes-acquisition-and-expands-capacity-for-the-defense-industry/</t>
        </is>
      </c>
      <c r="V158" s="353" t="inlineStr">
        <is>
          <t>Verified — primary source</t>
        </is>
      </c>
      <c r="W158" s="353" t="inlineStr">
        <is>
          <t>Retain; separate initial and contingent consideration. CORRECTED 2026-08-02: native value was SEK 266m with a SEK 77m earn-out; HANZA's completion release and headline state EUR 17.1m (~SEK 190m) with an earn-out of up to EUR 18m.</t>
        </is>
      </c>
    </row>
    <row r="159" ht="45" customHeight="1">
      <c r="A159" s="353" t="inlineStr">
        <is>
          <t>EUR-069</t>
        </is>
      </c>
      <c r="B159" s="353" t="inlineStr">
        <is>
          <t>Europe</t>
        </is>
      </c>
      <c r="C159" s="353" t="inlineStr">
        <is>
          <t>France</t>
        </is>
      </c>
      <c r="D159" s="353" t="inlineStr">
        <is>
          <t>Paul Boyé Technologies</t>
        </is>
      </c>
      <c r="E159" s="353" t="inlineStr">
        <is>
          <t>NFM Group</t>
        </is>
      </c>
      <c r="F159" s="353" t="inlineStr">
        <is>
          <t>Norway</t>
        </is>
      </c>
      <c r="G159" s="353" t="inlineStr">
        <is>
          <t>Not disclosed</t>
        </is>
      </c>
      <c r="H159" s="403" t="n">
        <v>45938</v>
      </c>
      <c r="I159" s="403" t="n">
        <v>45938</v>
      </c>
      <c r="J159" s="353" t="n">
        <v>2025</v>
      </c>
      <c r="K159" s="353" t="inlineStr">
        <is>
          <t>M&amp;A</t>
        </is>
      </c>
      <c r="L159" s="353" t="inlineStr">
        <is>
          <t>Control acquisition</t>
        </is>
      </c>
      <c r="M159" s="353" t="inlineStr">
        <is>
          <t>Completed</t>
        </is>
      </c>
      <c r="N159" s="353" t="inlineStr">
        <is>
          <t>Not disclosed</t>
        </is>
      </c>
      <c r="O159" s="353" t="inlineStr">
        <is>
          <t>Not disclosed</t>
        </is>
      </c>
      <c r="P159" s="353" t="inlineStr">
        <is>
          <t>Hardware</t>
        </is>
      </c>
      <c r="Q159" s="353" t="inlineStr">
        <is>
          <t>Land Systems &amp; Military Vehicles</t>
        </is>
      </c>
      <c r="R159" s="353" t="inlineStr">
        <is>
          <t>Core A&amp;D</t>
        </is>
      </c>
      <c r="S159" s="353" t="inlineStr">
        <is>
          <t>Paul Boyé develops and manufactures protective and combat equipment for military and security customers.</t>
        </is>
      </c>
      <c r="T159" s="353" t="inlineStr">
        <is>
          <t>Verified — primary source</t>
        </is>
      </c>
      <c r="U159" s="353" t="inlineStr">
        <is>
          <t>https://www.paul-boye.fr/</t>
        </is>
      </c>
      <c r="V159" s="353" t="inlineStr">
        <is>
          <t>Verified — primary source</t>
        </is>
      </c>
      <c r="W159" s="353" t="inlineStr">
        <is>
          <t>Confirmed omission; ownership percentage and consideration were not publicly disclosed in the cited company notice.</t>
        </is>
      </c>
    </row>
    <row r="160" ht="45" customHeight="1">
      <c r="A160" s="353" t="inlineStr">
        <is>
          <t>EUR-070</t>
        </is>
      </c>
      <c r="B160" s="353" t="inlineStr">
        <is>
          <t>Europe</t>
        </is>
      </c>
      <c r="C160" s="353" t="inlineStr">
        <is>
          <t>Germany</t>
        </is>
      </c>
      <c r="D160" s="353" t="inlineStr">
        <is>
          <t>TKMS AG &amp; Co. KGaA</t>
        </is>
      </c>
      <c r="E160" s="353" t="inlineStr">
        <is>
          <t>Frankfurt Stock Exchange (Prime Standard) — admission to trading</t>
        </is>
      </c>
      <c r="F160" s="353" t="inlineStr">
        <is>
          <t>N/A — listing</t>
        </is>
      </c>
      <c r="G160" s="353" t="inlineStr">
        <is>
          <t>thyssenkrupp AG (49% distributed to its shareholders; 51% retained)</t>
        </is>
      </c>
      <c r="H160" s="403" t="n">
        <v>45882</v>
      </c>
      <c r="I160" s="403" t="n">
        <v>45950</v>
      </c>
      <c r="J160" s="353" t="n">
        <v>2025</v>
      </c>
      <c r="K160" s="353" t="inlineStr">
        <is>
          <t>IPO</t>
        </is>
      </c>
      <c r="L160" s="353" t="inlineStr">
        <is>
          <t>Spin-off admission to trading (no public offering; no proceeds raised)</t>
        </is>
      </c>
      <c r="M160" s="353" t="inlineStr">
        <is>
          <t>Completed</t>
        </is>
      </c>
      <c r="N160" s="353" t="inlineStr">
        <is>
          <t>Not applicable</t>
        </is>
      </c>
      <c r="O160" s="353" t="inlineStr">
        <is>
          <t>Not applicable</t>
        </is>
      </c>
      <c r="P160" s="353" t="inlineStr">
        <is>
          <t>Hardware / Services</t>
        </is>
      </c>
      <c r="Q160" s="353" t="inlineStr">
        <is>
          <t>Naval &amp; Underwater Systems</t>
        </is>
      </c>
      <c r="R160" s="353" t="inlineStr">
        <is>
          <t>Core A&amp;D</t>
        </is>
      </c>
      <c r="S160" s="353" t="inlineStr">
        <is>
          <t>Submarines, frigates and maritime defence systems. TKMS is one of Europe’s largest pure-play naval defence companies, with an order backlog of approximately EUR 18.6bn at listing.</t>
        </is>
      </c>
      <c r="T160" s="353" t="inlineStr">
        <is>
          <t>Verified — primary source</t>
        </is>
      </c>
      <c r="U160" s="353" t="inlineStr">
        <is>
          <t>https://www.tkmsgroup.com/news/article/tkms-lists-on-the-frankfurt-stock-exchange-successful-market-debut-for-maritime-defense-provider</t>
        </is>
      </c>
      <c r="V160" s="353" t="inlineStr">
        <is>
          <t>Verified — primary source</t>
        </is>
      </c>
      <c r="W160" s="353" t="inlineStr">
        <is>
          <t>ADDED 2026-08-02: absent from the original workbook and from the audit log. This is the largest European pure-play naval defence listing of the review period. NOTE ON SCOPE: it is a spin-off admission, not a public offering, so it does not meet the workbook’s strict "Completed IPO" definition. It is included and explicitly flagged in Deal Structure so it can be filtered out if the strict offering test is preferred.</t>
        </is>
      </c>
    </row>
    <row r="161" ht="45" customHeight="1">
      <c r="A161" s="353" t="inlineStr">
        <is>
          <t>EUR-071</t>
        </is>
      </c>
      <c r="B161" s="353" t="inlineStr">
        <is>
          <t>Europe</t>
        </is>
      </c>
      <c r="C161" s="353" t="inlineStr">
        <is>
          <t>United Kingdom</t>
        </is>
      </c>
      <c r="D161" s="353" t="inlineStr">
        <is>
          <t>Nasmyth Group Ltd.</t>
        </is>
      </c>
      <c r="E161" s="353" t="inlineStr">
        <is>
          <t>Sigma Advanced Systems UK Ltd.</t>
        </is>
      </c>
      <c r="F161" s="353" t="inlineStr">
        <is>
          <t>United Kingdom</t>
        </is>
      </c>
      <c r="G161" s="353" t="inlineStr">
        <is>
          <t>Not disclosed</t>
        </is>
      </c>
      <c r="H161" s="403" t="n">
        <v>45964</v>
      </c>
      <c r="I161" s="403" t="n">
        <v>45962</v>
      </c>
      <c r="J161" s="353" t="n">
        <v>2025</v>
      </c>
      <c r="K161" s="353" t="inlineStr">
        <is>
          <t>M&amp;A</t>
        </is>
      </c>
      <c r="L161" s="353" t="inlineStr">
        <is>
          <t>Full acquisition</t>
        </is>
      </c>
      <c r="M161" s="353" t="inlineStr">
        <is>
          <t>Completed</t>
        </is>
      </c>
      <c r="N161" s="353" t="inlineStr">
        <is>
          <t>Not disclosed</t>
        </is>
      </c>
      <c r="O161" s="353" t="inlineStr">
        <is>
          <t>GBP</t>
        </is>
      </c>
      <c r="P161" s="353" t="inlineStr">
        <is>
          <t>Hardware</t>
        </is>
      </c>
      <c r="Q161" s="353" t="inlineStr">
        <is>
          <t>Aerospace Materials &amp; Components</t>
        </is>
      </c>
      <c r="R161" s="353" t="inlineStr">
        <is>
          <t>Core A&amp;D</t>
        </is>
      </c>
      <c r="S161" s="353" t="inlineStr">
        <is>
          <t>Nasmyth manufactures precision components and assemblies for aerospace and defence platforms.</t>
        </is>
      </c>
      <c r="T161" s="353" t="inlineStr">
        <is>
          <t>Verified — primary source</t>
        </is>
      </c>
      <c r="U161" s="353" t="inlineStr">
        <is>
          <t>https://sigmaadvsys.com/investors/announcements/Outcome-of-BM-14022026.pdf</t>
        </is>
      </c>
      <c r="V161" s="353" t="inlineStr">
        <is>
          <t>Verified — primary source</t>
        </is>
      </c>
      <c r="W161" s="353" t="inlineStr">
        <is>
          <t>Use the effective control date of 1 November; 3 November was the public announcement.</t>
        </is>
      </c>
    </row>
    <row r="162" ht="45" customHeight="1">
      <c r="A162" s="353" t="inlineStr">
        <is>
          <t>EUR-072</t>
        </is>
      </c>
      <c r="B162" s="353" t="inlineStr">
        <is>
          <t>Europe</t>
        </is>
      </c>
      <c r="C162" s="353" t="inlineStr">
        <is>
          <t>Latvia</t>
        </is>
      </c>
      <c r="D162" s="353" t="inlineStr">
        <is>
          <t>Ammunity SIA</t>
        </is>
      </c>
      <c r="E162" s="353" t="inlineStr">
        <is>
          <t>Scandinavian Astor Group AB</t>
        </is>
      </c>
      <c r="F162" s="353" t="inlineStr">
        <is>
          <t>Sweden</t>
        </is>
      </c>
      <c r="G162" s="353" t="inlineStr">
        <is>
          <t>Not disclosed</t>
        </is>
      </c>
      <c r="H162" s="403" t="n">
        <v>45964</v>
      </c>
      <c r="I162" s="403" t="n">
        <v>45964</v>
      </c>
      <c r="J162" s="353" t="n">
        <v>2025</v>
      </c>
      <c r="K162" s="353" t="inlineStr">
        <is>
          <t>M&amp;A</t>
        </is>
      </c>
      <c r="L162" s="353" t="inlineStr">
        <is>
          <t>Full acquisition</t>
        </is>
      </c>
      <c r="M162" s="353" t="inlineStr">
        <is>
          <t>Completed</t>
        </is>
      </c>
      <c r="N162" s="353" t="inlineStr">
        <is>
          <t>Not disclosed</t>
        </is>
      </c>
      <c r="O162" s="353" t="inlineStr">
        <is>
          <t>EUR</t>
        </is>
      </c>
      <c r="P162" s="353" t="inlineStr">
        <is>
          <t>Hardware</t>
        </is>
      </c>
      <c r="Q162" s="353" t="inlineStr">
        <is>
          <t>Ammunition &amp; Weapons</t>
        </is>
      </c>
      <c r="R162" s="353" t="inlineStr">
        <is>
          <t>Core A&amp;D</t>
        </is>
      </c>
      <c r="S162" s="353" t="inlineStr">
        <is>
          <t>Ammunity is an ammunition manufacturer serving defence customers.</t>
        </is>
      </c>
      <c r="T162" s="353" t="inlineStr">
        <is>
          <t>Verified — primary source</t>
        </is>
      </c>
      <c r="U162" s="353" t="inlineStr">
        <is>
          <t>https://astorgroup.se/mfn_news/astor-group-has-completed-the-acquisition-of-latvian-ammunition-manufacturer-ammunity/</t>
        </is>
      </c>
      <c r="V162" s="353" t="inlineStr">
        <is>
          <t>Verified — primary source</t>
        </is>
      </c>
      <c r="W162" s="353" t="inlineStr">
        <is>
          <t>Replace USD9.87m as transaction consideration with the disclosed EUR3m cash purchase price and distinguish valuation.</t>
        </is>
      </c>
    </row>
    <row r="163" ht="45" customHeight="1">
      <c r="A163" s="353" t="inlineStr">
        <is>
          <t>EUR-073</t>
        </is>
      </c>
      <c r="B163" s="353" t="inlineStr">
        <is>
          <t>Europe</t>
        </is>
      </c>
      <c r="C163" s="353" t="inlineStr">
        <is>
          <t>Italy</t>
        </is>
      </c>
      <c r="D163" s="353" t="inlineStr">
        <is>
          <t>Rack Peruzzi S.r.l.</t>
        </is>
      </c>
      <c r="E163" s="353" t="inlineStr">
        <is>
          <t>Mare Group</t>
        </is>
      </c>
      <c r="F163" s="353" t="inlineStr">
        <is>
          <t>Italy</t>
        </is>
      </c>
      <c r="G163" s="353" t="inlineStr">
        <is>
          <t>Not disclosed</t>
        </is>
      </c>
      <c r="H163" s="403" t="n">
        <v>45980</v>
      </c>
      <c r="I163" s="403" t="n">
        <v>45980</v>
      </c>
      <c r="J163" s="353" t="n">
        <v>2025</v>
      </c>
      <c r="K163" s="353" t="inlineStr">
        <is>
          <t>M&amp;A</t>
        </is>
      </c>
      <c r="L163" s="353" t="inlineStr">
        <is>
          <t>Control acquisition</t>
        </is>
      </c>
      <c r="M163" s="353" t="inlineStr">
        <is>
          <t>Completed</t>
        </is>
      </c>
      <c r="N163" s="353" t="inlineStr">
        <is>
          <t>Not disclosed</t>
        </is>
      </c>
      <c r="O163" s="353" t="inlineStr">
        <is>
          <t>Not disclosed</t>
        </is>
      </c>
      <c r="P163" s="353" t="inlineStr">
        <is>
          <t>Hardware / Services</t>
        </is>
      </c>
      <c r="Q163" s="353" t="inlineStr">
        <is>
          <t>Defence Computing &amp; Rugged Systems</t>
        </is>
      </c>
      <c r="R163" s="353" t="inlineStr">
        <is>
          <t>Core A&amp;D</t>
        </is>
      </c>
      <c r="S163" s="353" t="inlineStr">
        <is>
          <t>Rack Peruzzi provides secure racks, systems integration and engineering for aerospace and defence programmes.</t>
        </is>
      </c>
      <c r="T163" s="353" t="inlineStr">
        <is>
          <t>Verified — primary source</t>
        </is>
      </c>
      <c r="U163" s="353" t="inlineStr">
        <is>
          <t>https://www.maregroup.it/en/mare-group-acquires-rack-peruzzi-and-strengthens-its-aerospace-defense-hub/</t>
        </is>
      </c>
      <c r="V163" s="353" t="inlineStr">
        <is>
          <t>Verified — primary source</t>
        </is>
      </c>
      <c r="W163" s="353" t="inlineStr">
        <is>
          <t>Confirmed omission; retain without inventing an ownership percentage or consideration.</t>
        </is>
      </c>
    </row>
    <row r="164" ht="45" customHeight="1">
      <c r="A164" s="353" t="inlineStr">
        <is>
          <t>EUR-074</t>
        </is>
      </c>
      <c r="B164" s="353" t="inlineStr">
        <is>
          <t>Europe</t>
        </is>
      </c>
      <c r="C164" s="353" t="inlineStr">
        <is>
          <t>United Kingdom</t>
        </is>
      </c>
      <c r="D164" s="353" t="inlineStr">
        <is>
          <t>Marshall Land Systems Ltd.</t>
        </is>
      </c>
      <c r="E164" s="353" t="inlineStr">
        <is>
          <t>Flowing River Capital</t>
        </is>
      </c>
      <c r="F164" s="353" t="inlineStr">
        <is>
          <t>United Kingdom</t>
        </is>
      </c>
      <c r="G164" s="353" t="inlineStr">
        <is>
          <t>Marshall Group</t>
        </is>
      </c>
      <c r="H164" s="403" t="n">
        <v>45985</v>
      </c>
      <c r="I164" s="403" t="n">
        <v>45985</v>
      </c>
      <c r="J164" s="353" t="n">
        <v>2025</v>
      </c>
      <c r="K164" s="353" t="inlineStr">
        <is>
          <t>M&amp;A</t>
        </is>
      </c>
      <c r="L164" s="353" t="inlineStr">
        <is>
          <t>Full acquisition</t>
        </is>
      </c>
      <c r="M164" s="353" t="inlineStr">
        <is>
          <t>Completed</t>
        </is>
      </c>
      <c r="N164" s="353" t="inlineStr">
        <is>
          <t>Not disclosed</t>
        </is>
      </c>
      <c r="O164" s="353" t="inlineStr">
        <is>
          <t>Not disclosed</t>
        </is>
      </c>
      <c r="P164" s="353" t="inlineStr">
        <is>
          <t>Hardware / Services</t>
        </is>
      </c>
      <c r="Q164" s="353" t="inlineStr">
        <is>
          <t>Land Systems &amp; Military Vehicles</t>
        </is>
      </c>
      <c r="R164" s="353" t="inlineStr">
        <is>
          <t>Core A&amp;D</t>
        </is>
      </c>
      <c r="S164" s="353" t="inlineStr">
        <is>
          <t>Marshall Land Systems develops deployable military infrastructure and vehicle-integration systems.</t>
        </is>
      </c>
      <c r="T164" s="353" t="inlineStr">
        <is>
          <t>Verified — primary source</t>
        </is>
      </c>
      <c r="U164" s="353" t="inlineStr">
        <is>
          <t>https://marshallgroup.com/en/news-stories/acquisition-of-marshall-land-systems-by-flowing-river-capital</t>
        </is>
      </c>
      <c r="V164" s="353" t="inlineStr">
        <is>
          <t>Verified — primary source</t>
        </is>
      </c>
      <c r="W164" s="353" t="inlineStr">
        <is>
          <t>Confirmed omission from the original Europe 2025 section.</t>
        </is>
      </c>
    </row>
    <row r="165" ht="45" customHeight="1">
      <c r="A165" s="353" t="inlineStr">
        <is>
          <t>EUR-075</t>
        </is>
      </c>
      <c r="B165" s="353" t="inlineStr">
        <is>
          <t>Europe</t>
        </is>
      </c>
      <c r="C165" s="353" t="inlineStr">
        <is>
          <t>United Kingdom</t>
        </is>
      </c>
      <c r="D165" s="353" t="inlineStr">
        <is>
          <t>MARSS interceptor-drone business</t>
        </is>
      </c>
      <c r="E165" s="353" t="inlineStr">
        <is>
          <t>Electro Optic Systems Holdings Ltd.</t>
        </is>
      </c>
      <c r="F165" s="353" t="inlineStr">
        <is>
          <t>Australia</t>
        </is>
      </c>
      <c r="G165" s="353" t="inlineStr">
        <is>
          <t>MARSS Group</t>
        </is>
      </c>
      <c r="H165" s="403" t="n">
        <v>45980</v>
      </c>
      <c r="I165" s="403" t="n">
        <v>45987</v>
      </c>
      <c r="J165" s="353" t="n">
        <v>2025</v>
      </c>
      <c r="K165" s="353" t="inlineStr">
        <is>
          <t>M&amp;A</t>
        </is>
      </c>
      <c r="L165" s="353" t="inlineStr">
        <is>
          <t>Identifiable operating-business acquisition</t>
        </is>
      </c>
      <c r="M165" s="353" t="inlineStr">
        <is>
          <t>Completed</t>
        </is>
      </c>
      <c r="N165" s="353" t="inlineStr">
        <is>
          <t>Not disclosed</t>
        </is>
      </c>
      <c r="O165" s="353" t="inlineStr">
        <is>
          <t>EUR</t>
        </is>
      </c>
      <c r="P165" s="353" t="inlineStr">
        <is>
          <t>Hardware</t>
        </is>
      </c>
      <c r="Q165" s="353" t="inlineStr">
        <is>
          <t>UAVs &amp; Autonomous Systems</t>
        </is>
      </c>
      <c r="R165" s="353" t="inlineStr">
        <is>
          <t>Core A&amp;D</t>
        </is>
      </c>
      <c r="S165" s="353" t="inlineStr">
        <is>
          <t>The acquired business develops counter-UAS interceptor-drone technology.</t>
        </is>
      </c>
      <c r="T165" s="353" t="inlineStr">
        <is>
          <t>Verified — primary source</t>
        </is>
      </c>
      <c r="U165" s="353" t="inlineStr">
        <is>
          <t>https://eos-aus.com/news/acquisition-of-new-interceptor-capability/</t>
        </is>
      </c>
      <c r="V165" s="353" t="inlineStr">
        <is>
          <t>Verified — primary source</t>
        </is>
      </c>
      <c r="W165" s="353" t="inlineStr">
        <is>
          <t>Retain; distinguish the 19 November agreement from 26 November completion.</t>
        </is>
      </c>
    </row>
    <row r="166" ht="45" customHeight="1">
      <c r="A166" s="353" t="inlineStr">
        <is>
          <t>EUR-076</t>
        </is>
      </c>
      <c r="B166" s="353" t="inlineStr">
        <is>
          <t>Europe</t>
        </is>
      </c>
      <c r="C166" s="353" t="inlineStr">
        <is>
          <t>United Kingdom</t>
        </is>
      </c>
      <c r="D166" s="353" t="inlineStr">
        <is>
          <t>Operational Solutions Ltd. (OSL Technology)</t>
        </is>
      </c>
      <c r="E166" s="353" t="inlineStr">
        <is>
          <t>Terma A/S</t>
        </is>
      </c>
      <c r="F166" s="353" t="inlineStr">
        <is>
          <t>Denmark</t>
        </is>
      </c>
      <c r="G166" s="353" t="inlineStr">
        <is>
          <t>Not disclosed</t>
        </is>
      </c>
      <c r="H166" s="403" t="n">
        <v>45988</v>
      </c>
      <c r="I166" s="403" t="n">
        <v>45988</v>
      </c>
      <c r="J166" s="353" t="n">
        <v>2025</v>
      </c>
      <c r="K166" s="353" t="inlineStr">
        <is>
          <t>M&amp;A</t>
        </is>
      </c>
      <c r="L166" s="353" t="inlineStr">
        <is>
          <t>Full acquisition</t>
        </is>
      </c>
      <c r="M166" s="353" t="inlineStr">
        <is>
          <t>Completed</t>
        </is>
      </c>
      <c r="N166" s="353" t="inlineStr">
        <is>
          <t>Not disclosed</t>
        </is>
      </c>
      <c r="O166" s="353" t="inlineStr">
        <is>
          <t>Not disclosed</t>
        </is>
      </c>
      <c r="P166" s="353" t="inlineStr">
        <is>
          <t>Software / Services</t>
        </is>
      </c>
      <c r="Q166" s="353" t="inlineStr">
        <is>
          <t>UAVs &amp; Autonomous Systems</t>
        </is>
      </c>
      <c r="R166" s="353" t="inlineStr">
        <is>
          <t>Core A&amp;D</t>
        </is>
      </c>
      <c r="S166" s="353" t="inlineStr">
        <is>
          <t>OSL develops counter-UAS command, sensor-fusion and AI-enabled protection technology.</t>
        </is>
      </c>
      <c r="T166" s="353" t="inlineStr">
        <is>
          <t>Verified — primary source</t>
        </is>
      </c>
      <c r="U166" s="353" t="inlineStr">
        <is>
          <t>https://www.terma.com/news-events/news/news-archive/2025/terma-acquires-osl-technology-powering-a-market-leading-counter-uas-and-critical-infrastructure-protection-capability/</t>
        </is>
      </c>
      <c r="V166" s="353" t="inlineStr">
        <is>
          <t>Verified — primary source</t>
        </is>
      </c>
      <c r="W166" s="353" t="inlineStr">
        <is>
          <t>Confirmed omission from the original Europe 2025 section.</t>
        </is>
      </c>
    </row>
    <row r="167" ht="45" customHeight="1">
      <c r="A167" s="353" t="inlineStr">
        <is>
          <t>EUR-077</t>
        </is>
      </c>
      <c r="B167" s="353" t="inlineStr">
        <is>
          <t>Europe</t>
        </is>
      </c>
      <c r="C167" s="353" t="inlineStr">
        <is>
          <t>United Kingdom</t>
        </is>
      </c>
      <c r="D167" s="353" t="inlineStr">
        <is>
          <t>Spirit AeroSystems Belfast and Prestwick operations</t>
        </is>
      </c>
      <c r="E167" s="353" t="inlineStr">
        <is>
          <t>Airbus SE</t>
        </is>
      </c>
      <c r="F167" s="353" t="inlineStr">
        <is>
          <t>Netherlands</t>
        </is>
      </c>
      <c r="G167" s="353" t="inlineStr">
        <is>
          <t>Spirit AeroSystems Holdings, Inc.</t>
        </is>
      </c>
      <c r="H167" s="403" t="n">
        <v>45775</v>
      </c>
      <c r="I167" s="403" t="n">
        <v>45999</v>
      </c>
      <c r="J167" s="353" t="n">
        <v>2025</v>
      </c>
      <c r="K167" s="353" t="inlineStr">
        <is>
          <t>M&amp;A</t>
        </is>
      </c>
      <c r="L167" s="353" t="inlineStr">
        <is>
          <t>Carve-out</t>
        </is>
      </c>
      <c r="M167" s="353" t="inlineStr">
        <is>
          <t>Completed</t>
        </is>
      </c>
      <c r="N167" s="353" t="inlineStr">
        <is>
          <t>Not disclosed</t>
        </is>
      </c>
      <c r="O167" s="353" t="inlineStr">
        <is>
          <t>Not disclosed</t>
        </is>
      </c>
      <c r="P167" s="353" t="inlineStr">
        <is>
          <t>Hardware</t>
        </is>
      </c>
      <c r="Q167" s="353" t="inlineStr">
        <is>
          <t>Aerospace Platforms &amp; Components</t>
        </is>
      </c>
      <c r="R167" s="353" t="inlineStr">
        <is>
          <t>Core A&amp;D</t>
        </is>
      </c>
      <c r="S167" s="353" t="inlineStr">
        <is>
          <t>Aerostructures. Belfast produces A220 wings and mid-fuselage sections; Prestwick produces wing components for the A320 and A350. Both sites work exclusively on Airbus commercial aircraft programmes.</t>
        </is>
      </c>
      <c r="T167" s="353" t="inlineStr">
        <is>
          <t>Verified — primary source</t>
        </is>
      </c>
      <c r="U167" s="353" t="inlineStr">
        <is>
          <t>https://www.airbus.com/en/newsroom/press-releases/2025-12-airbus-completes-acquisition-of-spirit-aerosystems-sites</t>
        </is>
      </c>
      <c r="V167" s="353" t="inlineStr">
        <is>
          <t>Verified — primary source</t>
        </is>
      </c>
      <c r="W167" s="353" t="inlineStr">
        <is>
          <t>ADDED 2026-08-02: absent from the original workbook and from the audit log. Passes the strict tests — UK operating sites, aerostructures as sole business, carve-out of an identifiable operating business completed inside the window. Only the European sites are recorded; the Kinston, NC site is out of scope.</t>
        </is>
      </c>
    </row>
    <row r="168" ht="45" customHeight="1">
      <c r="A168" s="353" t="inlineStr">
        <is>
          <t>EUR-078</t>
        </is>
      </c>
      <c r="B168" s="353" t="inlineStr">
        <is>
          <t>Europe</t>
        </is>
      </c>
      <c r="C168" s="353" t="inlineStr">
        <is>
          <t>Sweden</t>
        </is>
      </c>
      <c r="D168" s="353" t="inlineStr">
        <is>
          <t>Argo Defence Group AB</t>
        </is>
      </c>
      <c r="E168" s="353" t="inlineStr">
        <is>
          <t>Public market investors</t>
        </is>
      </c>
      <c r="F168" s="353" t="inlineStr">
        <is>
          <t>N/A — IPO</t>
        </is>
      </c>
      <c r="G168" s="353" t="inlineStr">
        <is>
          <t>N/A — IPO</t>
        </is>
      </c>
      <c r="H168" s="403" t="n">
        <v>46007</v>
      </c>
      <c r="I168" s="403" t="n">
        <v>46007</v>
      </c>
      <c r="J168" s="353" t="n">
        <v>2025</v>
      </c>
      <c r="K168" s="353" t="inlineStr">
        <is>
          <t>IPO</t>
        </is>
      </c>
      <c r="L168" s="353" t="inlineStr">
        <is>
          <t>NGM admission and primary share offering</t>
        </is>
      </c>
      <c r="M168" s="353" t="inlineStr">
        <is>
          <t>Completed</t>
        </is>
      </c>
      <c r="N168" s="353" t="inlineStr">
        <is>
          <t>Not disclosed</t>
        </is>
      </c>
      <c r="O168" s="353" t="inlineStr">
        <is>
          <t>SEK</t>
        </is>
      </c>
      <c r="P168" s="353" t="inlineStr">
        <is>
          <t>Hardware</t>
        </is>
      </c>
      <c r="Q168" s="353" t="inlineStr">
        <is>
          <t>Ammunition &amp; Weapons</t>
        </is>
      </c>
      <c r="R168" s="353" t="inlineStr">
        <is>
          <t>Core A&amp;D</t>
        </is>
      </c>
      <c r="S168" s="353" t="inlineStr">
        <is>
          <t>Argo is a defence-industry group focused on defence products, technology and services.</t>
        </is>
      </c>
      <c r="T168" s="353" t="inlineStr">
        <is>
          <t>Verified — primary source</t>
        </is>
      </c>
      <c r="U168" s="353" t="inlineStr">
        <is>
          <t>https://news.cision.com/ngm-market-notice/r/25-120-argo-defence-group-ab-approved-for-listing-at-ngm%2Cc4281296</t>
        </is>
      </c>
      <c r="V168" s="353" t="inlineStr">
        <is>
          <t>Verified — primary source</t>
        </is>
      </c>
      <c r="W168" s="353" t="inlineStr">
        <is>
          <t>Retain; use source-native SEK proceeds.</t>
        </is>
      </c>
    </row>
    <row r="169" ht="45" customHeight="1">
      <c r="A169" s="353" t="inlineStr">
        <is>
          <t>EUR-079</t>
        </is>
      </c>
      <c r="B169" s="353" t="inlineStr">
        <is>
          <t>Europe</t>
        </is>
      </c>
      <c r="C169" s="353" t="inlineStr">
        <is>
          <t>France</t>
        </is>
      </c>
      <c r="D169" s="353" t="inlineStr">
        <is>
          <t>LMB Fans &amp; Motors</t>
        </is>
      </c>
      <c r="E169" s="353" t="inlineStr">
        <is>
          <t>Loar Holdings Inc.</t>
        </is>
      </c>
      <c r="F169" s="353" t="inlineStr">
        <is>
          <t>United States</t>
        </is>
      </c>
      <c r="G169" s="353" t="inlineStr">
        <is>
          <t>Not disclosed</t>
        </is>
      </c>
      <c r="H169" s="403" t="n">
        <v>46017</v>
      </c>
      <c r="I169" s="403" t="n">
        <v>46014</v>
      </c>
      <c r="J169" s="353" t="n">
        <v>2025</v>
      </c>
      <c r="K169" s="353" t="inlineStr">
        <is>
          <t>M&amp;A</t>
        </is>
      </c>
      <c r="L169" s="353" t="inlineStr">
        <is>
          <t>Full acquisition</t>
        </is>
      </c>
      <c r="M169" s="353" t="inlineStr">
        <is>
          <t>Completed</t>
        </is>
      </c>
      <c r="N169" s="353" t="inlineStr">
        <is>
          <t>Not disclosed</t>
        </is>
      </c>
      <c r="O169" s="353" t="inlineStr">
        <is>
          <t>EUR</t>
        </is>
      </c>
      <c r="P169" s="353" t="inlineStr">
        <is>
          <t>Hardware</t>
        </is>
      </c>
      <c r="Q169" s="353" t="inlineStr">
        <is>
          <t>Power, Propulsion &amp; Energy</t>
        </is>
      </c>
      <c r="R169" s="353" t="inlineStr">
        <is>
          <t>Core A&amp;D</t>
        </is>
      </c>
      <c r="S169" s="353" t="inlineStr">
        <is>
          <t>LMB designs and manufactures fans and motors for civil and military aircraft.</t>
        </is>
      </c>
      <c r="T169" s="353" t="inlineStr">
        <is>
          <t>Verified — primary source</t>
        </is>
      </c>
      <c r="U169" s="353" t="inlineStr">
        <is>
          <t>https://ir.loargroup.com/sec-filings/all-sec-filings/content/0001193125-25-332267/ck0002000178-20251223.htm</t>
        </is>
      </c>
      <c r="V169" s="353" t="inlineStr">
        <is>
          <t>Verified — primary source</t>
        </is>
      </c>
      <c r="W169" s="353" t="inlineStr">
        <is>
          <t>Correct completion from the 26 December press date to 23 December 2025.</t>
        </is>
      </c>
    </row>
    <row r="170" ht="45" customHeight="1">
      <c r="A170" s="353" t="inlineStr">
        <is>
          <t>EUR-080</t>
        </is>
      </c>
      <c r="B170" s="353" t="inlineStr">
        <is>
          <t>Europe</t>
        </is>
      </c>
      <c r="C170" s="353" t="inlineStr">
        <is>
          <t>Spain</t>
        </is>
      </c>
      <c r="D170" s="353" t="inlineStr">
        <is>
          <t>Hispasat S.A.</t>
        </is>
      </c>
      <c r="E170" s="353" t="inlineStr">
        <is>
          <t>Indra Sistemas S.A.</t>
        </is>
      </c>
      <c r="F170" s="353" t="inlineStr">
        <is>
          <t>Spain</t>
        </is>
      </c>
      <c r="G170" s="353" t="inlineStr">
        <is>
          <t>Redeia Corporación S.A.</t>
        </is>
      </c>
      <c r="H170" s="403" t="inlineStr">
        <is>
          <t>Not disclosed</t>
        </is>
      </c>
      <c r="I170" s="403" t="n">
        <v>46021</v>
      </c>
      <c r="J170" s="353" t="n">
        <v>2025</v>
      </c>
      <c r="K170" s="353" t="inlineStr">
        <is>
          <t>M&amp;A</t>
        </is>
      </c>
      <c r="L170" s="353" t="inlineStr">
        <is>
          <t>Majority control acquisition</t>
        </is>
      </c>
      <c r="M170" s="353" t="inlineStr">
        <is>
          <t>Completed</t>
        </is>
      </c>
      <c r="N170" s="353" t="inlineStr">
        <is>
          <t>Not disclosed</t>
        </is>
      </c>
      <c r="O170" s="353" t="inlineStr">
        <is>
          <t>EUR</t>
        </is>
      </c>
      <c r="P170" s="353" t="inlineStr">
        <is>
          <t>Services</t>
        </is>
      </c>
      <c r="Q170" s="353" t="inlineStr">
        <is>
          <t>Space &amp; Satellite Systems</t>
        </is>
      </c>
      <c r="R170" s="353" t="inlineStr">
        <is>
          <t>Core A&amp;D</t>
        </is>
      </c>
      <c r="S170" s="353" t="inlineStr">
        <is>
          <t>Hispasat is a European satellite operator and secure space-communications company, including strategic government/defence capabilities.</t>
        </is>
      </c>
      <c r="T170" s="353" t="inlineStr">
        <is>
          <t>Verified — primary source</t>
        </is>
      </c>
      <c r="U170" s="353" t="inlineStr">
        <is>
          <t>https://www.indragroup.com/es/noticias/indra-group-se-convierte-en-referente-europeo-en-espacio-cierra-la-adquisicion-del-8968-de-hispasat-y-alcanza-una-participacion-mayoritaria-en-hisdesat</t>
        </is>
      </c>
      <c r="V170" s="353" t="inlineStr">
        <is>
          <t>Verified — primary source</t>
        </is>
      </c>
      <c r="W170" s="353" t="inlineStr">
        <is>
          <t>Confirmed omission from the original Europe 2025 section.</t>
        </is>
      </c>
    </row>
    <row r="171" ht="45" customHeight="1">
      <c r="A171" s="353" t="inlineStr">
        <is>
          <t>EUR-081</t>
        </is>
      </c>
      <c r="B171" s="353" t="inlineStr">
        <is>
          <t>Europe</t>
        </is>
      </c>
      <c r="C171" s="353" t="inlineStr">
        <is>
          <t>Sweden</t>
        </is>
      </c>
      <c r="D171" s="353" t="inlineStr">
        <is>
          <t>Granit Teknikbyrå</t>
        </is>
      </c>
      <c r="E171" s="353" t="inlineStr">
        <is>
          <t>EmbeddedArt Group</t>
        </is>
      </c>
      <c r="F171" s="353" t="inlineStr">
        <is>
          <t>Sweden</t>
        </is>
      </c>
      <c r="G171" s="353" t="inlineStr">
        <is>
          <t>Not disclosed</t>
        </is>
      </c>
      <c r="H171" s="403" t="inlineStr">
        <is>
          <t>Not disclosed</t>
        </is>
      </c>
      <c r="I171" s="403" t="n">
        <v>46023</v>
      </c>
      <c r="J171" s="353" t="n">
        <v>2026</v>
      </c>
      <c r="K171" s="353" t="inlineStr">
        <is>
          <t>M&amp;A</t>
        </is>
      </c>
      <c r="L171" s="353" t="inlineStr">
        <is>
          <t>Full Acquisition</t>
        </is>
      </c>
      <c r="M171" s="353" t="inlineStr">
        <is>
          <t>Completed</t>
        </is>
      </c>
      <c r="N171" s="353" t="inlineStr">
        <is>
          <t>Not disclosed</t>
        </is>
      </c>
      <c r="O171" s="353" t="inlineStr">
        <is>
          <t>SEK</t>
        </is>
      </c>
      <c r="P171" s="353" t="inlineStr">
        <is>
          <t>Services</t>
        </is>
      </c>
      <c r="Q171" s="353" t="inlineStr">
        <is>
          <t>Defence Services &amp; Engineering</t>
        </is>
      </c>
      <c r="R171" s="353" t="inlineStr">
        <is>
          <t>Core A&amp;D</t>
        </is>
      </c>
      <c r="S171" s="353" t="inlineStr">
        <is>
          <t>Defence Services &amp; Engineering. Provider of technical consultancy and support services catering to the defense sector. The company offers services in integrated logistics support (ILS), system-safety analysis, CE-marking, technical documentation and lifecycle support for technical systems.</t>
        </is>
      </c>
      <c r="T171" s="353" t="inlineStr">
        <is>
          <t>Verified — primary source</t>
        </is>
      </c>
      <c r="U171" s="353" t="inlineStr">
        <is>
          <t>https://www.embeddedart.se/nyheter</t>
        </is>
      </c>
      <c r="V171" s="353" t="inlineStr">
        <is>
          <t>Verified — primary source</t>
        </is>
      </c>
      <c r="W171" s="353" t="inlineStr">
        <is>
          <t>Retain under strict scope; completed transaction and primary A&amp;D focus are supported by the cited source.</t>
        </is>
      </c>
    </row>
    <row r="172" ht="45" customHeight="1">
      <c r="A172" s="353" t="inlineStr">
        <is>
          <t>EUR-082</t>
        </is>
      </c>
      <c r="B172" s="353" t="inlineStr">
        <is>
          <t>Europe</t>
        </is>
      </c>
      <c r="C172" s="353" t="inlineStr">
        <is>
          <t>Switzerland</t>
        </is>
      </c>
      <c r="D172" s="353" t="inlineStr">
        <is>
          <t>Daedalean AG</t>
        </is>
      </c>
      <c r="E172" s="353" t="inlineStr">
        <is>
          <t>Destinus Group</t>
        </is>
      </c>
      <c r="F172" s="353" t="inlineStr">
        <is>
          <t>Netherlands</t>
        </is>
      </c>
      <c r="G172" s="353" t="inlineStr">
        <is>
          <t>Daedalean shareholders</t>
        </is>
      </c>
      <c r="H172" s="403" t="inlineStr">
        <is>
          <t>Not disclosed</t>
        </is>
      </c>
      <c r="I172" s="403" t="n">
        <v>46027</v>
      </c>
      <c r="J172" s="353" t="n">
        <v>2026</v>
      </c>
      <c r="K172" s="353" t="inlineStr">
        <is>
          <t>M&amp;A</t>
        </is>
      </c>
      <c r="L172" s="353" t="inlineStr">
        <is>
          <t>Full Acquisition</t>
        </is>
      </c>
      <c r="M172" s="353" t="inlineStr">
        <is>
          <t>Completed</t>
        </is>
      </c>
      <c r="N172" s="353" t="n">
        <v>225</v>
      </c>
      <c r="O172" s="353" t="inlineStr">
        <is>
          <t>CHF</t>
        </is>
      </c>
      <c r="P172" s="353" t="inlineStr">
        <is>
          <t>Hardware / Software</t>
        </is>
      </c>
      <c r="Q172" s="353" t="inlineStr">
        <is>
          <t>UAVs &amp; Autonomous Systems</t>
        </is>
      </c>
      <c r="R172" s="353" t="inlineStr">
        <is>
          <t>Core A&amp;D</t>
        </is>
      </c>
      <c r="S172" s="353" t="inlineStr">
        <is>
          <t>Avionics / Autonomous Flight. Develops certifiable AI avionics, computer-vision and autonomous-flight systems for defense and civil aircraft.</t>
        </is>
      </c>
      <c r="T172" s="353" t="inlineStr">
        <is>
          <t>Verified — primary source</t>
        </is>
      </c>
      <c r="U172" s="353" t="inlineStr">
        <is>
          <t>https://www.prnewswire.com/news-releases/destinus-completes-acquisition-of-daedalean-accelerating-next-generation-ai-for-defense-and-civil-aviation-302652183.html</t>
        </is>
      </c>
      <c r="V172" s="353" t="inlineStr">
        <is>
          <t>Verified — primary source</t>
        </is>
      </c>
      <c r="W172" s="353" t="inlineStr">
        <is>
          <t>Retain under strict scope; completed transaction and primary aerospace-technology focus are supported by the cited source.</t>
        </is>
      </c>
    </row>
    <row r="173" ht="45" customHeight="1">
      <c r="A173" s="353" t="inlineStr">
        <is>
          <t>EUR-083</t>
        </is>
      </c>
      <c r="B173" s="353" t="inlineStr">
        <is>
          <t>Europe</t>
        </is>
      </c>
      <c r="C173" s="353" t="inlineStr">
        <is>
          <t>Germany</t>
        </is>
      </c>
      <c r="D173" s="353" t="inlineStr">
        <is>
          <t>Kappa Optronics</t>
        </is>
      </c>
      <c r="E173" s="353" t="inlineStr">
        <is>
          <t>THEON International</t>
        </is>
      </c>
      <c r="F173" s="353" t="inlineStr">
        <is>
          <t>Cyprus</t>
        </is>
      </c>
      <c r="G173" s="353" t="inlineStr">
        <is>
          <t>Not disclosed</t>
        </is>
      </c>
      <c r="H173" s="403" t="inlineStr">
        <is>
          <t>Not disclosed</t>
        </is>
      </c>
      <c r="I173" s="403" t="n">
        <v>46036</v>
      </c>
      <c r="J173" s="353" t="n">
        <v>2026</v>
      </c>
      <c r="K173" s="353" t="inlineStr">
        <is>
          <t>M&amp;A</t>
        </is>
      </c>
      <c r="L173" s="353" t="inlineStr">
        <is>
          <t>Full Acquisition</t>
        </is>
      </c>
      <c r="M173" s="353" t="inlineStr">
        <is>
          <t>Completed</t>
        </is>
      </c>
      <c r="N173" s="353" t="inlineStr">
        <is>
          <t>Not disclosed</t>
        </is>
      </c>
      <c r="O173" s="353" t="inlineStr">
        <is>
          <t>EUR</t>
        </is>
      </c>
      <c r="P173" s="353" t="inlineStr">
        <is>
          <t>Hardware / Software</t>
        </is>
      </c>
      <c r="Q173" s="353" t="inlineStr">
        <is>
          <t>Defence Electronics &amp; Sensors</t>
        </is>
      </c>
      <c r="R173" s="353" t="inlineStr">
        <is>
          <t>Core A&amp;D</t>
        </is>
      </c>
      <c r="S173" s="353" t="inlineStr">
        <is>
          <t>Defence Electronics &amp; Sensors. Manufacturer of rugged industrial cameras, appliances and electronics intended for industrial, defense, aviation, microscopy, traffic and x-ray sectors. The company's optronics platform engineers and manufactures cameras following specific customer needs, including interfaces, programming, circuitry, software and housing, enabling its clients to use them for diverse imaging.</t>
        </is>
      </c>
      <c r="T173" s="353" t="inlineStr">
        <is>
          <t>Verified — primary source</t>
        </is>
      </c>
      <c r="U173" s="353" t="inlineStr">
        <is>
          <t>https://theon.com/en/news/2026/theon-corporate-updates-january-2026</t>
        </is>
      </c>
      <c r="V173" s="353" t="inlineStr">
        <is>
          <t>Verified — primary source</t>
        </is>
      </c>
      <c r="W173" s="353" t="inlineStr">
        <is>
          <t>Retain under strict scope; completed transaction and primary A&amp;D focus are supported by the cited source.</t>
        </is>
      </c>
    </row>
    <row r="174" ht="45" customHeight="1">
      <c r="A174" s="353" t="inlineStr">
        <is>
          <t>EUR-084</t>
        </is>
      </c>
      <c r="B174" s="353" t="inlineStr">
        <is>
          <t>Europe</t>
        </is>
      </c>
      <c r="C174" s="353" t="inlineStr">
        <is>
          <t>United Kingdom</t>
        </is>
      </c>
      <c r="D174" s="353" t="inlineStr">
        <is>
          <t>UAV Tactical Systems Ltd (UTACS)</t>
        </is>
      </c>
      <c r="E174" s="353" t="inlineStr">
        <is>
          <t>Elbit Systems UK</t>
        </is>
      </c>
      <c r="F174" s="353" t="inlineStr">
        <is>
          <t>United Kingdom</t>
        </is>
      </c>
      <c r="G174" s="353" t="inlineStr">
        <is>
          <t>Thales UK</t>
        </is>
      </c>
      <c r="H174" s="403" t="inlineStr">
        <is>
          <t>Not disclosed</t>
        </is>
      </c>
      <c r="I174" s="403" t="n">
        <v>46044</v>
      </c>
      <c r="J174" s="353" t="n">
        <v>2026</v>
      </c>
      <c r="K174" s="353" t="inlineStr">
        <is>
          <t>M&amp;A</t>
        </is>
      </c>
      <c r="L174" s="353" t="inlineStr">
        <is>
          <t>Corporate Divestiture / Full Acquisition</t>
        </is>
      </c>
      <c r="M174" s="353" t="inlineStr">
        <is>
          <t>Completed</t>
        </is>
      </c>
      <c r="N174" s="353" t="inlineStr">
        <is>
          <t>Not disclosed</t>
        </is>
      </c>
      <c r="O174" s="353" t="inlineStr">
        <is>
          <t>Not disclosed</t>
        </is>
      </c>
      <c r="P174" s="353" t="inlineStr">
        <is>
          <t>Hardware / Software</t>
        </is>
      </c>
      <c r="Q174" s="353" t="inlineStr">
        <is>
          <t>UAVs &amp; Autonomous Systems</t>
        </is>
      </c>
      <c r="R174" s="353" t="inlineStr">
        <is>
          <t>Core A&amp;D</t>
        </is>
      </c>
      <c r="S174" s="353" t="inlineStr">
        <is>
          <t>Unmanned Aircraft Systems. Designs, manufactures and supports tactical unmanned aircraft systems used for intelligence, surveillance and reconnaissance missions.</t>
        </is>
      </c>
      <c r="T174" s="353" t="inlineStr">
        <is>
          <t>Verified — primary source</t>
        </is>
      </c>
      <c r="U174" s="353" t="inlineStr">
        <is>
          <t>https://www.elbitsystems.com/news/elbit-systems-expands-europe-full-acquisition-utacs</t>
        </is>
      </c>
      <c r="V174" s="353" t="inlineStr">
        <is>
          <t>Verified — primary source</t>
        </is>
      </c>
      <c r="W174" s="353" t="inlineStr">
        <is>
          <t>Retain under strict scope; completed transaction and primary defence-UAS focus are supported by the cited source.</t>
        </is>
      </c>
    </row>
    <row r="175" ht="45" customHeight="1">
      <c r="A175" s="353" t="inlineStr">
        <is>
          <t>EUR-085</t>
        </is>
      </c>
      <c r="B175" s="353" t="inlineStr">
        <is>
          <t>Europe</t>
        </is>
      </c>
      <c r="C175" s="353" t="inlineStr">
        <is>
          <t>United Kingdom</t>
        </is>
      </c>
      <c r="D175" s="353" t="inlineStr">
        <is>
          <t>Burcas Limited</t>
        </is>
      </c>
      <c r="E175" s="353" t="inlineStr">
        <is>
          <t>Wright Industries</t>
        </is>
      </c>
      <c r="F175" s="353" t="inlineStr">
        <is>
          <t>United Kingdom</t>
        </is>
      </c>
      <c r="G175" s="353" t="inlineStr">
        <is>
          <t>Burcas shareholders</t>
        </is>
      </c>
      <c r="H175" s="403" t="inlineStr">
        <is>
          <t>Not disclosed</t>
        </is>
      </c>
      <c r="I175" s="403" t="n">
        <v>46045</v>
      </c>
      <c r="J175" s="353" t="n">
        <v>2026</v>
      </c>
      <c r="K175" s="353" t="inlineStr">
        <is>
          <t>M&amp;A</t>
        </is>
      </c>
      <c r="L175" s="353" t="inlineStr">
        <is>
          <t>Full acquisition</t>
        </is>
      </c>
      <c r="M175" s="353" t="inlineStr">
        <is>
          <t>Completed</t>
        </is>
      </c>
      <c r="N175" s="353" t="inlineStr">
        <is>
          <t>Not disclosed</t>
        </is>
      </c>
      <c r="O175" s="353" t="inlineStr">
        <is>
          <t>Not disclosed</t>
        </is>
      </c>
      <c r="P175" s="353" t="inlineStr">
        <is>
          <t>Hardware</t>
        </is>
      </c>
      <c r="Q175" s="353" t="inlineStr">
        <is>
          <t>Aerospace Materials &amp; Components</t>
        </is>
      </c>
      <c r="R175" s="353" t="inlineStr">
        <is>
          <t>Core A&amp;D</t>
        </is>
      </c>
      <c r="S175" s="353" t="inlineStr">
        <is>
          <t>Precision Aerospace &amp; Defence Engineering. Precision engineering and complex component manufacturing for aerospace, defence and other demanding sectors.</t>
        </is>
      </c>
      <c r="T175" s="353" t="inlineStr">
        <is>
          <t>Verified — primary source</t>
        </is>
      </c>
      <c r="U175" s="353" t="inlineStr">
        <is>
          <t>https://www.wrightindustries.co.uk/about/news/burcas-ltd-acquisition/</t>
        </is>
      </c>
      <c r="V175" s="353" t="inlineStr">
        <is>
          <t>Verified — primary source</t>
        </is>
      </c>
      <c r="W175" s="353" t="inlineStr">
        <is>
          <t>Retain under strict scope; completed transaction and primary A&amp;D focus are supported by the cited source.</t>
        </is>
      </c>
    </row>
    <row r="176" ht="45" customHeight="1">
      <c r="A176" s="353" t="inlineStr">
        <is>
          <t>EUR-086</t>
        </is>
      </c>
      <c r="B176" s="353" t="inlineStr">
        <is>
          <t>Europe</t>
        </is>
      </c>
      <c r="C176" s="353" t="inlineStr">
        <is>
          <t>Czech Republic</t>
        </is>
      </c>
      <c r="D176" s="353" t="inlineStr">
        <is>
          <t>Czechoslovak Group / CSG (AMS: CSG)</t>
        </is>
      </c>
      <c r="E176" s="353" t="inlineStr">
        <is>
          <t>Public market investors</t>
        </is>
      </c>
      <c r="F176" s="353" t="inlineStr">
        <is>
          <t>Public markets</t>
        </is>
      </c>
      <c r="G176" s="353" t="inlineStr">
        <is>
          <t>Issuer / selling shareholders</t>
        </is>
      </c>
      <c r="H176" s="403" t="inlineStr">
        <is>
          <t>Not disclosed</t>
        </is>
      </c>
      <c r="I176" s="403" t="n">
        <v>46045</v>
      </c>
      <c r="J176" s="353" t="n">
        <v>2026</v>
      </c>
      <c r="K176" s="353" t="inlineStr">
        <is>
          <t>IPO</t>
        </is>
      </c>
      <c r="L176" s="353" t="inlineStr">
        <is>
          <t>IPO</t>
        </is>
      </c>
      <c r="M176" s="353" t="inlineStr">
        <is>
          <t>Completed</t>
        </is>
      </c>
      <c r="N176" s="353" t="inlineStr">
        <is>
          <t>Not disclosed</t>
        </is>
      </c>
      <c r="O176" s="353" t="inlineStr">
        <is>
          <t>EUR</t>
        </is>
      </c>
      <c r="P176" s="353" t="inlineStr">
        <is>
          <t>Hardware</t>
        </is>
      </c>
      <c r="Q176" s="353" t="inlineStr">
        <is>
          <t>Ammunition &amp; Weapons</t>
        </is>
      </c>
      <c r="R176" s="353" t="inlineStr">
        <is>
          <t>Core A&amp;D</t>
        </is>
      </c>
      <c r="S176" s="353" t="inlineStr">
        <is>
          <t>Ammunition &amp; Weapons. CSG NV is a defence group in terms of medium, large- and small-calibre ammunition sales based in Prague, Czech Republic, operating in Europe, the United States and in other regions including Asia Pacific. The company's business is divided into two segments: CSG Defence Systems and CSG Ammo.</t>
        </is>
      </c>
      <c r="T176" s="353" t="inlineStr">
        <is>
          <t>Verified — primary source</t>
        </is>
      </c>
      <c r="U176" s="353" t="inlineStr">
        <is>
          <t>https://www.euronext.com/en/about/media/euronext-press-releases/czechoslovak-group-lists-euronext-0</t>
        </is>
      </c>
      <c r="V176" s="353" t="inlineStr">
        <is>
          <t>Verified — primary source</t>
        </is>
      </c>
      <c r="W176" s="353" t="inlineStr">
        <is>
          <t>Retain under strict scope; completed transaction and primary A&amp;D focus are supported by the cited source.</t>
        </is>
      </c>
    </row>
    <row r="177" ht="45" customHeight="1">
      <c r="A177" s="353" t="inlineStr">
        <is>
          <t>EUR-087</t>
        </is>
      </c>
      <c r="B177" s="353" t="inlineStr">
        <is>
          <t>Europe</t>
        </is>
      </c>
      <c r="C177" s="353" t="inlineStr">
        <is>
          <t>United Kingdom</t>
        </is>
      </c>
      <c r="D177" s="353" t="inlineStr">
        <is>
          <t>Ultra PCS</t>
        </is>
      </c>
      <c r="E177" s="353" t="inlineStr">
        <is>
          <t>Eaton</t>
        </is>
      </c>
      <c r="F177" s="353" t="inlineStr">
        <is>
          <t>United States</t>
        </is>
      </c>
      <c r="G177" s="353" t="inlineStr">
        <is>
          <t>Ultra Electronics</t>
        </is>
      </c>
      <c r="H177" s="403" t="inlineStr">
        <is>
          <t>Not disclosed</t>
        </is>
      </c>
      <c r="I177" s="403" t="n">
        <v>46045</v>
      </c>
      <c r="J177" s="353" t="n">
        <v>2026</v>
      </c>
      <c r="K177" s="353" t="inlineStr">
        <is>
          <t>M&amp;A</t>
        </is>
      </c>
      <c r="L177" s="353" t="inlineStr">
        <is>
          <t>Corporate divestiture / full company acquisition</t>
        </is>
      </c>
      <c r="M177" s="353" t="inlineStr">
        <is>
          <t>Completed</t>
        </is>
      </c>
      <c r="N177" s="353" t="n">
        <v>1550</v>
      </c>
      <c r="O177" s="353" t="inlineStr">
        <is>
          <t>USD</t>
        </is>
      </c>
      <c r="P177" s="353" t="inlineStr">
        <is>
          <t>Hardware / Software</t>
        </is>
      </c>
      <c r="Q177" s="353" t="inlineStr">
        <is>
          <t>Aerospace Platforms &amp; Components</t>
        </is>
      </c>
      <c r="R177" s="353" t="inlineStr">
        <is>
          <t>Core A&amp;D</t>
        </is>
      </c>
      <c r="S177" s="353" t="inlineStr">
        <is>
          <t>Avionics &amp; Flight Systems. Manufacturer of compact on-board gas compressors catering to the defense industry worldwide. The company offers data processing, store ejections, position sensing, electrical ice protection, motor and power control, propellor balance monitoring system and dynamic harnessing, enabling clients to solve mission-critical challenges in the air and on the ground.</t>
        </is>
      </c>
      <c r="T177" s="353" t="inlineStr">
        <is>
          <t>Verified — primary source</t>
        </is>
      </c>
      <c r="U177" s="353" t="inlineStr">
        <is>
          <t>https://www.eaton.com/us/en-us/company/news-insights/news-releases/2026/eaton-completes-acquisition-of-ultra-pcs-limited.html</t>
        </is>
      </c>
      <c r="V177" s="353" t="inlineStr">
        <is>
          <t>Verified — primary source</t>
        </is>
      </c>
      <c r="W177" s="353" t="inlineStr">
        <is>
          <t>Replace value label: USD 1.55bn gross purchase price versus approximately USD 1.53bn net cash consideration.</t>
        </is>
      </c>
    </row>
    <row r="178" ht="45" customHeight="1">
      <c r="A178" s="353" t="inlineStr">
        <is>
          <t>EUR-088</t>
        </is>
      </c>
      <c r="B178" s="353" t="inlineStr">
        <is>
          <t>Europe</t>
        </is>
      </c>
      <c r="C178" s="353" t="inlineStr">
        <is>
          <t>United Kingdom</t>
        </is>
      </c>
      <c r="D178" s="353" t="inlineStr">
        <is>
          <t>Newbow Aerospace</t>
        </is>
      </c>
      <c r="E178" s="353" t="inlineStr">
        <is>
          <t>HAKI Safety</t>
        </is>
      </c>
      <c r="F178" s="353" t="inlineStr">
        <is>
          <t>Sweden</t>
        </is>
      </c>
      <c r="G178" s="353" t="inlineStr">
        <is>
          <t>Tibia Konsult</t>
        </is>
      </c>
      <c r="H178" s="403" t="inlineStr">
        <is>
          <t>Not disclosed</t>
        </is>
      </c>
      <c r="I178" s="403" t="n">
        <v>46050</v>
      </c>
      <c r="J178" s="353" t="n">
        <v>2026</v>
      </c>
      <c r="K178" s="353" t="inlineStr">
        <is>
          <t>M&amp;A</t>
        </is>
      </c>
      <c r="L178" s="353" t="inlineStr">
        <is>
          <t>Full Acquisition</t>
        </is>
      </c>
      <c r="M178" s="353" t="inlineStr">
        <is>
          <t>Completed</t>
        </is>
      </c>
      <c r="N178" s="353" t="inlineStr">
        <is>
          <t>Not disclosed</t>
        </is>
      </c>
      <c r="O178" s="353" t="inlineStr">
        <is>
          <t>Not disclosed</t>
        </is>
      </c>
      <c r="P178" s="353" t="inlineStr">
        <is>
          <t>Hardware / Services</t>
        </is>
      </c>
      <c r="Q178" s="353" t="inlineStr">
        <is>
          <t>Aerospace Platforms &amp; Components</t>
        </is>
      </c>
      <c r="R178" s="353" t="inlineStr">
        <is>
          <t>Core A&amp;D</t>
        </is>
      </c>
      <c r="S178" s="353" t="inlineStr">
        <is>
          <t>Aerospace Services &amp; MRO. Manufacturer of aircraft ground support equipment intended to serve commercial airlines, maintenance service centers, and defense aviation markets. The company offers a range of products, including nitrogen service carts, oxygen service carts, wheel &amp; brake change trailers, wheel &amp; brake change dollys, wheel &amp; tire storage, digital tire inflation tools, and other equipment.</t>
        </is>
      </c>
      <c r="T178" s="353" t="inlineStr">
        <is>
          <t>Verified — primary source</t>
        </is>
      </c>
      <c r="U178" s="353" t="inlineStr">
        <is>
          <t>https://view.news.eu.nasdaq.com/view?id=b52bd85cbe0fdc74bcb2978b056536768&amp;lang=en&amp;src=micro</t>
        </is>
      </c>
      <c r="V178" s="353" t="inlineStr">
        <is>
          <t>Verified — primary source</t>
        </is>
      </c>
      <c r="W178" s="353" t="inlineStr">
        <is>
          <t>Retain under strict scope; completed transaction and primary A&amp;D focus are supported by the cited source.</t>
        </is>
      </c>
    </row>
    <row r="179" ht="45" customHeight="1">
      <c r="A179" s="353" t="inlineStr">
        <is>
          <t>EUR-089</t>
        </is>
      </c>
      <c r="B179" s="353" t="inlineStr">
        <is>
          <t>Europe</t>
        </is>
      </c>
      <c r="C179" s="353" t="inlineStr">
        <is>
          <t>Germany</t>
        </is>
      </c>
      <c r="D179" s="353" t="inlineStr">
        <is>
          <t>Hacker Motor GmbH</t>
        </is>
      </c>
      <c r="E179" s="353" t="inlineStr">
        <is>
          <t>Quantum Systems</t>
        </is>
      </c>
      <c r="F179" s="353" t="inlineStr">
        <is>
          <t>Germany</t>
        </is>
      </c>
      <c r="G179" s="353" t="inlineStr">
        <is>
          <t>Hacker Motor shareholders</t>
        </is>
      </c>
      <c r="H179" s="403" t="inlineStr">
        <is>
          <t>Not disclosed</t>
        </is>
      </c>
      <c r="I179" s="403" t="n">
        <v>46057</v>
      </c>
      <c r="J179" s="353" t="n">
        <v>2026</v>
      </c>
      <c r="K179" s="353" t="inlineStr">
        <is>
          <t>M&amp;A</t>
        </is>
      </c>
      <c r="L179" s="353" t="inlineStr">
        <is>
          <t>Full Acquisition</t>
        </is>
      </c>
      <c r="M179" s="353" t="inlineStr">
        <is>
          <t>Completed</t>
        </is>
      </c>
      <c r="N179" s="353" t="inlineStr">
        <is>
          <t>Not disclosed</t>
        </is>
      </c>
      <c r="O179" s="353" t="inlineStr">
        <is>
          <t>Not disclosed</t>
        </is>
      </c>
      <c r="P179" s="353" t="inlineStr">
        <is>
          <t>Hardware</t>
        </is>
      </c>
      <c r="Q179" s="353" t="inlineStr">
        <is>
          <t>Power, Propulsion &amp; Energy</t>
        </is>
      </c>
      <c r="R179" s="353" t="inlineStr">
        <is>
          <t>Core A&amp;D</t>
        </is>
      </c>
      <c r="S179" s="353" t="inlineStr">
        <is>
          <t>UAV Propulsion. Develops and manufactures high-performance electric motors, controllers and propulsion systems used in unmanned aircraft and advanced mobility applications.</t>
        </is>
      </c>
      <c r="T179" s="353" t="inlineStr">
        <is>
          <t>Verified — primary source</t>
        </is>
      </c>
      <c r="U179" s="353" t="inlineStr">
        <is>
          <t>https://quantum-systems.com/news/quantum-systems-acquires-hacker-motor/</t>
        </is>
      </c>
      <c r="V179" s="353" t="inlineStr">
        <is>
          <t>Verified — primary source</t>
        </is>
      </c>
      <c r="W179" s="353" t="inlineStr">
        <is>
          <t>Retain under strict scope; completed transaction and primary A&amp;D focus are supported by the cited source.</t>
        </is>
      </c>
    </row>
    <row r="180" ht="45" customHeight="1">
      <c r="A180" s="353" t="inlineStr">
        <is>
          <t>EUR-090</t>
        </is>
      </c>
      <c r="B180" s="353" t="inlineStr">
        <is>
          <t>Europe</t>
        </is>
      </c>
      <c r="C180" s="353" t="inlineStr">
        <is>
          <t>United Kingdom</t>
        </is>
      </c>
      <c r="D180" s="353" t="inlineStr">
        <is>
          <t>PRP Optoelectronics</t>
        </is>
      </c>
      <c r="E180" s="353" t="inlineStr">
        <is>
          <t>SDI Group</t>
        </is>
      </c>
      <c r="F180" s="353" t="inlineStr">
        <is>
          <t>United Kingdom</t>
        </is>
      </c>
      <c r="G180" s="353" t="inlineStr">
        <is>
          <t>Not disclosed</t>
        </is>
      </c>
      <c r="H180" s="403" t="inlineStr">
        <is>
          <t>Not disclosed</t>
        </is>
      </c>
      <c r="I180" s="403" t="n">
        <v>46066</v>
      </c>
      <c r="J180" s="353" t="n">
        <v>2026</v>
      </c>
      <c r="K180" s="353" t="inlineStr">
        <is>
          <t>M&amp;A</t>
        </is>
      </c>
      <c r="L180" s="353" t="inlineStr">
        <is>
          <t>Full Acquisition</t>
        </is>
      </c>
      <c r="M180" s="353" t="inlineStr">
        <is>
          <t>Completed</t>
        </is>
      </c>
      <c r="N180" s="353" t="inlineStr">
        <is>
          <t>Not disclosed</t>
        </is>
      </c>
      <c r="O180" s="353" t="inlineStr">
        <is>
          <t>GBP</t>
        </is>
      </c>
      <c r="P180" s="353" t="inlineStr">
        <is>
          <t>Hardware</t>
        </is>
      </c>
      <c r="Q180" s="353" t="inlineStr">
        <is>
          <t>Defence Electronics &amp; Sensors</t>
        </is>
      </c>
      <c r="R180" s="353" t="inlineStr">
        <is>
          <t>Core A&amp;D</t>
        </is>
      </c>
      <c r="S180" s="353" t="inlineStr">
        <is>
          <t>Defence Electronics &amp; Sensors. Manufacturer of optoelectronic technology components intended to serve aviation and aerospace, defence and security, industrial printing and imaging industry. The company offers custom micro light-emitting diodes, monolithic and hybrid light-emitting diode arrays, light-emitting diode light engines, avionic and military displays, printing and ultraviolet light-emitting diode systems, plus full in-house design, manufacturing, testing, and original equipment manufacturer system integration services.</t>
        </is>
      </c>
      <c r="T180" s="353" t="inlineStr">
        <is>
          <t>Verified — primary source</t>
        </is>
      </c>
      <c r="U180" s="353" t="inlineStr">
        <is>
          <t>https://www.londonstockexchange.com/news-article/SDI/acquisition-of-prp-optoelectronics/17459636</t>
        </is>
      </c>
      <c r="V180" s="353" t="inlineStr">
        <is>
          <t>Verified — primary source</t>
        </is>
      </c>
      <c r="W180" s="353" t="inlineStr">
        <is>
          <t>Retain under strict scope; completed transaction and primary A&amp;D focus are supported by the cited source.</t>
        </is>
      </c>
    </row>
    <row r="181" ht="45" customHeight="1">
      <c r="A181" s="353" t="inlineStr">
        <is>
          <t>EUR-091</t>
        </is>
      </c>
      <c r="B181" s="353" t="inlineStr">
        <is>
          <t>Europe</t>
        </is>
      </c>
      <c r="C181" s="353" t="inlineStr">
        <is>
          <t>Denmark</t>
        </is>
      </c>
      <c r="D181" s="353" t="inlineStr">
        <is>
          <t>Scanfiber Composites</t>
        </is>
      </c>
      <c r="E181" s="353" t="inlineStr">
        <is>
          <t>Fjord Defence Group</t>
        </is>
      </c>
      <c r="F181" s="353" t="inlineStr">
        <is>
          <t>Norway</t>
        </is>
      </c>
      <c r="G181" s="353" t="inlineStr">
        <is>
          <t>Not disclosed</t>
        </is>
      </c>
      <c r="H181" s="403" t="inlineStr">
        <is>
          <t>Not disclosed</t>
        </is>
      </c>
      <c r="I181" s="403" t="n">
        <v>46078</v>
      </c>
      <c r="J181" s="353" t="n">
        <v>2026</v>
      </c>
      <c r="K181" s="353" t="inlineStr">
        <is>
          <t>M&amp;A</t>
        </is>
      </c>
      <c r="L181" s="353" t="inlineStr">
        <is>
          <t>Full company acquisition</t>
        </is>
      </c>
      <c r="M181" s="353" t="inlineStr">
        <is>
          <t>Completed</t>
        </is>
      </c>
      <c r="N181" s="353" t="inlineStr">
        <is>
          <t>Not disclosed</t>
        </is>
      </c>
      <c r="O181" s="353" t="inlineStr">
        <is>
          <t>NOK</t>
        </is>
      </c>
      <c r="P181" s="353" t="inlineStr">
        <is>
          <t>Hardware</t>
        </is>
      </c>
      <c r="Q181" s="353" t="inlineStr">
        <is>
          <t>Land Systems &amp; Military Vehicles</t>
        </is>
      </c>
      <c r="R181" s="353" t="inlineStr">
        <is>
          <t>Core A&amp;D</t>
        </is>
      </c>
      <c r="S181" s="353" t="inlineStr">
        <is>
          <t>Industrial Supply Chain &amp; Manufacturing. Manufacturer of armoured clothing catering to the military and civilian industry. The company's products include ballistic panels, add-on armour, spall-liner, ballistic blankets, seat protection, spall-liners for vehicles, building protection panels, vehicle armour, and personal-protection ballistic bags thereby providing the military with ballistic protection.</t>
        </is>
      </c>
      <c r="T181" s="353" t="inlineStr">
        <is>
          <t>Verified — primary source</t>
        </is>
      </c>
      <c r="U181" s="353" t="inlineStr">
        <is>
          <t>https://mfn.se/ob/a/fjord-defence-group/fjord-defence-group-asa-successful-completion-of-acquisition-of-scanfiber-composites-a-s-e058dcdd.iframe</t>
        </is>
      </c>
      <c r="V181" s="353" t="inlineStr">
        <is>
          <t>Verified — primary source</t>
        </is>
      </c>
      <c r="W181" s="353" t="inlineStr">
        <is>
          <t>Replace original date: completion was 25 February 2026, not 1 January.</t>
        </is>
      </c>
    </row>
    <row r="182" ht="45" customHeight="1">
      <c r="A182" s="353" t="inlineStr">
        <is>
          <t>EUR-092</t>
        </is>
      </c>
      <c r="B182" s="353" t="inlineStr">
        <is>
          <t>Europe</t>
        </is>
      </c>
      <c r="C182" s="353" t="inlineStr">
        <is>
          <t>Sweden</t>
        </is>
      </c>
      <c r="D182" s="353" t="inlineStr">
        <is>
          <t>Wireless P2p Technologies</t>
        </is>
      </c>
      <c r="E182" s="353" t="inlineStr">
        <is>
          <t>Evallic</t>
        </is>
      </c>
      <c r="F182" s="353" t="inlineStr">
        <is>
          <t>Sweden</t>
        </is>
      </c>
      <c r="G182" s="353" t="inlineStr">
        <is>
          <t>Not disclosed</t>
        </is>
      </c>
      <c r="H182" s="403" t="inlineStr">
        <is>
          <t>Not disclosed</t>
        </is>
      </c>
      <c r="I182" s="403" t="n">
        <v>46078</v>
      </c>
      <c r="J182" s="353" t="n">
        <v>2026</v>
      </c>
      <c r="K182" s="353" t="inlineStr">
        <is>
          <t>M&amp;A</t>
        </is>
      </c>
      <c r="L182" s="353" t="inlineStr">
        <is>
          <t>Company acquisition; percentage undisclosed</t>
        </is>
      </c>
      <c r="M182" s="353" t="inlineStr">
        <is>
          <t>Completed</t>
        </is>
      </c>
      <c r="N182" s="353" t="inlineStr">
        <is>
          <t>Not disclosed</t>
        </is>
      </c>
      <c r="O182" s="353" t="inlineStr">
        <is>
          <t>Not disclosed</t>
        </is>
      </c>
      <c r="P182" s="353" t="inlineStr">
        <is>
          <t>Hardware / Software</t>
        </is>
      </c>
      <c r="Q182" s="353" t="inlineStr">
        <is>
          <t>Air Traffic Management &amp; Communications</t>
        </is>
      </c>
      <c r="R182" s="353" t="inlineStr">
        <is>
          <t>Core A&amp;D</t>
        </is>
      </c>
      <c r="S182" s="353" t="inlineStr">
        <is>
          <t>Secure Communications &amp; Connectivity. Developer of wireless communication technology and networking systems intended to serve defence, aerospace, and unmanned platforms. The company offers peer-to-peer wireless communication protocols and software, mobile ad-hoc networking technologies, software-defined radio platforms, tools, and libraries for decentralized connectivity, support for resilient communications without fixed infrastructure.</t>
        </is>
      </c>
      <c r="T182" s="353" t="inlineStr">
        <is>
          <t>Verified — primary source</t>
        </is>
      </c>
      <c r="U182" s="353" t="inlineStr">
        <is>
          <t>https://evallic.com/news/evallic-welcomes-wireless-p2p-technologies-a-technology-leader-in-tactical-communication-and-electronic-warfare/</t>
        </is>
      </c>
      <c r="V182" s="353" t="inlineStr">
        <is>
          <t>Verified — primary source</t>
        </is>
      </c>
      <c r="W182" s="353" t="inlineStr">
        <is>
          <t>Replace value and ownership claims: terms and percentage were not disclosed by the primary source.</t>
        </is>
      </c>
    </row>
    <row r="183" ht="45" customHeight="1">
      <c r="A183" s="353" t="inlineStr">
        <is>
          <t>EUR-093</t>
        </is>
      </c>
      <c r="B183" s="353" t="inlineStr">
        <is>
          <t>Europe</t>
        </is>
      </c>
      <c r="C183" s="353" t="inlineStr">
        <is>
          <t>Luxembourg</t>
        </is>
      </c>
      <c r="D183" s="353" t="inlineStr">
        <is>
          <t>LMO Luxembourg Operations</t>
        </is>
      </c>
      <c r="E183" s="353" t="inlineStr">
        <is>
          <t>Infinite Orbits</t>
        </is>
      </c>
      <c r="F183" s="353" t="inlineStr">
        <is>
          <t>France</t>
        </is>
      </c>
      <c r="G183" s="353" t="inlineStr">
        <is>
          <t>LMO shareholders</t>
        </is>
      </c>
      <c r="H183" s="403" t="inlineStr">
        <is>
          <t>Not disclosed</t>
        </is>
      </c>
      <c r="I183" s="403" t="n">
        <v>46079</v>
      </c>
      <c r="J183" s="353" t="n">
        <v>2026</v>
      </c>
      <c r="K183" s="353" t="inlineStr">
        <is>
          <t>M&amp;A</t>
        </is>
      </c>
      <c r="L183" s="353" t="inlineStr">
        <is>
          <t>Acquisition of identifiable Luxembourg space-technology operations</t>
        </is>
      </c>
      <c r="M183" s="353" t="inlineStr">
        <is>
          <t>Completed</t>
        </is>
      </c>
      <c r="N183" s="353" t="inlineStr">
        <is>
          <t>Not disclosed</t>
        </is>
      </c>
      <c r="O183" s="353" t="inlineStr">
        <is>
          <t>Not disclosed</t>
        </is>
      </c>
      <c r="P183" s="353" t="inlineStr">
        <is>
          <t>Software / Services</t>
        </is>
      </c>
      <c r="Q183" s="353" t="inlineStr">
        <is>
          <t>Space &amp; Satellite Systems</t>
        </is>
      </c>
      <c r="R183" s="353" t="inlineStr">
        <is>
          <t>Core A&amp;D</t>
        </is>
      </c>
      <c r="S183" s="353" t="inlineStr">
        <is>
          <t>Space-technology operations involving orbital/space capabilities; treated as an identifiable operating business rather than isolated equipment.</t>
        </is>
      </c>
      <c r="T183" s="353" t="inlineStr">
        <is>
          <t>Verified — primary source</t>
        </is>
      </c>
      <c r="U183" s="353" t="inlineStr">
        <is>
          <t>https://www.infiniteorbits.io/post/infinite-orbits-expands-into-luxembourg</t>
        </is>
      </c>
      <c r="V183" s="353" t="inlineStr">
        <is>
          <t>Verified — primary source</t>
        </is>
      </c>
      <c r="W183" s="353" t="inlineStr">
        <is>
          <t>Retain under strict scope; completed transaction and primary A&amp;D focus are supported by the cited source.</t>
        </is>
      </c>
    </row>
    <row r="184" ht="45" customHeight="1">
      <c r="A184" s="353" t="inlineStr">
        <is>
          <t>EUR-094</t>
        </is>
      </c>
      <c r="B184" s="353" t="inlineStr">
        <is>
          <t>Europe</t>
        </is>
      </c>
      <c r="C184" s="353" t="inlineStr">
        <is>
          <t>Austria</t>
        </is>
      </c>
      <c r="D184" s="353" t="inlineStr">
        <is>
          <t>Hirtenberger Defence Systems group</t>
        </is>
      </c>
      <c r="E184" s="353" t="inlineStr">
        <is>
          <t>4iG Space and Defence Technologies Zrt.</t>
        </is>
      </c>
      <c r="F184" s="353" t="inlineStr">
        <is>
          <t>Hungary</t>
        </is>
      </c>
      <c r="G184" s="353" t="inlineStr">
        <is>
          <t>N7 Holding</t>
        </is>
      </c>
      <c r="H184" s="403" t="n">
        <v>45936</v>
      </c>
      <c r="I184" s="403" t="n">
        <v>46080</v>
      </c>
      <c r="J184" s="353" t="n">
        <v>2026</v>
      </c>
      <c r="K184" s="353" t="inlineStr">
        <is>
          <t>M&amp;A</t>
        </is>
      </c>
      <c r="L184" s="353" t="inlineStr">
        <is>
          <t>100% share acquisition of an identifiable operating defence group</t>
        </is>
      </c>
      <c r="M184" s="353" t="inlineStr">
        <is>
          <t>Completed</t>
        </is>
      </c>
      <c r="N184" s="353" t="inlineStr">
        <is>
          <t>Not disclosed</t>
        </is>
      </c>
      <c r="O184" s="353" t="inlineStr">
        <is>
          <t>Not disclosed</t>
        </is>
      </c>
      <c r="P184" s="353" t="inlineStr">
        <is>
          <t>Hardware / Software</t>
        </is>
      </c>
      <c r="Q184" s="353" t="inlineStr">
        <is>
          <t>Ammunition &amp; Weapons</t>
        </is>
      </c>
      <c r="R184" s="353" t="inlineStr">
        <is>
          <t>Core A&amp;D</t>
        </is>
      </c>
      <c r="S184" s="353" t="inlineStr">
        <is>
          <t>The official filing identifies Hirtenberger as an Austrian-headquartered defence group producing mortars, ammunition and digital fire-control and aiming systems.</t>
        </is>
      </c>
      <c r="T184" s="353" t="inlineStr">
        <is>
          <t>Verified — primary source</t>
        </is>
      </c>
      <c r="U184" s="353" t="inlineStr">
        <is>
          <t>https://www.bet.hu/newkibdata/129406957/20260227_RT_SDT_N7_zaras_EN.pdf</t>
        </is>
      </c>
      <c r="V184" s="353" t="inlineStr">
        <is>
          <t>Verified — primary source</t>
        </is>
      </c>
      <c r="W184" s="353" t="inlineStr">
        <is>
          <t>Added after resolving the official multi-company closing filing. The 100% acquisition completed on 27 February 2026; the related VAB vehicle was not added because it conveyed only an indirect minority interest in Rheinmetall Hungary rather than control of an operating target.</t>
        </is>
      </c>
    </row>
    <row r="185" ht="45" customHeight="1">
      <c r="A185" s="353" t="inlineStr">
        <is>
          <t>EUR-095</t>
        </is>
      </c>
      <c r="B185" s="353" t="inlineStr">
        <is>
          <t>Europe</t>
        </is>
      </c>
      <c r="C185" s="353" t="inlineStr">
        <is>
          <t>Hungary</t>
        </is>
      </c>
      <c r="D185" s="353" t="inlineStr">
        <is>
          <t>N7 Defence Zrt.</t>
        </is>
      </c>
      <c r="E185" s="353" t="inlineStr">
        <is>
          <t>4iG Space and Defence Technologies Zrt.</t>
        </is>
      </c>
      <c r="F185" s="353" t="inlineStr">
        <is>
          <t>Hungary</t>
        </is>
      </c>
      <c r="G185" s="353" t="inlineStr">
        <is>
          <t>Hungarian State</t>
        </is>
      </c>
      <c r="H185" s="403" t="n">
        <v>45936</v>
      </c>
      <c r="I185" s="403" t="n">
        <v>46080</v>
      </c>
      <c r="J185" s="353" t="n">
        <v>2026</v>
      </c>
      <c r="K185" s="353" t="inlineStr">
        <is>
          <t>M&amp;A</t>
        </is>
      </c>
      <c r="L185" s="353" t="inlineStr">
        <is>
          <t>Majority control acquisition</t>
        </is>
      </c>
      <c r="M185" s="353" t="inlineStr">
        <is>
          <t>Completed</t>
        </is>
      </c>
      <c r="N185" s="353" t="inlineStr">
        <is>
          <t>Not disclosed</t>
        </is>
      </c>
      <c r="O185" s="353" t="inlineStr">
        <is>
          <t>Not disclosed</t>
        </is>
      </c>
      <c r="P185" s="353" t="inlineStr">
        <is>
          <t>Hardware / Services</t>
        </is>
      </c>
      <c r="Q185" s="353" t="inlineStr">
        <is>
          <t>Ammunition &amp; Weapons</t>
        </is>
      </c>
      <c r="R185" s="353" t="inlineStr">
        <is>
          <t>Core A&amp;D</t>
        </is>
      </c>
      <c r="S185" s="353" t="inlineStr">
        <is>
          <t>N7 is a core Hungarian defence-industry holding, but the majority acquisition closed in 2026.</t>
        </is>
      </c>
      <c r="T185" s="353" t="inlineStr">
        <is>
          <t>Verified — primary source</t>
        </is>
      </c>
      <c r="U185" s="353" t="inlineStr">
        <is>
          <t>https://www.bet.hu/newkibdata/129406957/20260227_RT_SDT_N7_zaras_EN.pdf</t>
        </is>
      </c>
      <c r="V185" s="353" t="inlineStr">
        <is>
          <t>Verified — primary source</t>
        </is>
      </c>
      <c r="W185" s="353" t="inlineStr">
        <is>
          <t>Move out of 2025; correct ownership and remove the unsupported consideration figure. Promoted to the completed population because the transaction legally closed by the 2026-08-02 cutoff.</t>
        </is>
      </c>
    </row>
    <row r="186" ht="45" customHeight="1">
      <c r="A186" s="353" t="inlineStr">
        <is>
          <t>EUR-096</t>
        </is>
      </c>
      <c r="B186" s="353" t="inlineStr">
        <is>
          <t>Europe</t>
        </is>
      </c>
      <c r="C186" s="353" t="inlineStr">
        <is>
          <t>Germany</t>
        </is>
      </c>
      <c r="D186" s="353" t="inlineStr">
        <is>
          <t>Naval Vessels Lürssen (NVL)</t>
        </is>
      </c>
      <c r="E186" s="353" t="inlineStr">
        <is>
          <t>Rheinmetall</t>
        </is>
      </c>
      <c r="F186" s="353" t="inlineStr">
        <is>
          <t>Germany</t>
        </is>
      </c>
      <c r="G186" s="353" t="inlineStr">
        <is>
          <t>Lürssen Group</t>
        </is>
      </c>
      <c r="H186" s="403" t="inlineStr">
        <is>
          <t>Not disclosed</t>
        </is>
      </c>
      <c r="I186" s="403" t="n">
        <v>46082</v>
      </c>
      <c r="J186" s="353" t="n">
        <v>2026</v>
      </c>
      <c r="K186" s="353" t="inlineStr">
        <is>
          <t>M&amp;A</t>
        </is>
      </c>
      <c r="L186" s="353" t="inlineStr">
        <is>
          <t>Full Acquisition</t>
        </is>
      </c>
      <c r="M186" s="353" t="inlineStr">
        <is>
          <t>Completed</t>
        </is>
      </c>
      <c r="N186" s="353" t="inlineStr">
        <is>
          <t>Not disclosed</t>
        </is>
      </c>
      <c r="O186" s="353" t="inlineStr">
        <is>
          <t>Not disclosed</t>
        </is>
      </c>
      <c r="P186" s="353" t="inlineStr">
        <is>
          <t>Hardware / Services</t>
        </is>
      </c>
      <c r="Q186" s="353" t="inlineStr">
        <is>
          <t>Naval &amp; Underwater Systems</t>
        </is>
      </c>
      <c r="R186" s="353" t="inlineStr">
        <is>
          <t>Core A&amp;D</t>
        </is>
      </c>
      <c r="S186" s="353" t="inlineStr">
        <is>
          <t>Naval Platforms / Shipbuilding. Designs, builds and supports naval vessels and maritime-defense platforms for the German Navy and international customers.</t>
        </is>
      </c>
      <c r="T186" s="353" t="inlineStr">
        <is>
          <t>Verified — primary source</t>
        </is>
      </c>
      <c r="U186" s="353" t="inlineStr">
        <is>
          <t>https://www.rheinmetall.com/en/media/news-watch/news/2026/03/2026-03-02-rheinmetall-takes-over-nvl</t>
        </is>
      </c>
      <c r="V186" s="353" t="inlineStr">
        <is>
          <t>Verified — primary source</t>
        </is>
      </c>
      <c r="W186" s="353" t="inlineStr">
        <is>
          <t>Retain under strict scope; completed transaction and primary A&amp;D focus are supported by the cited source.</t>
        </is>
      </c>
    </row>
    <row r="187" ht="45" customHeight="1">
      <c r="A187" s="353" t="inlineStr">
        <is>
          <t>EUR-097</t>
        </is>
      </c>
      <c r="B187" s="353" t="inlineStr">
        <is>
          <t>Europe</t>
        </is>
      </c>
      <c r="C187" s="353" t="inlineStr">
        <is>
          <t>United Kingdom</t>
        </is>
      </c>
      <c r="D187" s="353" t="inlineStr">
        <is>
          <t>Forged Solutions Group, Inc.</t>
        </is>
      </c>
      <c r="E187" s="353" t="inlineStr">
        <is>
          <t>J.F. Lehman &amp; Company affiliates</t>
        </is>
      </c>
      <c r="F187" s="353" t="inlineStr">
        <is>
          <t>United States</t>
        </is>
      </c>
      <c r="G187" s="353" t="inlineStr">
        <is>
          <t>Arlington Capital Partners</t>
        </is>
      </c>
      <c r="H187" s="403" t="inlineStr">
        <is>
          <t>Not disclosed</t>
        </is>
      </c>
      <c r="I187" s="403" t="n">
        <v>46083</v>
      </c>
      <c r="J187" s="353" t="n">
        <v>2026</v>
      </c>
      <c r="K187" s="353" t="inlineStr">
        <is>
          <t>M&amp;A</t>
        </is>
      </c>
      <c r="L187" s="353" t="inlineStr">
        <is>
          <t>Private-equity acquisition</t>
        </is>
      </c>
      <c r="M187" s="353" t="inlineStr">
        <is>
          <t>Completed</t>
        </is>
      </c>
      <c r="N187" s="353" t="inlineStr">
        <is>
          <t>Not disclosed</t>
        </is>
      </c>
      <c r="O187" s="353" t="inlineStr">
        <is>
          <t>Not disclosed</t>
        </is>
      </c>
      <c r="P187" s="353" t="inlineStr">
        <is>
          <t>Hardware</t>
        </is>
      </c>
      <c r="Q187" s="353" t="inlineStr">
        <is>
          <t>Aerospace Materials &amp; Components</t>
        </is>
      </c>
      <c r="R187" s="353" t="inlineStr">
        <is>
          <t>Core A&amp;D</t>
        </is>
      </c>
      <c r="S187" s="353" t="inlineStr">
        <is>
          <t>Aerospace &amp; Defence Forgings. Manufacturer of high-integrity forgings and components for aircraft engines, defence and space platforms.</t>
        </is>
      </c>
      <c r="T187" s="353" t="inlineStr">
        <is>
          <t>Verified — primary source</t>
        </is>
      </c>
      <c r="U187" s="353" t="inlineStr">
        <is>
          <t>https://www.jflco.com/news-article/189/jf-lehmancompany-completes-acquisition-of-forged-solutions-group</t>
        </is>
      </c>
      <c r="V187" s="353" t="inlineStr">
        <is>
          <t>Verified — primary source</t>
        </is>
      </c>
      <c r="W187" s="353" t="inlineStr">
        <is>
          <t>Retain under strict scope; completed transaction and primary A&amp;D focus are supported by the cited source.</t>
        </is>
      </c>
    </row>
    <row r="188" ht="45" customHeight="1">
      <c r="A188" s="353" t="inlineStr">
        <is>
          <t>EUR-098</t>
        </is>
      </c>
      <c r="B188" s="353" t="inlineStr">
        <is>
          <t>Europe</t>
        </is>
      </c>
      <c r="C188" s="353" t="inlineStr">
        <is>
          <t>Sweden</t>
        </is>
      </c>
      <c r="D188" s="353" t="inlineStr">
        <is>
          <t>Poseidon Diving Group AB</t>
        </is>
      </c>
      <c r="E188" s="353" t="inlineStr">
        <is>
          <t>Argo Defence Group AB</t>
        </is>
      </c>
      <c r="F188" s="353" t="inlineStr">
        <is>
          <t>Sweden</t>
        </is>
      </c>
      <c r="G188" s="353" t="inlineStr">
        <is>
          <t>Poseidon shareholders</t>
        </is>
      </c>
      <c r="H188" s="403" t="inlineStr">
        <is>
          <t>Not disclosed</t>
        </is>
      </c>
      <c r="I188" s="403" t="n">
        <v>46083</v>
      </c>
      <c r="J188" s="353" t="n">
        <v>2026</v>
      </c>
      <c r="K188" s="353" t="inlineStr">
        <is>
          <t>M&amp;A</t>
        </is>
      </c>
      <c r="L188" s="353" t="inlineStr">
        <is>
          <t>99.55% controlling acquisition</t>
        </is>
      </c>
      <c r="M188" s="353" t="inlineStr">
        <is>
          <t>Completed</t>
        </is>
      </c>
      <c r="N188" s="353" t="inlineStr">
        <is>
          <t>Not disclosed</t>
        </is>
      </c>
      <c r="O188" s="353" t="inlineStr">
        <is>
          <t>SEK</t>
        </is>
      </c>
      <c r="P188" s="353" t="inlineStr">
        <is>
          <t>Hardware</t>
        </is>
      </c>
      <c r="Q188" s="353" t="inlineStr">
        <is>
          <t>Naval &amp; Underwater Systems</t>
        </is>
      </c>
      <c r="R188" s="353" t="inlineStr">
        <is>
          <t>Core A&amp;D</t>
        </is>
      </c>
      <c r="S188" s="353" t="inlineStr">
        <is>
          <t>Military Diving Systems. Manufacturer of closed-circuit rebreathers, diving equipment and breathing systems for military and professional users.</t>
        </is>
      </c>
      <c r="T188" s="353" t="inlineStr">
        <is>
          <t>Verified — primary source</t>
        </is>
      </c>
      <c r="U188" s="353" t="inlineStr">
        <is>
          <t>https://argodefence.se/mfn_news/argo-defence-group-completes-the-acquisition-of-poseidon-diving-group-ab/</t>
        </is>
      </c>
      <c r="V188" s="353" t="inlineStr">
        <is>
          <t>Verified — primary source</t>
        </is>
      </c>
      <c r="W188" s="353" t="inlineStr">
        <is>
          <t>Replace full-acquisition wording with 99.55% acquired.</t>
        </is>
      </c>
    </row>
    <row r="189" ht="45" customHeight="1">
      <c r="A189" s="353" t="inlineStr">
        <is>
          <t>EUR-099</t>
        </is>
      </c>
      <c r="B189" s="353" t="inlineStr">
        <is>
          <t>Europe</t>
        </is>
      </c>
      <c r="C189" s="353" t="inlineStr">
        <is>
          <t>United Kingdom</t>
        </is>
      </c>
      <c r="D189" s="353" t="inlineStr">
        <is>
          <t>Lúnasa Space</t>
        </is>
      </c>
      <c r="E189" s="353" t="inlineStr">
        <is>
          <t>Infinite Orbits</t>
        </is>
      </c>
      <c r="F189" s="353" t="inlineStr">
        <is>
          <t>France</t>
        </is>
      </c>
      <c r="G189" s="353" t="inlineStr">
        <is>
          <t>Lúnasa Space shareholders</t>
        </is>
      </c>
      <c r="H189" s="403" t="inlineStr">
        <is>
          <t>Not disclosed</t>
        </is>
      </c>
      <c r="I189" s="403" t="n">
        <v>46084</v>
      </c>
      <c r="J189" s="353" t="n">
        <v>2026</v>
      </c>
      <c r="K189" s="353" t="inlineStr">
        <is>
          <t>M&amp;A</t>
        </is>
      </c>
      <c r="L189" s="353" t="inlineStr">
        <is>
          <t>Full Acquisition</t>
        </is>
      </c>
      <c r="M189" s="353" t="inlineStr">
        <is>
          <t>Completed</t>
        </is>
      </c>
      <c r="N189" s="353" t="inlineStr">
        <is>
          <t>Not disclosed</t>
        </is>
      </c>
      <c r="O189" s="353" t="inlineStr">
        <is>
          <t>Not disclosed</t>
        </is>
      </c>
      <c r="P189" s="353" t="inlineStr">
        <is>
          <t>Hardware / Services</t>
        </is>
      </c>
      <c r="Q189" s="353" t="inlineStr">
        <is>
          <t>Space &amp; Satellite Systems</t>
        </is>
      </c>
      <c r="R189" s="353" t="inlineStr">
        <is>
          <t>Core A&amp;D</t>
        </is>
      </c>
      <c r="S189" s="353" t="inlineStr">
        <is>
          <t>Space Logistics / In-Orbit Services. Develops orbital-transfer and in-space logistics solutions for satellite deployment, hosted payloads and mission services.</t>
        </is>
      </c>
      <c r="T189" s="353" t="inlineStr">
        <is>
          <t>Verified — primary source</t>
        </is>
      </c>
      <c r="U189" s="353" t="inlineStr">
        <is>
          <t>https://www.infiniteorbits.io/post/infinite-orbits-expands-into-the-uk</t>
        </is>
      </c>
      <c r="V189" s="353" t="inlineStr">
        <is>
          <t>Verified — primary source</t>
        </is>
      </c>
      <c r="W189" s="353" t="inlineStr">
        <is>
          <t>Retain under strict scope; completed transaction and primary A&amp;D focus are supported by the cited source.</t>
        </is>
      </c>
    </row>
    <row r="190" ht="45" customHeight="1">
      <c r="A190" s="353" t="inlineStr">
        <is>
          <t>EUR-100</t>
        </is>
      </c>
      <c r="B190" s="353" t="inlineStr">
        <is>
          <t>Europe</t>
        </is>
      </c>
      <c r="C190" s="353" t="inlineStr">
        <is>
          <t>Germany</t>
        </is>
      </c>
      <c r="D190" s="353" t="inlineStr">
        <is>
          <t>Gabler Group AG</t>
        </is>
      </c>
      <c r="E190" s="353" t="inlineStr">
        <is>
          <t>Public investors</t>
        </is>
      </c>
      <c r="F190" s="353" t="inlineStr">
        <is>
          <t>Public markets</t>
        </is>
      </c>
      <c r="G190" s="353" t="inlineStr">
        <is>
          <t>Issuer / selling shareholders</t>
        </is>
      </c>
      <c r="H190" s="403" t="inlineStr">
        <is>
          <t>Not disclosed</t>
        </is>
      </c>
      <c r="I190" s="403" t="n">
        <v>46090</v>
      </c>
      <c r="J190" s="353" t="n">
        <v>2026</v>
      </c>
      <c r="K190" s="353" t="inlineStr">
        <is>
          <t>IPO</t>
        </is>
      </c>
      <c r="L190" s="353" t="inlineStr">
        <is>
          <t>Initial public offering — primary and secondary</t>
        </is>
      </c>
      <c r="M190" s="353" t="inlineStr">
        <is>
          <t>Completed</t>
        </is>
      </c>
      <c r="N190" s="353" t="inlineStr">
        <is>
          <t>Not disclosed</t>
        </is>
      </c>
      <c r="O190" s="353" t="inlineStr">
        <is>
          <t>EUR</t>
        </is>
      </c>
      <c r="P190" s="353" t="inlineStr">
        <is>
          <t>Hardware / Software / Services</t>
        </is>
      </c>
      <c r="Q190" s="353" t="inlineStr">
        <is>
          <t>Naval &amp; Underwater Systems</t>
        </is>
      </c>
      <c r="R190" s="353" t="inlineStr">
        <is>
          <t>Core A&amp;D</t>
        </is>
      </c>
      <c r="S190" s="353" t="inlineStr">
        <is>
          <t>Submarine &amp; Subsea Systems. Provider of submarine mast, communications, data and subsea power systems.</t>
        </is>
      </c>
      <c r="T190" s="353" t="inlineStr">
        <is>
          <t>Verified — primary source</t>
        </is>
      </c>
      <c r="U190" s="353" t="inlineStr">
        <is>
          <t>https://www.cashmarket.deutsche-boerse.com/cash-en/Data-Tech/statistics/New-Companies/Gabler-Group-AG-4975180</t>
        </is>
      </c>
      <c r="V190" s="353" t="inlineStr">
        <is>
          <t>Verified — primary source</t>
        </is>
      </c>
      <c r="W190" s="353" t="inlineStr">
        <is>
          <t>Retain under strict scope; completed transaction and primary A&amp;D focus are supported by the cited source.</t>
        </is>
      </c>
    </row>
    <row r="191" ht="45" customHeight="1">
      <c r="A191" s="353" t="inlineStr">
        <is>
          <t>EUR-101</t>
        </is>
      </c>
      <c r="B191" s="353" t="inlineStr">
        <is>
          <t>Europe</t>
        </is>
      </c>
      <c r="C191" s="353" t="inlineStr">
        <is>
          <t>United Kingdom</t>
        </is>
      </c>
      <c r="D191" s="353" t="inlineStr">
        <is>
          <t>Rotron Aerospace Ltd</t>
        </is>
      </c>
      <c r="E191" s="353" t="inlineStr">
        <is>
          <t>Ondas Holdings</t>
        </is>
      </c>
      <c r="F191" s="353" t="inlineStr">
        <is>
          <t>United States</t>
        </is>
      </c>
      <c r="G191" s="353" t="inlineStr">
        <is>
          <t>Rotron Aerospace shareholders</t>
        </is>
      </c>
      <c r="H191" s="403" t="inlineStr">
        <is>
          <t>Not disclosed</t>
        </is>
      </c>
      <c r="I191" s="403" t="n">
        <v>46097</v>
      </c>
      <c r="J191" s="353" t="n">
        <v>2026</v>
      </c>
      <c r="K191" s="353" t="inlineStr">
        <is>
          <t>M&amp;A</t>
        </is>
      </c>
      <c r="L191" s="353" t="inlineStr">
        <is>
          <t>Full Acquisition</t>
        </is>
      </c>
      <c r="M191" s="353" t="inlineStr">
        <is>
          <t>Completed</t>
        </is>
      </c>
      <c r="N191" s="353" t="inlineStr">
        <is>
          <t>Not disclosed</t>
        </is>
      </c>
      <c r="O191" s="353" t="inlineStr">
        <is>
          <t>Not disclosed</t>
        </is>
      </c>
      <c r="P191" s="353" t="inlineStr">
        <is>
          <t>Hardware</t>
        </is>
      </c>
      <c r="Q191" s="353" t="inlineStr">
        <is>
          <t>Power, Propulsion &amp; Energy</t>
        </is>
      </c>
      <c r="R191" s="353" t="inlineStr">
        <is>
          <t>Core A&amp;D</t>
        </is>
      </c>
      <c r="S191" s="353" t="inlineStr">
        <is>
          <t>UAV Propulsion. Designs and manufactures advanced rotary and heavy-fuel propulsion systems for unmanned aircraft and aerospace applications.</t>
        </is>
      </c>
      <c r="T191" s="353" t="inlineStr">
        <is>
          <t>Verified — primary source</t>
        </is>
      </c>
      <c r="U191" s="353" t="inlineStr">
        <is>
          <t>https://ir.ondas.com/press-releases/detail/291/ondas-completes-acquisition-of-rotron-aerospace-ltd</t>
        </is>
      </c>
      <c r="V191" s="353" t="inlineStr">
        <is>
          <t>Verified — primary source</t>
        </is>
      </c>
      <c r="W191" s="353" t="inlineStr">
        <is>
          <t>Retain under strict scope; completed transaction and primary A&amp;D focus are supported by the cited source.</t>
        </is>
      </c>
    </row>
    <row r="192" ht="45" customHeight="1">
      <c r="A192" s="353" t="inlineStr">
        <is>
          <t>EUR-102</t>
        </is>
      </c>
      <c r="B192" s="353" t="inlineStr">
        <is>
          <t>Europe</t>
        </is>
      </c>
      <c r="C192" s="353" t="inlineStr">
        <is>
          <t>Italy</t>
        </is>
      </c>
      <c r="D192" s="353" t="inlineStr">
        <is>
          <t>Iveco Group defence business, including Iveco Defence Vehicles</t>
        </is>
      </c>
      <c r="E192" s="353" t="inlineStr">
        <is>
          <t>Leonardo S.p.A.</t>
        </is>
      </c>
      <c r="F192" s="353" t="inlineStr">
        <is>
          <t>Italy</t>
        </is>
      </c>
      <c r="G192" s="353" t="inlineStr">
        <is>
          <t>Iveco Group N.V.</t>
        </is>
      </c>
      <c r="H192" s="403" t="n">
        <v>45868</v>
      </c>
      <c r="I192" s="403" t="n">
        <v>46099</v>
      </c>
      <c r="J192" s="353" t="n">
        <v>2026</v>
      </c>
      <c r="K192" s="353" t="inlineStr">
        <is>
          <t>M&amp;A</t>
        </is>
      </c>
      <c r="L192" s="353" t="inlineStr">
        <is>
          <t>Corporate divestiture</t>
        </is>
      </c>
      <c r="M192" s="353" t="inlineStr">
        <is>
          <t>Completed</t>
        </is>
      </c>
      <c r="N192" s="353" t="inlineStr">
        <is>
          <t>Not disclosed</t>
        </is>
      </c>
      <c r="O192" s="353" t="inlineStr">
        <is>
          <t>EUR</t>
        </is>
      </c>
      <c r="P192" s="353" t="inlineStr">
        <is>
          <t>Hardware / Services</t>
        </is>
      </c>
      <c r="Q192" s="353" t="inlineStr">
        <is>
          <t>Land Systems &amp; Military Vehicles</t>
        </is>
      </c>
      <c r="R192" s="353" t="inlineStr">
        <is>
          <t>Core A&amp;D</t>
        </is>
      </c>
      <c r="S192" s="353" t="inlineStr">
        <is>
          <t>The business is a core land-defence vehicle manufacturer, but closing occurred in 2026.</t>
        </is>
      </c>
      <c r="T192" s="353" t="inlineStr">
        <is>
          <t>Verified — primary source</t>
        </is>
      </c>
      <c r="U192" s="353" t="inlineStr">
        <is>
          <t>https://www.leonardo.com/en/press-release-detail/-/detail/18-03-2026-leonardo-completes-the-acquisition-of-iveco-group-s-defence-business</t>
        </is>
      </c>
      <c r="V192" s="353" t="inlineStr">
        <is>
          <t>Verified — primary source</t>
        </is>
      </c>
      <c r="W192" s="353" t="inlineStr">
        <is>
          <t>Move out of the 2025 completed set and into 2026. Promoted to the completed population because the transaction legally closed by the 2026-08-02 cutoff.</t>
        </is>
      </c>
    </row>
    <row r="193" ht="45" customHeight="1">
      <c r="A193" s="353" t="inlineStr">
        <is>
          <t>EUR-103</t>
        </is>
      </c>
      <c r="B193" s="353" t="inlineStr">
        <is>
          <t>Europe</t>
        </is>
      </c>
      <c r="C193" s="353" t="inlineStr">
        <is>
          <t>United Kingdom</t>
        </is>
      </c>
      <c r="D193" s="353" t="inlineStr">
        <is>
          <t>STI Enterprises Holdings</t>
        </is>
      </c>
      <c r="E193" s="353" t="inlineStr">
        <is>
          <t>NOTE AB</t>
        </is>
      </c>
      <c r="F193" s="353" t="inlineStr">
        <is>
          <t>Sweden</t>
        </is>
      </c>
      <c r="G193" s="353" t="inlineStr">
        <is>
          <t>STI shareholders</t>
        </is>
      </c>
      <c r="H193" s="403" t="inlineStr">
        <is>
          <t>Not disclosed</t>
        </is>
      </c>
      <c r="I193" s="403" t="n">
        <v>46101</v>
      </c>
      <c r="J193" s="353" t="n">
        <v>2026</v>
      </c>
      <c r="K193" s="353" t="inlineStr">
        <is>
          <t>M&amp;A</t>
        </is>
      </c>
      <c r="L193" s="353" t="inlineStr">
        <is>
          <t>Full Acquisition</t>
        </is>
      </c>
      <c r="M193" s="353" t="inlineStr">
        <is>
          <t>Completed</t>
        </is>
      </c>
      <c r="N193" s="353" t="inlineStr">
        <is>
          <t>Not disclosed</t>
        </is>
      </c>
      <c r="O193" s="353" t="inlineStr">
        <is>
          <t>GBP</t>
        </is>
      </c>
      <c r="P193" s="353" t="inlineStr">
        <is>
          <t>Hardware / Services</t>
        </is>
      </c>
      <c r="Q193" s="353" t="inlineStr">
        <is>
          <t>Defence Electronics &amp; Sensors</t>
        </is>
      </c>
      <c r="R193" s="353" t="inlineStr">
        <is>
          <t>Core A&amp;D</t>
        </is>
      </c>
      <c r="S193" s="353" t="inlineStr">
        <is>
          <t>Defense Electronics Manufacturing. Provides high-reliability electronics manufacturing, integration and lifecycle services primarily to UK defense and aerospace customers.</t>
        </is>
      </c>
      <c r="T193" s="353" t="inlineStr">
        <is>
          <t>Verified — primary source</t>
        </is>
      </c>
      <c r="U193" s="353" t="inlineStr">
        <is>
          <t>https://www.note-ems.com/en/press-release/note-strengthens-position-in-defence-through-acquisition-of-sti-uks-leading-ems-defence-industry-partner-reaffirms-2026-outlook-and-announces-q1-outlook/</t>
        </is>
      </c>
      <c r="V193" s="353" t="inlineStr">
        <is>
          <t>Verified — primary source</t>
        </is>
      </c>
      <c r="W193" s="353" t="inlineStr">
        <is>
          <t>Retain under strict scope; completed transaction and primary A&amp;D focus are supported by the cited source.</t>
        </is>
      </c>
    </row>
    <row r="194" ht="45" customHeight="1">
      <c r="A194" s="353" t="inlineStr">
        <is>
          <t>EUR-104</t>
        </is>
      </c>
      <c r="B194" s="353" t="inlineStr">
        <is>
          <t>Europe</t>
        </is>
      </c>
      <c r="C194" s="353" t="inlineStr">
        <is>
          <t>Germany</t>
        </is>
      </c>
      <c r="D194" s="353" t="inlineStr">
        <is>
          <t>VINCORION (FRA: V1NC)</t>
        </is>
      </c>
      <c r="E194" s="353" t="inlineStr">
        <is>
          <t>Fidelity International, Invesco Asset Management</t>
        </is>
      </c>
      <c r="F194" s="353" t="inlineStr">
        <is>
          <t>Public markets</t>
        </is>
      </c>
      <c r="G194" s="353" t="inlineStr">
        <is>
          <t>Issuer / selling shareholders</t>
        </is>
      </c>
      <c r="H194" s="403" t="inlineStr">
        <is>
          <t>Not disclosed</t>
        </is>
      </c>
      <c r="I194" s="403" t="n">
        <v>46101</v>
      </c>
      <c r="J194" s="353" t="n">
        <v>2026</v>
      </c>
      <c r="K194" s="353" t="inlineStr">
        <is>
          <t>IPO</t>
        </is>
      </c>
      <c r="L194" s="353" t="inlineStr">
        <is>
          <t>IPO</t>
        </is>
      </c>
      <c r="M194" s="353" t="inlineStr">
        <is>
          <t>Completed</t>
        </is>
      </c>
      <c r="N194" s="353" t="inlineStr">
        <is>
          <t>Not disclosed</t>
        </is>
      </c>
      <c r="O194" s="353" t="inlineStr">
        <is>
          <t>Not disclosed</t>
        </is>
      </c>
      <c r="P194" s="353" t="inlineStr">
        <is>
          <t>Hardware / Services</t>
        </is>
      </c>
      <c r="Q194" s="353" t="inlineStr">
        <is>
          <t>Power, Propulsion &amp; Energy</t>
        </is>
      </c>
      <c r="R194" s="353" t="inlineStr">
        <is>
          <t>Core A&amp;D</t>
        </is>
      </c>
      <c r="S194" s="353" t="inlineStr">
        <is>
          <t>Defence Electronics &amp; Sensors. Manufacturer of mechatronic products intended for the security and defense, aviation, rail, and transport industries. The company offers power generation, electrical power management, drive systems, and innovation management technologies, providing tailored products that meet the specific requirements of its customers.</t>
        </is>
      </c>
      <c r="T194" s="353" t="inlineStr">
        <is>
          <t>Verified — primary source</t>
        </is>
      </c>
      <c r="U194" s="353" t="inlineStr">
        <is>
          <t>https://live.deutsche-boerse.com/news/vincorion-se-joins-the-prime-standard-segment-of-the-frankfurt-stock-exchange</t>
        </is>
      </c>
      <c r="V194" s="353" t="inlineStr">
        <is>
          <t>Verified — primary source</t>
        </is>
      </c>
      <c r="W194" s="353" t="inlineStr">
        <is>
          <t>Retain under strict scope; completed transaction and primary A&amp;D focus are supported by the cited source.</t>
        </is>
      </c>
    </row>
    <row r="195" ht="45" customHeight="1">
      <c r="A195" s="353" t="inlineStr">
        <is>
          <t>EUR-105</t>
        </is>
      </c>
      <c r="B195" s="353" t="inlineStr">
        <is>
          <t>Europe</t>
        </is>
      </c>
      <c r="C195" s="353" t="inlineStr">
        <is>
          <t>Italy</t>
        </is>
      </c>
      <c r="D195" s="353" t="inlineStr">
        <is>
          <t>AiviewGroup</t>
        </is>
      </c>
      <c r="E195" s="353" t="inlineStr">
        <is>
          <t>ENAV</t>
        </is>
      </c>
      <c r="F195" s="353" t="inlineStr">
        <is>
          <t>Italy</t>
        </is>
      </c>
      <c r="G195" s="353" t="inlineStr">
        <is>
          <t>Not disclosed</t>
        </is>
      </c>
      <c r="H195" s="403" t="inlineStr">
        <is>
          <t>Not disclosed</t>
        </is>
      </c>
      <c r="I195" s="403" t="n">
        <v>46107</v>
      </c>
      <c r="J195" s="353" t="n">
        <v>2026</v>
      </c>
      <c r="K195" s="353" t="inlineStr">
        <is>
          <t>M&amp;A</t>
        </is>
      </c>
      <c r="L195" s="353" t="inlineStr">
        <is>
          <t>85% controlling acquisition</t>
        </is>
      </c>
      <c r="M195" s="353" t="inlineStr">
        <is>
          <t>Completed</t>
        </is>
      </c>
      <c r="N195" s="353" t="inlineStr">
        <is>
          <t>Not disclosed</t>
        </is>
      </c>
      <c r="O195" s="353" t="inlineStr">
        <is>
          <t>EUR</t>
        </is>
      </c>
      <c r="P195" s="353" t="inlineStr">
        <is>
          <t>Hardware / Software / Services</t>
        </is>
      </c>
      <c r="Q195" s="353" t="inlineStr">
        <is>
          <t>UAVs &amp; Autonomous Systems</t>
        </is>
      </c>
      <c r="R195" s="353" t="inlineStr">
        <is>
          <t>Core A&amp;D</t>
        </is>
      </c>
      <c r="S195" s="353" t="inlineStr">
        <is>
          <t>UAVs &amp; Autonomous Systems. Provider of aviation consulting and drone services intended to work closely with other global technology companies and institutions in an effort to bring innovation to the market. The company's products offer an micro UAV, mapping, survey, aerial video, IOT, ai, inspection platforms, software, academy, consultant, and UAV solution provider, thereby enabling groundbreaking technologies that combine artificial intelligence and robotics to create the best solution for customer's needs</t>
        </is>
      </c>
      <c r="T195" s="353" t="inlineStr">
        <is>
          <t>Verified — primary source</t>
        </is>
      </c>
      <c r="U195" s="353" t="inlineStr">
        <is>
          <t>https://www.enav.it/en/node/18571</t>
        </is>
      </c>
      <c r="V195" s="353" t="inlineStr">
        <is>
          <t>Verified — primary source</t>
        </is>
      </c>
      <c r="W195" s="353" t="inlineStr">
        <is>
          <t>Replace ownership and seller fields: ENAV acquired 85%, not 100%; the Italian Ministry was not the seller.</t>
        </is>
      </c>
    </row>
    <row r="196" ht="45" customHeight="1">
      <c r="A196" s="353" t="inlineStr">
        <is>
          <t>EUR-106</t>
        </is>
      </c>
      <c r="B196" s="353" t="inlineStr">
        <is>
          <t>Europe</t>
        </is>
      </c>
      <c r="C196" s="353" t="inlineStr">
        <is>
          <t>Finland</t>
        </is>
      </c>
      <c r="D196" s="353" t="inlineStr">
        <is>
          <t>Scandinavian Seaplanes Oy / Atol Aviation</t>
        </is>
      </c>
      <c r="E196" s="353" t="inlineStr">
        <is>
          <t>Sensofusion</t>
        </is>
      </c>
      <c r="F196" s="353" t="inlineStr">
        <is>
          <t>Finland</t>
        </is>
      </c>
      <c r="G196" s="353" t="inlineStr">
        <is>
          <t>Atol Aviation shareholders</t>
        </is>
      </c>
      <c r="H196" s="403" t="inlineStr">
        <is>
          <t>Not disclosed</t>
        </is>
      </c>
      <c r="I196" s="403" t="n">
        <v>46112</v>
      </c>
      <c r="J196" s="353" t="n">
        <v>2026</v>
      </c>
      <c r="K196" s="353" t="inlineStr">
        <is>
          <t>M&amp;A</t>
        </is>
      </c>
      <c r="L196" s="353" t="inlineStr">
        <is>
          <t>Full Acquisition</t>
        </is>
      </c>
      <c r="M196" s="353" t="inlineStr">
        <is>
          <t>Completed</t>
        </is>
      </c>
      <c r="N196" s="353" t="inlineStr">
        <is>
          <t>Not disclosed</t>
        </is>
      </c>
      <c r="O196" s="353" t="inlineStr">
        <is>
          <t>Not disclosed</t>
        </is>
      </c>
      <c r="P196" s="353" t="inlineStr">
        <is>
          <t>Hardware</t>
        </is>
      </c>
      <c r="Q196" s="353" t="inlineStr">
        <is>
          <t>Aerospace Platforms &amp; Components</t>
        </is>
      </c>
      <c r="R196" s="353" t="inlineStr">
        <is>
          <t>Core A&amp;D</t>
        </is>
      </c>
      <c r="S196" s="353" t="inlineStr">
        <is>
          <t>Aircraft Platforms / Dual-Use Aviation. Develops the Atol Protector amphibious aircraft platform for civil, governmental and military operators, with surveillance, patrol, transport and special-purpose applications.</t>
        </is>
      </c>
      <c r="T196" s="353" t="inlineStr">
        <is>
          <t>Verified — primary source</t>
        </is>
      </c>
      <c r="U196" s="353" t="inlineStr">
        <is>
          <t>https://www.atolaviation.com/atol_news_blog31mar2026.html</t>
        </is>
      </c>
      <c r="V196" s="353" t="inlineStr">
        <is>
          <t>Verified — primary source</t>
        </is>
      </c>
      <c r="W196" s="353" t="inlineStr">
        <is>
          <t>Retain under strict scope; completed transaction and primary A&amp;D focus are supported by the cited source.</t>
        </is>
      </c>
    </row>
    <row r="197" ht="45" customHeight="1">
      <c r="A197" s="353" t="inlineStr">
        <is>
          <t>EUR-107</t>
        </is>
      </c>
      <c r="B197" s="353" t="inlineStr">
        <is>
          <t>Europe</t>
        </is>
      </c>
      <c r="C197" s="353" t="inlineStr">
        <is>
          <t>Germany</t>
        </is>
      </c>
      <c r="D197" s="353" t="inlineStr">
        <is>
          <t>JOWO Systemtechnik AG</t>
        </is>
      </c>
      <c r="E197" s="353" t="inlineStr">
        <is>
          <t>Hexatronic Group AB</t>
        </is>
      </c>
      <c r="F197" s="353" t="inlineStr">
        <is>
          <t>Sweden</t>
        </is>
      </c>
      <c r="G197" s="353" t="inlineStr">
        <is>
          <t>JOWO shareholders</t>
        </is>
      </c>
      <c r="H197" s="403" t="inlineStr">
        <is>
          <t>Not disclosed</t>
        </is>
      </c>
      <c r="I197" s="403" t="n">
        <v>46113</v>
      </c>
      <c r="J197" s="353" t="n">
        <v>2026</v>
      </c>
      <c r="K197" s="353" t="inlineStr">
        <is>
          <t>M&amp;A</t>
        </is>
      </c>
      <c r="L197" s="353" t="inlineStr">
        <is>
          <t>Full acquisition</t>
        </is>
      </c>
      <c r="M197" s="353" t="inlineStr">
        <is>
          <t>Completed</t>
        </is>
      </c>
      <c r="N197" s="353" t="inlineStr">
        <is>
          <t>Not disclosed</t>
        </is>
      </c>
      <c r="O197" s="353" t="inlineStr">
        <is>
          <t>Not disclosed</t>
        </is>
      </c>
      <c r="P197" s="353" t="inlineStr">
        <is>
          <t>Hardware</t>
        </is>
      </c>
      <c r="Q197" s="353" t="inlineStr">
        <is>
          <t>Defence Electronics &amp; Sensors</t>
        </is>
      </c>
      <c r="R197" s="353" t="inlineStr">
        <is>
          <t>Core A&amp;D</t>
        </is>
      </c>
      <c r="S197" s="353" t="inlineStr">
        <is>
          <t>Rugged Defence Connectivity. Manufacturer and distributor of rugged connectors and systems for defence and harsh environments.</t>
        </is>
      </c>
      <c r="T197" s="353" t="inlineStr">
        <is>
          <t>Verified — primary source</t>
        </is>
      </c>
      <c r="U197" s="353" t="inlineStr">
        <is>
          <t>https://view.news.eu.nasdaq.com/view?id=b25a24b7060727c77d7454fb182ec8524&amp;lang=en&amp;src=micro</t>
        </is>
      </c>
      <c r="V197" s="353" t="inlineStr">
        <is>
          <t>Verified — primary source</t>
        </is>
      </c>
      <c r="W197" s="353" t="inlineStr">
        <is>
          <t>Retain under strict scope; completed transaction and primary A&amp;D focus are supported by the cited source.</t>
        </is>
      </c>
    </row>
    <row r="198" ht="45" customHeight="1">
      <c r="A198" s="353" t="inlineStr">
        <is>
          <t>EUR-108</t>
        </is>
      </c>
      <c r="B198" s="353" t="inlineStr">
        <is>
          <t>Europe</t>
        </is>
      </c>
      <c r="C198" s="353" t="inlineStr">
        <is>
          <t>United Kingdom</t>
        </is>
      </c>
      <c r="D198" s="353" t="inlineStr">
        <is>
          <t>Smiths Interconnect</t>
        </is>
      </c>
      <c r="E198" s="353" t="inlineStr">
        <is>
          <t>Molex</t>
        </is>
      </c>
      <c r="F198" s="353" t="inlineStr">
        <is>
          <t>United States</t>
        </is>
      </c>
      <c r="G198" s="353" t="inlineStr">
        <is>
          <t>Smiths Group</t>
        </is>
      </c>
      <c r="H198" s="403" t="n">
        <v>45946</v>
      </c>
      <c r="I198" s="403" t="n">
        <v>46113</v>
      </c>
      <c r="J198" s="353" t="n">
        <v>2026</v>
      </c>
      <c r="K198" s="353" t="inlineStr">
        <is>
          <t>M&amp;A</t>
        </is>
      </c>
      <c r="L198" s="353" t="inlineStr">
        <is>
          <t>Corporate divestiture / identifiable operating business</t>
        </is>
      </c>
      <c r="M198" s="353" t="inlineStr">
        <is>
          <t>Completed</t>
        </is>
      </c>
      <c r="N198" s="353" t="inlineStr">
        <is>
          <t>Not disclosed</t>
        </is>
      </c>
      <c r="O198" s="353" t="inlineStr">
        <is>
          <t>GBP</t>
        </is>
      </c>
      <c r="P198" s="353" t="inlineStr">
        <is>
          <t>Hardware</t>
        </is>
      </c>
      <c r="Q198" s="353" t="inlineStr">
        <is>
          <t>Defence Electronics &amp; Sensors</t>
        </is>
      </c>
      <c r="R198" s="353" t="inlineStr">
        <is>
          <t>Core A&amp;D</t>
        </is>
      </c>
      <c r="S198" s="353" t="inlineStr">
        <is>
          <t>Defence Electronics &amp; Sensors. Manufacturer of connectivity products and solutions cateirng to serve segments of aerospace and defense, medical, semiconductor test, and industrial markets. The company manufactures technically differentiated electronic components, microwave, optical, and radio frequency products, and sub-systems that connect, protect, and control critical applications, thereby catering to the commercial aviation, defense, space, medical, rail, semiconductor test, and industrial market segments.</t>
        </is>
      </c>
      <c r="T198" s="353" t="inlineStr">
        <is>
          <t>Verified — primary source</t>
        </is>
      </c>
      <c r="U198" s="353" t="inlineStr">
        <is>
          <t>https://www.smiths.com/news-and-insights/news/2026/completion-of-smiths-interconnect-sale</t>
        </is>
      </c>
      <c r="V198" s="353" t="inlineStr">
        <is>
          <t>Verified — primary source</t>
        </is>
      </c>
      <c r="W198" s="353" t="inlineStr">
        <is>
          <t>Replace chronology: 16 October 2025 was announcement; completion was 1 April 2026.</t>
        </is>
      </c>
    </row>
    <row r="199" ht="45" customHeight="1">
      <c r="A199" s="353" t="inlineStr">
        <is>
          <t>EUR-109</t>
        </is>
      </c>
      <c r="B199" s="353" t="inlineStr">
        <is>
          <t>Europe</t>
        </is>
      </c>
      <c r="C199" s="353" t="inlineStr">
        <is>
          <t>France</t>
        </is>
      </c>
      <c r="D199" s="353" t="inlineStr">
        <is>
          <t>Texelis Defense (renamed KNDS Mobility)</t>
        </is>
      </c>
      <c r="E199" s="353" t="inlineStr">
        <is>
          <t>KNDS France</t>
        </is>
      </c>
      <c r="F199" s="353" t="inlineStr">
        <is>
          <t>France</t>
        </is>
      </c>
      <c r="G199" s="353" t="inlineStr">
        <is>
          <t>Texelis shareholders</t>
        </is>
      </c>
      <c r="H199" s="403" t="inlineStr">
        <is>
          <t>Not disclosed</t>
        </is>
      </c>
      <c r="I199" s="403" t="n">
        <v>46114</v>
      </c>
      <c r="J199" s="353" t="n">
        <v>2026</v>
      </c>
      <c r="K199" s="353" t="inlineStr">
        <is>
          <t>M&amp;A</t>
        </is>
      </c>
      <c r="L199" s="353" t="inlineStr">
        <is>
          <t>Full Acquisition</t>
        </is>
      </c>
      <c r="M199" s="353" t="inlineStr">
        <is>
          <t>Completed</t>
        </is>
      </c>
      <c r="N199" s="353" t="inlineStr">
        <is>
          <t>Not disclosed</t>
        </is>
      </c>
      <c r="O199" s="353" t="inlineStr">
        <is>
          <t>Not disclosed</t>
        </is>
      </c>
      <c r="P199" s="353" t="inlineStr">
        <is>
          <t>Hardware / Services</t>
        </is>
      </c>
      <c r="Q199" s="353" t="inlineStr">
        <is>
          <t>Land Systems &amp; Military Vehicles</t>
        </is>
      </c>
      <c r="R199" s="353" t="inlineStr">
        <is>
          <t>Core A&amp;D</t>
        </is>
      </c>
      <c r="S199" s="353" t="inlineStr">
        <is>
          <t>Land Systems / Military Vehicle Mobility. Designs and manufactures mobility systems, axles and complete driveline solutions for wheeled armored and special-purpose military vehicles.</t>
        </is>
      </c>
      <c r="T199" s="353" t="inlineStr">
        <is>
          <t>Verified — primary source</t>
        </is>
      </c>
      <c r="U199" s="353" t="inlineStr">
        <is>
          <t>https://knds.com/en/press-releases/texelis-defense-becomes-knds-mobility-and-joins-the-european-leader-in-land-defense</t>
        </is>
      </c>
      <c r="V199" s="353" t="inlineStr">
        <is>
          <t>Verified — primary source</t>
        </is>
      </c>
      <c r="W199" s="353" t="inlineStr">
        <is>
          <t>Retain under strict scope; completed transaction and primary A&amp;D focus are supported by the cited source.</t>
        </is>
      </c>
    </row>
    <row r="200" ht="45" customHeight="1">
      <c r="A200" s="353" t="inlineStr">
        <is>
          <t>EUR-110</t>
        </is>
      </c>
      <c r="B200" s="353" t="inlineStr">
        <is>
          <t>Europe</t>
        </is>
      </c>
      <c r="C200" s="353" t="inlineStr">
        <is>
          <t>Germany</t>
        </is>
      </c>
      <c r="D200" s="353" t="inlineStr">
        <is>
          <t>AeroDesignWorks GmbH</t>
        </is>
      </c>
      <c r="E200" s="353" t="inlineStr">
        <is>
          <t>MTU Aero Engines</t>
        </is>
      </c>
      <c r="F200" s="353" t="inlineStr">
        <is>
          <t>Germany</t>
        </is>
      </c>
      <c r="G200" s="353" t="inlineStr">
        <is>
          <t>AeroDesignWorks shareholders</t>
        </is>
      </c>
      <c r="H200" s="403" t="n">
        <v>46120</v>
      </c>
      <c r="I200" s="403" t="n">
        <v>46120</v>
      </c>
      <c r="J200" s="353" t="n">
        <v>2026</v>
      </c>
      <c r="K200" s="353" t="inlineStr">
        <is>
          <t>M&amp;A</t>
        </is>
      </c>
      <c r="L200" s="353" t="inlineStr">
        <is>
          <t>Full company acquisition</t>
        </is>
      </c>
      <c r="M200" s="353" t="inlineStr">
        <is>
          <t>Completed</t>
        </is>
      </c>
      <c r="N200" s="353" t="inlineStr">
        <is>
          <t>Not disclosed</t>
        </is>
      </c>
      <c r="O200" s="353" t="inlineStr">
        <is>
          <t>Not disclosed</t>
        </is>
      </c>
      <c r="P200" s="353" t="inlineStr">
        <is>
          <t>Hardware / Services</t>
        </is>
      </c>
      <c r="Q200" s="353" t="inlineStr">
        <is>
          <t>Power, Propulsion &amp; Energy</t>
        </is>
      </c>
      <c r="R200" s="353" t="inlineStr">
        <is>
          <t>Core A&amp;D</t>
        </is>
      </c>
      <c r="S200" s="353" t="inlineStr">
        <is>
          <t>UAV Propulsion / Aerospace Engineering. Provides aerospace design and engineering capabilities, including propulsion-system development for unmanned and advanced aircraft.</t>
        </is>
      </c>
      <c r="T200" s="353" t="inlineStr">
        <is>
          <t>Verified — primary source</t>
        </is>
      </c>
      <c r="U200" s="353" t="inlineStr">
        <is>
          <t>https://www.mtu.de/newsroom/press/latest-press-releases/press-release-detail/mtu-aero-engines-expands-its-portfolio-to-include-uav-propulsion-systems/</t>
        </is>
      </c>
      <c r="V200" s="353" t="inlineStr">
        <is>
          <t>Verified — primary source</t>
        </is>
      </c>
      <c r="W200" s="353" t="inlineStr">
        <is>
          <t>Replace status: the official MTU release states MTU acquired 100%; treat 8 April as completed.</t>
        </is>
      </c>
    </row>
    <row r="201" ht="45" customHeight="1">
      <c r="A201" s="353" t="inlineStr">
        <is>
          <t>EUR-111</t>
        </is>
      </c>
      <c r="B201" s="353" t="inlineStr">
        <is>
          <t>Europe</t>
        </is>
      </c>
      <c r="C201" s="353" t="inlineStr">
        <is>
          <t>Germany</t>
        </is>
      </c>
      <c r="D201" s="353" t="inlineStr">
        <is>
          <t>Mynaric (STU: M0Y)</t>
        </is>
      </c>
      <c r="E201" s="353" t="inlineStr">
        <is>
          <t>Rocket Lab</t>
        </is>
      </c>
      <c r="F201" s="353" t="inlineStr">
        <is>
          <t>United States</t>
        </is>
      </c>
      <c r="G201" s="353" t="inlineStr">
        <is>
          <t>Mynaric shareholders and creditors under restructuring</t>
        </is>
      </c>
      <c r="H201" s="403" t="inlineStr">
        <is>
          <t>Not disclosed</t>
        </is>
      </c>
      <c r="I201" s="403" t="n">
        <v>46126</v>
      </c>
      <c r="J201" s="353" t="n">
        <v>2026</v>
      </c>
      <c r="K201" s="353" t="inlineStr">
        <is>
          <t>M&amp;A</t>
        </is>
      </c>
      <c r="L201" s="353" t="inlineStr">
        <is>
          <t>Full company acquisition</t>
        </is>
      </c>
      <c r="M201" s="353" t="inlineStr">
        <is>
          <t>Completed</t>
        </is>
      </c>
      <c r="N201" s="353" t="n">
        <v>155.3</v>
      </c>
      <c r="O201" s="353" t="inlineStr">
        <is>
          <t>USD</t>
        </is>
      </c>
      <c r="P201" s="353" t="inlineStr">
        <is>
          <t>Hardware / Software</t>
        </is>
      </c>
      <c r="Q201" s="353" t="inlineStr">
        <is>
          <t>Space &amp; Satellite Systems</t>
        </is>
      </c>
      <c r="R201" s="353" t="inlineStr">
        <is>
          <t>Core A&amp;D</t>
        </is>
      </c>
      <c r="S201" s="353" t="inlineStr">
        <is>
          <t>Space &amp; Satellite Systems. Mynaric AG operates in the communication equipment business sector. The company is engaged in the manufacture and sale of products and projects and the provision of services in the field of laser technology, in particular in the aerospace, telematics, and satellite services sectors. It operates in two segments: Air and Space. The space segment comprises CONDOR terminals, and the Air segment comprises HAWK terminals. The company's product portfolio consists of Optical ground stations, Air-to-ground terminals, Air-to-air terminals, Space terminals, and Custom products and subcomponents. Its applications consist of high-altitude networks, remote eyes, satellite constellations, earth observation satellites, and others. Geographically, its key revenue is derived from the United States.</t>
        </is>
      </c>
      <c r="T201" s="353" t="inlineStr">
        <is>
          <t>Verified — primary source</t>
        </is>
      </c>
      <c r="U201" s="353" t="inlineStr">
        <is>
          <t>https://investors.rocketlabcorp.com/static-files/28eab5d7-0a30-4c60-a5ba-1b85e980450d</t>
        </is>
      </c>
      <c r="V201" s="353" t="inlineStr">
        <is>
          <t>Verified — primary source</t>
        </is>
      </c>
      <c r="W201" s="353" t="inlineStr">
        <is>
          <t>Replace date/value: regulatory approval was 30 March, but closing was 14 April; aggregate consideration was USD 155.3m.</t>
        </is>
      </c>
    </row>
    <row r="202" ht="45" customHeight="1">
      <c r="A202" s="353" t="inlineStr">
        <is>
          <t>EUR-112</t>
        </is>
      </c>
      <c r="B202" s="353" t="inlineStr">
        <is>
          <t>Europe</t>
        </is>
      </c>
      <c r="C202" s="353" t="inlineStr">
        <is>
          <t>Belgium</t>
        </is>
      </c>
      <c r="D202" s="353" t="inlineStr">
        <is>
          <t>Starion Group</t>
        </is>
      </c>
      <c r="E202" s="353" t="inlineStr">
        <is>
          <t>Sopra Steria / CS Group</t>
        </is>
      </c>
      <c r="F202" s="353" t="inlineStr">
        <is>
          <t>France</t>
        </is>
      </c>
      <c r="G202" s="353" t="inlineStr">
        <is>
          <t>Starion Group shareholders</t>
        </is>
      </c>
      <c r="H202" s="403" t="inlineStr">
        <is>
          <t>Not disclosed</t>
        </is>
      </c>
      <c r="I202" s="403" t="n">
        <v>46142</v>
      </c>
      <c r="J202" s="353" t="n">
        <v>2026</v>
      </c>
      <c r="K202" s="353" t="inlineStr">
        <is>
          <t>M&amp;A</t>
        </is>
      </c>
      <c r="L202" s="353" t="inlineStr">
        <is>
          <t>Full Acquisition</t>
        </is>
      </c>
      <c r="M202" s="353" t="inlineStr">
        <is>
          <t>Completed</t>
        </is>
      </c>
      <c r="N202" s="353" t="inlineStr">
        <is>
          <t>Not disclosed</t>
        </is>
      </c>
      <c r="O202" s="353" t="inlineStr">
        <is>
          <t>Not disclosed</t>
        </is>
      </c>
      <c r="P202" s="353" t="inlineStr">
        <is>
          <t>Software / Services</t>
        </is>
      </c>
      <c r="Q202" s="353" t="inlineStr">
        <is>
          <t>Space &amp; Satellite Systems</t>
        </is>
      </c>
      <c r="R202" s="353" t="inlineStr">
        <is>
          <t>Core A&amp;D</t>
        </is>
      </c>
      <c r="S202" s="353" t="inlineStr">
        <is>
          <t>Space Systems Engineering / Mission Operations. Provides space systems engineering, mission operations, ground-segment, data and cybersecurity services to European institutional and commercial customers.</t>
        </is>
      </c>
      <c r="T202" s="353" t="inlineStr">
        <is>
          <t>Verified — primary source</t>
        </is>
      </c>
      <c r="U202" s="353" t="inlineStr">
        <is>
          <t>https://www.stariongroup.eu/completion-of-starion-and-nexova-acquisitions/</t>
        </is>
      </c>
      <c r="V202" s="353" t="inlineStr">
        <is>
          <t>Verified — primary source</t>
        </is>
      </c>
      <c r="W202" s="353" t="inlineStr">
        <is>
          <t>Retain under strict scope; completed transaction and primary A&amp;D focus are supported by the cited source.</t>
        </is>
      </c>
    </row>
    <row r="203" ht="45" customHeight="1">
      <c r="A203" s="353" t="inlineStr">
        <is>
          <t>EUR-113</t>
        </is>
      </c>
      <c r="B203" s="353" t="inlineStr">
        <is>
          <t>Europe</t>
        </is>
      </c>
      <c r="C203" s="353" t="inlineStr">
        <is>
          <t>France</t>
        </is>
      </c>
      <c r="D203" s="353" t="inlineStr">
        <is>
          <t>Tethys</t>
        </is>
      </c>
      <c r="E203" s="353" t="inlineStr">
        <is>
          <t>Abenex</t>
        </is>
      </c>
      <c r="F203" s="353" t="inlineStr">
        <is>
          <t>France</t>
        </is>
      </c>
      <c r="G203" s="353" t="inlineStr">
        <is>
          <t>Tethys shareholders</t>
        </is>
      </c>
      <c r="H203" s="403" t="inlineStr">
        <is>
          <t>Not disclosed</t>
        </is>
      </c>
      <c r="I203" s="403" t="n">
        <v>46146</v>
      </c>
      <c r="J203" s="353" t="n">
        <v>2026</v>
      </c>
      <c r="K203" s="353" t="inlineStr">
        <is>
          <t>M&amp;A</t>
        </is>
      </c>
      <c r="L203" s="353" t="inlineStr">
        <is>
          <t>Majority Stake</t>
        </is>
      </c>
      <c r="M203" s="353" t="inlineStr">
        <is>
          <t>Completed</t>
        </is>
      </c>
      <c r="N203" s="353" t="inlineStr">
        <is>
          <t>Not disclosed</t>
        </is>
      </c>
      <c r="O203" s="353" t="inlineStr">
        <is>
          <t>Not disclosed</t>
        </is>
      </c>
      <c r="P203" s="353" t="inlineStr">
        <is>
          <t>Hardware</t>
        </is>
      </c>
      <c r="Q203" s="353" t="inlineStr">
        <is>
          <t>Ammunition &amp; Weapons</t>
        </is>
      </c>
      <c r="R203" s="353" t="inlineStr">
        <is>
          <t>Core A&amp;D</t>
        </is>
      </c>
      <c r="S203" s="353" t="inlineStr">
        <is>
          <t>Pyrotechnics / Aerospace Components. Designs and manufactures pyrotechnic and pyromechanical components and systems for defense, aerospace and space programs.</t>
        </is>
      </c>
      <c r="T203" s="353" t="inlineStr">
        <is>
          <t>Verified — primary source</t>
        </is>
      </c>
      <c r="U203" s="353" t="inlineStr">
        <is>
          <t>https://www.abenex.com/en/publications/abenex-acquires-tethys</t>
        </is>
      </c>
      <c r="V203" s="353" t="inlineStr">
        <is>
          <t>Verified — primary source</t>
        </is>
      </c>
      <c r="W203" s="353" t="inlineStr">
        <is>
          <t>Retain under strict scope; completed transaction and primary A&amp;D focus are supported by the cited source. CORRECTED 2026-08-02: date was held as the text string '2026-05 (estimated)'. Abenex announced the transaction on 4 May 2026; it is a majority-stake LBO taken alongside management and Bpifrance, which reinvested.</t>
        </is>
      </c>
    </row>
    <row r="204" ht="45" customHeight="1">
      <c r="A204" s="353" t="inlineStr">
        <is>
          <t>EUR-114</t>
        </is>
      </c>
      <c r="B204" s="353" t="inlineStr">
        <is>
          <t>Europe</t>
        </is>
      </c>
      <c r="C204" s="353" t="inlineStr">
        <is>
          <t>France</t>
        </is>
      </c>
      <c r="D204" s="353" t="inlineStr">
        <is>
          <t>Gauzy SAS / Vision Systems aeronautical activities</t>
        </is>
      </c>
      <c r="E204" s="353" t="inlineStr">
        <is>
          <t>Clayens</t>
        </is>
      </c>
      <c r="F204" s="353" t="inlineStr">
        <is>
          <t>France</t>
        </is>
      </c>
      <c r="G204" s="353" t="inlineStr">
        <is>
          <t>Gauzy SAS / court-supervised process</t>
        </is>
      </c>
      <c r="H204" s="403" t="inlineStr">
        <is>
          <t>Not disclosed</t>
        </is>
      </c>
      <c r="I204" s="403" t="n">
        <v>46161</v>
      </c>
      <c r="J204" s="353" t="n">
        <v>2026</v>
      </c>
      <c r="K204" s="353" t="inlineStr">
        <is>
          <t>M&amp;A</t>
        </is>
      </c>
      <c r="L204" s="353" t="inlineStr">
        <is>
          <t>Court-approved acquisition of identifiable aeronautical operating business</t>
        </is>
      </c>
      <c r="M204" s="353" t="inlineStr">
        <is>
          <t>Completed</t>
        </is>
      </c>
      <c r="N204" s="353" t="inlineStr">
        <is>
          <t>Not disclosed</t>
        </is>
      </c>
      <c r="O204" s="353" t="inlineStr">
        <is>
          <t>Not disclosed</t>
        </is>
      </c>
      <c r="P204" s="353" t="inlineStr">
        <is>
          <t>Hardware</t>
        </is>
      </c>
      <c r="Q204" s="353" t="inlineStr">
        <is>
          <t>Aerospace Platforms &amp; Components</t>
        </is>
      </c>
      <c r="R204" s="353" t="inlineStr">
        <is>
          <t>Core A&amp;D</t>
        </is>
      </c>
      <c r="S204" s="353" t="inlineStr">
        <is>
          <t>Transferred aeronautical operating activities produce aircraft vision/shading systems; treated as an identifiable aerospace business carve-out.</t>
        </is>
      </c>
      <c r="T204" s="353" t="inlineStr">
        <is>
          <t>Verified — primary source</t>
        </is>
      </c>
      <c r="U204" s="353" t="inlineStr">
        <is>
          <t>https://www.clayens.com/en/sintex-group-news/clayens-announces-acquisition-aeronautical-activities-gauzy-sasvision-systems-and</t>
        </is>
      </c>
      <c r="V204" s="353" t="inlineStr">
        <is>
          <t>Verified — primary source</t>
        </is>
      </c>
      <c r="W204" s="353" t="inlineStr">
        <is>
          <t>Retain under strict scope; completed transaction and primary A&amp;D focus are supported by the cited source.</t>
        </is>
      </c>
    </row>
    <row r="205" ht="45" customHeight="1">
      <c r="A205" s="353" t="inlineStr">
        <is>
          <t>EUR-115</t>
        </is>
      </c>
      <c r="B205" s="353" t="inlineStr">
        <is>
          <t>Europe</t>
        </is>
      </c>
      <c r="C205" s="353" t="inlineStr">
        <is>
          <t>Sweden</t>
        </is>
      </c>
      <c r="D205" s="353" t="inlineStr">
        <is>
          <t>Aston Harald Mekaniska Verkstad AB</t>
        </is>
      </c>
      <c r="E205" s="353" t="inlineStr">
        <is>
          <t>BAE Systems Bofors AB</t>
        </is>
      </c>
      <c r="F205" s="353" t="inlineStr">
        <is>
          <t>Sweden</t>
        </is>
      </c>
      <c r="G205" s="353" t="inlineStr">
        <is>
          <t>Aston Harald shareholders</t>
        </is>
      </c>
      <c r="H205" s="403" t="inlineStr">
        <is>
          <t>Not disclosed</t>
        </is>
      </c>
      <c r="I205" s="403" t="n">
        <v>46162</v>
      </c>
      <c r="J205" s="353" t="n">
        <v>2026</v>
      </c>
      <c r="K205" s="353" t="inlineStr">
        <is>
          <t>M&amp;A</t>
        </is>
      </c>
      <c r="L205" s="353" t="inlineStr">
        <is>
          <t>Full acquisition</t>
        </is>
      </c>
      <c r="M205" s="353" t="inlineStr">
        <is>
          <t>Completed</t>
        </is>
      </c>
      <c r="N205" s="353" t="inlineStr">
        <is>
          <t>Not disclosed</t>
        </is>
      </c>
      <c r="O205" s="353" t="inlineStr">
        <is>
          <t>Not disclosed</t>
        </is>
      </c>
      <c r="P205" s="353" t="inlineStr">
        <is>
          <t>Hardware</t>
        </is>
      </c>
      <c r="Q205" s="353" t="inlineStr">
        <is>
          <t>Aerospace Materials &amp; Components</t>
        </is>
      </c>
      <c r="R205" s="353" t="inlineStr">
        <is>
          <t>Core A&amp;D</t>
        </is>
      </c>
      <c r="S205" s="353" t="inlineStr">
        <is>
          <t>Defence &amp; Aerospace Precision Manufacturing. Precision-machining and complex-structures supplier for defence, aerospace and other industrial markets.</t>
        </is>
      </c>
      <c r="T205" s="353" t="inlineStr">
        <is>
          <t>Verified — primary source</t>
        </is>
      </c>
      <c r="U205" s="353" t="inlineStr">
        <is>
          <t>https://www.baesystems.com/en-uk/article/bae-systems-has-entered-into-an-agreement-to-acquire-aston-harald-mekaniska-verkstad</t>
        </is>
      </c>
      <c r="V205" s="353" t="inlineStr">
        <is>
          <t>Verified — primary source</t>
        </is>
      </c>
      <c r="W205" s="353" t="inlineStr">
        <is>
          <t>Retain under strict scope; completed transaction and primary A&amp;D focus are supported by the cited source.</t>
        </is>
      </c>
    </row>
    <row r="206" ht="45" customHeight="1">
      <c r="A206" s="353" t="inlineStr">
        <is>
          <t>EUR-116</t>
        </is>
      </c>
      <c r="B206" s="353" t="inlineStr">
        <is>
          <t>Europe</t>
        </is>
      </c>
      <c r="C206" s="353" t="inlineStr">
        <is>
          <t>Estonia</t>
        </is>
      </c>
      <c r="D206" s="353" t="inlineStr">
        <is>
          <t>Hevi Optronics OÜ</t>
        </is>
      </c>
      <c r="E206" s="353" t="inlineStr">
        <is>
          <t>Quantum-Systems GmbH</t>
        </is>
      </c>
      <c r="F206" s="353" t="inlineStr">
        <is>
          <t>Germany</t>
        </is>
      </c>
      <c r="G206" s="353" t="inlineStr">
        <is>
          <t>Existing Hevi Optronics shareholders</t>
        </is>
      </c>
      <c r="H206" s="403" t="n">
        <v>46081</v>
      </c>
      <c r="I206" s="403" t="n">
        <v>46162</v>
      </c>
      <c r="J206" s="353" t="n">
        <v>2026</v>
      </c>
      <c r="K206" s="353" t="inlineStr">
        <is>
          <t>M&amp;A</t>
        </is>
      </c>
      <c r="L206" s="353" t="inlineStr">
        <is>
          <t>60% majority acquisition</t>
        </is>
      </c>
      <c r="M206" s="353" t="inlineStr">
        <is>
          <t>Completed</t>
        </is>
      </c>
      <c r="N206" s="353" t="inlineStr">
        <is>
          <t>Not disclosed</t>
        </is>
      </c>
      <c r="O206" s="353" t="inlineStr">
        <is>
          <t>Not disclosed</t>
        </is>
      </c>
      <c r="P206" s="353" t="inlineStr">
        <is>
          <t>Hardware / Software</t>
        </is>
      </c>
      <c r="Q206" s="353" t="inlineStr">
        <is>
          <t>Defence Electronics &amp; Sensors</t>
        </is>
      </c>
      <c r="R206" s="353" t="inlineStr">
        <is>
          <t>Core A&amp;D</t>
        </is>
      </c>
      <c r="S206" s="353" t="inlineStr">
        <is>
          <t>Estonian regulator identifies electro-optical sensor systems, remote weapon systems and drone/defence integration; target is a core defence-technology company.</t>
        </is>
      </c>
      <c r="T206" s="353" t="inlineStr">
        <is>
          <t>Verified — primary source</t>
        </is>
      </c>
      <c r="U206" s="353" t="inlineStr">
        <is>
          <t>https://www.konkurentsiamet.ee/sites/default/files/documents/2026-04/31.03.2026%20otsus%20nr%205-5-2026-011.pdf</t>
        </is>
      </c>
      <c r="V206" s="353" t="inlineStr">
        <is>
          <t>Verified — primary source</t>
        </is>
      </c>
      <c r="W206" s="353" t="inlineStr">
        <is>
          <t>Confirmed omission. Agreement signed 28 February, competition approval granted 31 March, and 60% ownership/control registered effective 20 May 2026.</t>
        </is>
      </c>
    </row>
    <row r="207" ht="45" customHeight="1">
      <c r="A207" s="353" t="inlineStr">
        <is>
          <t>EUR-117</t>
        </is>
      </c>
      <c r="B207" s="353" t="inlineStr">
        <is>
          <t>Europe</t>
        </is>
      </c>
      <c r="C207" s="353" t="inlineStr">
        <is>
          <t>Monaco</t>
        </is>
      </c>
      <c r="D207" s="353" t="inlineStr">
        <is>
          <t>MARSS Defence business</t>
        </is>
      </c>
      <c r="E207" s="353" t="inlineStr">
        <is>
          <t>Electro Optic Systems Holdings Limited</t>
        </is>
      </c>
      <c r="F207" s="353" t="inlineStr">
        <is>
          <t>Australia</t>
        </is>
      </c>
      <c r="G207" s="353" t="inlineStr">
        <is>
          <t>MARSS vendors</t>
        </is>
      </c>
      <c r="H207" s="403" t="n">
        <v>46034</v>
      </c>
      <c r="I207" s="403" t="n">
        <v>46163</v>
      </c>
      <c r="J207" s="353" t="n">
        <v>2026</v>
      </c>
      <c r="K207" s="353" t="inlineStr">
        <is>
          <t>M&amp;A</t>
        </is>
      </c>
      <c r="L207" s="353" t="inlineStr">
        <is>
          <t>Asset acquisition of an identifiable operating defence business</t>
        </is>
      </c>
      <c r="M207" s="353" t="inlineStr">
        <is>
          <t>Completed</t>
        </is>
      </c>
      <c r="N207" s="353" t="n">
        <v>36</v>
      </c>
      <c r="O207" s="353" t="inlineStr">
        <is>
          <t>USD</t>
        </is>
      </c>
      <c r="P207" s="353" t="inlineStr">
        <is>
          <t>Hardware / Software / Services</t>
        </is>
      </c>
      <c r="Q207" s="353" t="inlineStr">
        <is>
          <t>Defence Computing &amp; Rugged Systems</t>
        </is>
      </c>
      <c r="R207" s="353" t="inlineStr">
        <is>
          <t>Core A&amp;D</t>
        </is>
      </c>
      <c r="S207" s="353" t="inlineStr">
        <is>
          <t>Identifiable operating defence business centered on NiDAR AI-enabled command-and-control, sensor fusion and counter-UAS technology.</t>
        </is>
      </c>
      <c r="T207" s="353" t="inlineStr">
        <is>
          <t>Verified — primary source</t>
        </is>
      </c>
      <c r="U207" s="353" t="inlineStr">
        <is>
          <t>https://announcements.asx.com.au/asxpdf/20260615/pdf/070mkbmp09kxd3.pdf</t>
        </is>
      </c>
      <c r="V207" s="353" t="inlineStr">
        <is>
          <t>Verified — primary source</t>
        </is>
      </c>
      <c r="W207" s="353" t="inlineStr">
        <is>
          <t>Confirmed omission. EOS reported completion on 21 May 2026; included because the approved policy admits identifiable operating-business acquisitions, not only share deals.</t>
        </is>
      </c>
    </row>
    <row r="208" ht="45" customHeight="1">
      <c r="A208" s="353" t="inlineStr">
        <is>
          <t>EUR-118</t>
        </is>
      </c>
      <c r="B208" s="353" t="inlineStr">
        <is>
          <t>Europe</t>
        </is>
      </c>
      <c r="C208" s="353" t="inlineStr">
        <is>
          <t>Finland</t>
        </is>
      </c>
      <c r="D208" s="353" t="inlineStr">
        <is>
          <t>KT-Shelter Oy</t>
        </is>
      </c>
      <c r="E208" s="353" t="inlineStr">
        <is>
          <t>W5 Solutions</t>
        </is>
      </c>
      <c r="F208" s="353" t="inlineStr">
        <is>
          <t>Sweden</t>
        </is>
      </c>
      <c r="G208" s="353" t="inlineStr">
        <is>
          <t>KT-Shelter shareholders</t>
        </is>
      </c>
      <c r="H208" s="403" t="inlineStr">
        <is>
          <t>Not disclosed</t>
        </is>
      </c>
      <c r="I208" s="403" t="n">
        <v>46167</v>
      </c>
      <c r="J208" s="353" t="n">
        <v>2026</v>
      </c>
      <c r="K208" s="353" t="inlineStr">
        <is>
          <t>M&amp;A</t>
        </is>
      </c>
      <c r="L208" s="353" t="inlineStr">
        <is>
          <t>Full company acquisition</t>
        </is>
      </c>
      <c r="M208" s="353" t="inlineStr">
        <is>
          <t>Completed</t>
        </is>
      </c>
      <c r="N208" s="353" t="inlineStr">
        <is>
          <t>Not disclosed</t>
        </is>
      </c>
      <c r="O208" s="353" t="inlineStr">
        <is>
          <t>EUR</t>
        </is>
      </c>
      <c r="P208" s="353" t="inlineStr">
        <is>
          <t>Hardware / Services</t>
        </is>
      </c>
      <c r="Q208" s="353" t="inlineStr">
        <is>
          <t>Land Systems &amp; Military Vehicles</t>
        </is>
      </c>
      <c r="R208" s="353" t="inlineStr">
        <is>
          <t>Core A&amp;D</t>
        </is>
      </c>
      <c r="S208" s="353" t="inlineStr">
        <is>
          <t>Deployable Defense Infrastructure. Designs and manufactures deployable shelters and mobile infrastructure systems for defense, emergency and critical-operations customers.</t>
        </is>
      </c>
      <c r="T208" s="353" t="inlineStr">
        <is>
          <t>Verified — primary source</t>
        </is>
      </c>
      <c r="U208" s="353" t="inlineStr">
        <is>
          <t>https://w5solutions.com/mfn_news/w5-solutions-completes-the-acquisition-of-kt-shelter/</t>
        </is>
      </c>
      <c r="V208" s="353" t="inlineStr">
        <is>
          <t>Verified — primary source</t>
        </is>
      </c>
      <c r="W208" s="353" t="inlineStr">
        <is>
          <t>Replace consideration basis with EUR 22m upfront plus up to EUR 4m earn-out.</t>
        </is>
      </c>
    </row>
    <row r="209" ht="45" customHeight="1">
      <c r="A209" s="353" t="inlineStr">
        <is>
          <t>EUR-119</t>
        </is>
      </c>
      <c r="B209" s="353" t="inlineStr">
        <is>
          <t>Europe</t>
        </is>
      </c>
      <c r="C209" s="353" t="inlineStr">
        <is>
          <t>Netherlands</t>
        </is>
      </c>
      <c r="D209" s="353" t="inlineStr">
        <is>
          <t>Nedinsco</t>
        </is>
      </c>
      <c r="E209" s="353" t="inlineStr">
        <is>
          <t>HENSOLDT</t>
        </is>
      </c>
      <c r="F209" s="353" t="inlineStr">
        <is>
          <t>Germany</t>
        </is>
      </c>
      <c r="G209" s="353" t="inlineStr">
        <is>
          <t>Nedinsco shareholders</t>
        </is>
      </c>
      <c r="H209" s="403" t="inlineStr">
        <is>
          <t>Not disclosed</t>
        </is>
      </c>
      <c r="I209" s="403" t="n">
        <v>46174</v>
      </c>
      <c r="J209" s="353" t="n">
        <v>2026</v>
      </c>
      <c r="K209" s="353" t="inlineStr">
        <is>
          <t>M&amp;A</t>
        </is>
      </c>
      <c r="L209" s="353" t="inlineStr">
        <is>
          <t>Full Acquisition</t>
        </is>
      </c>
      <c r="M209" s="353" t="inlineStr">
        <is>
          <t>Completed</t>
        </is>
      </c>
      <c r="N209" s="353" t="inlineStr">
        <is>
          <t>Not disclosed</t>
        </is>
      </c>
      <c r="O209" s="353" t="inlineStr">
        <is>
          <t>Not disclosed</t>
        </is>
      </c>
      <c r="P209" s="353" t="inlineStr">
        <is>
          <t>Hardware</t>
        </is>
      </c>
      <c r="Q209" s="353" t="inlineStr">
        <is>
          <t>Defence Electronics &amp; Sensors</t>
        </is>
      </c>
      <c r="R209" s="353" t="inlineStr">
        <is>
          <t>Core A&amp;D</t>
        </is>
      </c>
      <c r="S209" s="353" t="inlineStr">
        <is>
          <t>Optronics / Fire Control. Develops and manufactures high-precision optical, optronic and mechatronic systems for defense, security and industrial customers.</t>
        </is>
      </c>
      <c r="T209" s="353" t="inlineStr">
        <is>
          <t>Verified — primary source</t>
        </is>
      </c>
      <c r="U209" s="353" t="inlineStr">
        <is>
          <t>https://investors.hensoldt.net/news/hensoldt-uebernimmt-nedinsco-und-baut-seine-praesenz-in-europa-aus/ba1a6bf4-f402-495d-b9c4-542c4b6172d1</t>
        </is>
      </c>
      <c r="V209" s="353" t="inlineStr">
        <is>
          <t>Verified — primary source</t>
        </is>
      </c>
      <c r="W209" s="353" t="inlineStr">
        <is>
          <t>Retain under strict scope; completed transaction and primary A&amp;D focus are supported by the cited source.</t>
        </is>
      </c>
    </row>
    <row r="210" ht="45" customHeight="1">
      <c r="A210" s="353" t="inlineStr">
        <is>
          <t>EUR-120</t>
        </is>
      </c>
      <c r="B210" s="353" t="inlineStr">
        <is>
          <t>Europe</t>
        </is>
      </c>
      <c r="C210" s="353" t="inlineStr">
        <is>
          <t>Romania</t>
        </is>
      </c>
      <c r="D210" s="353" t="inlineStr">
        <is>
          <t>Automecanica S.A.</t>
        </is>
      </c>
      <c r="E210" s="353" t="inlineStr">
        <is>
          <t>Otokar Otomotiv ve Savunma Sanayi A.Ş.</t>
        </is>
      </c>
      <c r="F210" s="353" t="inlineStr">
        <is>
          <t>Türkiye</t>
        </is>
      </c>
      <c r="G210" s="353" t="inlineStr">
        <is>
          <t>Automecanica SKB Property SRL and Andrei Scobioala</t>
        </is>
      </c>
      <c r="H210" s="403" t="n">
        <v>46141</v>
      </c>
      <c r="I210" s="403" t="n">
        <v>46176</v>
      </c>
      <c r="J210" s="353" t="n">
        <v>2026</v>
      </c>
      <c r="K210" s="353" t="inlineStr">
        <is>
          <t>M&amp;A</t>
        </is>
      </c>
      <c r="L210" s="353" t="inlineStr">
        <is>
          <t>96.77% controlling acquisition</t>
        </is>
      </c>
      <c r="M210" s="353" t="inlineStr">
        <is>
          <t>Completed</t>
        </is>
      </c>
      <c r="N210" s="353" t="inlineStr">
        <is>
          <t>Not disclosed</t>
        </is>
      </c>
      <c r="O210" s="353" t="inlineStr">
        <is>
          <t>EUR</t>
        </is>
      </c>
      <c r="P210" s="353" t="inlineStr">
        <is>
          <t>Hardware / Services</t>
        </is>
      </c>
      <c r="Q210" s="353" t="inlineStr">
        <is>
          <t>Land Systems &amp; Military Vehicles</t>
        </is>
      </c>
      <c r="R210" s="353" t="inlineStr">
        <is>
          <t>Core A&amp;D</t>
        </is>
      </c>
      <c r="S210" s="353" t="inlineStr">
        <is>
          <t>Military Vehicles &amp; Land Systems. Romanian manufacturer and integrator of armoured and special-purpose vehicles.</t>
        </is>
      </c>
      <c r="T210" s="353" t="inlineStr">
        <is>
          <t>Verified — primary source</t>
        </is>
      </c>
      <c r="U210" s="353" t="inlineStr">
        <is>
          <t>https://www.otokar.com.tr/news/daily-news/otokar-finalizes-automecanica-deal-and-is-ready-to-deliver-romanian-made-cobra-ii-vehicles</t>
        </is>
      </c>
      <c r="V210" s="353" t="inlineStr">
        <is>
          <t>Verified — primary source</t>
        </is>
      </c>
      <c r="W210" s="353" t="inlineStr">
        <is>
          <t>Replace ownership/date chronology: signed 29 April and completed 3 June at 96.77%.</t>
        </is>
      </c>
    </row>
    <row r="211" ht="45" customHeight="1">
      <c r="A211" s="353" t="inlineStr">
        <is>
          <t>EUR-121</t>
        </is>
      </c>
      <c r="B211" s="353" t="inlineStr">
        <is>
          <t>Europe</t>
        </is>
      </c>
      <c r="C211" s="353" t="inlineStr">
        <is>
          <t>United Kingdom</t>
        </is>
      </c>
      <c r="D211" s="353" t="inlineStr">
        <is>
          <t>Cook Defence Systems and related entities</t>
        </is>
      </c>
      <c r="E211" s="353" t="inlineStr">
        <is>
          <t>HEICO Corporation / Flight Support Group</t>
        </is>
      </c>
      <c r="F211" s="353" t="inlineStr">
        <is>
          <t>United States</t>
        </is>
      </c>
      <c r="G211" s="353" t="inlineStr">
        <is>
          <t>William Cook Holdings</t>
        </is>
      </c>
      <c r="H211" s="403" t="inlineStr">
        <is>
          <t>Not disclosed</t>
        </is>
      </c>
      <c r="I211" s="403" t="n">
        <v>46176</v>
      </c>
      <c r="J211" s="353" t="n">
        <v>2026</v>
      </c>
      <c r="K211" s="353" t="inlineStr">
        <is>
          <t>M&amp;A</t>
        </is>
      </c>
      <c r="L211" s="353" t="inlineStr">
        <is>
          <t>Majority acquisition</t>
        </is>
      </c>
      <c r="M211" s="353" t="inlineStr">
        <is>
          <t>Completed</t>
        </is>
      </c>
      <c r="N211" s="353" t="inlineStr">
        <is>
          <t>Not disclosed</t>
        </is>
      </c>
      <c r="O211" s="353" t="inlineStr">
        <is>
          <t>Not disclosed</t>
        </is>
      </c>
      <c r="P211" s="353" t="inlineStr">
        <is>
          <t>Hardware</t>
        </is>
      </c>
      <c r="Q211" s="353" t="inlineStr">
        <is>
          <t>Land Systems &amp; Military Vehicles</t>
        </is>
      </c>
      <c r="R211" s="353" t="inlineStr">
        <is>
          <t>Core A&amp;D</t>
        </is>
      </c>
      <c r="S211" s="353" t="inlineStr">
        <is>
          <t>Armoured Vehicle Track Systems. Manufacturer of track systems and related components for armoured military vehicles.</t>
        </is>
      </c>
      <c r="T211" s="353" t="inlineStr">
        <is>
          <t>Verified — primary source</t>
        </is>
      </c>
      <c r="U211" s="353" t="inlineStr">
        <is>
          <t>https://heico.com/2026/06/03/heico-corporation-acquires-key-supplier-of-armored-vehicle-track-systems/</t>
        </is>
      </c>
      <c r="V211" s="353" t="inlineStr">
        <is>
          <t>Verified — primary source</t>
        </is>
      </c>
      <c r="W211" s="353" t="inlineStr">
        <is>
          <t>Retain under strict scope; completed transaction and primary A&amp;D focus are supported by the cited source.</t>
        </is>
      </c>
    </row>
    <row r="212" ht="45" customHeight="1">
      <c r="A212" s="353" t="inlineStr">
        <is>
          <t>EUR-122</t>
        </is>
      </c>
      <c r="B212" s="353" t="inlineStr">
        <is>
          <t>Europe</t>
        </is>
      </c>
      <c r="C212" s="353" t="inlineStr">
        <is>
          <t>Norway</t>
        </is>
      </c>
      <c r="D212" s="353" t="inlineStr">
        <is>
          <t>Frydenbø Milpro AS</t>
        </is>
      </c>
      <c r="E212" s="353" t="inlineStr">
        <is>
          <t>Fjord Defence Group</t>
        </is>
      </c>
      <c r="F212" s="353" t="inlineStr">
        <is>
          <t>Norway</t>
        </is>
      </c>
      <c r="G212" s="353" t="inlineStr">
        <is>
          <t>Frydenbø Marine AS</t>
        </is>
      </c>
      <c r="H212" s="403" t="inlineStr">
        <is>
          <t>Not disclosed</t>
        </is>
      </c>
      <c r="I212" s="403" t="n">
        <v>46178</v>
      </c>
      <c r="J212" s="353" t="n">
        <v>2026</v>
      </c>
      <c r="K212" s="353" t="inlineStr">
        <is>
          <t>M&amp;A</t>
        </is>
      </c>
      <c r="L212" s="353" t="inlineStr">
        <is>
          <t>Full company acquisition</t>
        </is>
      </c>
      <c r="M212" s="353" t="inlineStr">
        <is>
          <t>Completed</t>
        </is>
      </c>
      <c r="N212" s="353" t="inlineStr">
        <is>
          <t>Not disclosed</t>
        </is>
      </c>
      <c r="O212" s="353" t="inlineStr">
        <is>
          <t>NOK</t>
        </is>
      </c>
      <c r="P212" s="353" t="inlineStr">
        <is>
          <t>Hardware / Services</t>
        </is>
      </c>
      <c r="Q212" s="353" t="inlineStr">
        <is>
          <t>Naval &amp; Underwater Systems</t>
        </is>
      </c>
      <c r="R212" s="353" t="inlineStr">
        <is>
          <t>Core A&amp;D</t>
        </is>
      </c>
      <c r="S212" s="353" t="inlineStr">
        <is>
          <t>Military Boats / Maritime Systems. Supplies and supports military and professional boat systems for defense, police, rescue and government customers.</t>
        </is>
      </c>
      <c r="T212" s="353" t="inlineStr">
        <is>
          <t>Verified — primary source</t>
        </is>
      </c>
      <c r="U212" s="353" t="inlineStr">
        <is>
          <t>https://mfn.se/ob/a/fjord-defence-group/fjord-defence-group-asa-successful-completion-of-acquisition-of-frydenbo-milpro-53ce9cf1.iframe</t>
        </is>
      </c>
      <c r="V212" s="353" t="inlineStr">
        <is>
          <t>Verified — primary source</t>
        </is>
      </c>
      <c r="W212" s="353" t="inlineStr">
        <is>
          <t>Replace consideration with NOK 168.2m adjusted amount at completion.</t>
        </is>
      </c>
    </row>
    <row r="213" ht="45" customHeight="1">
      <c r="A213" s="353" t="inlineStr">
        <is>
          <t>EUR-123</t>
        </is>
      </c>
      <c r="B213" s="353" t="inlineStr">
        <is>
          <t>Europe</t>
        </is>
      </c>
      <c r="C213" s="353" t="inlineStr">
        <is>
          <t>Sweden</t>
        </is>
      </c>
      <c r="D213" s="353" t="inlineStr">
        <is>
          <t>Nordic Shield Group AB</t>
        </is>
      </c>
      <c r="E213" s="353" t="inlineStr">
        <is>
          <t>Scandinavian Astor Group AB</t>
        </is>
      </c>
      <c r="F213" s="353" t="inlineStr">
        <is>
          <t>Sweden</t>
        </is>
      </c>
      <c r="G213" s="353" t="inlineStr">
        <is>
          <t>NEZ Holding, M4Y Sweden, Sailing Mare and other shareholders</t>
        </is>
      </c>
      <c r="H213" s="403" t="inlineStr">
        <is>
          <t>Not disclosed</t>
        </is>
      </c>
      <c r="I213" s="403" t="n">
        <v>46181</v>
      </c>
      <c r="J213" s="353" t="n">
        <v>2026</v>
      </c>
      <c r="K213" s="353" t="inlineStr">
        <is>
          <t>M&amp;A</t>
        </is>
      </c>
      <c r="L213" s="353" t="inlineStr">
        <is>
          <t>Acquisition of remaining stake that creates first control</t>
        </is>
      </c>
      <c r="M213" s="353" t="inlineStr">
        <is>
          <t>Completed</t>
        </is>
      </c>
      <c r="N213" s="353" t="inlineStr">
        <is>
          <t>Not disclosed</t>
        </is>
      </c>
      <c r="O213" s="353" t="inlineStr">
        <is>
          <t>SEK</t>
        </is>
      </c>
      <c r="P213" s="353" t="inlineStr">
        <is>
          <t>Hardware / Services</t>
        </is>
      </c>
      <c r="Q213" s="353" t="inlineStr">
        <is>
          <t>Land Systems &amp; Military Vehicles</t>
        </is>
      </c>
      <c r="R213" s="353" t="inlineStr">
        <is>
          <t>Core A&amp;D</t>
        </is>
      </c>
      <c r="S213" s="353" t="inlineStr">
        <is>
          <t>Defence protection/shelter business; the remaining-stake purchase moved the buyer from minority ownership to first control.</t>
        </is>
      </c>
      <c r="T213" s="353" t="inlineStr">
        <is>
          <t>Verified — primary source</t>
        </is>
      </c>
      <c r="U213" s="353" t="inlineStr">
        <is>
          <t>https://www.mfn.se/a/scandinavian-astor-group/astor-group-completes-the-acquisition-of-nordic-shield-group</t>
        </is>
      </c>
      <c r="V213" s="353" t="inlineStr">
        <is>
          <t>Verified — primary source</t>
        </is>
      </c>
      <c r="W213" s="353" t="inlineStr">
        <is>
          <t>Retain under strict scope; completed transaction and primary A&amp;D focus are supported by the cited source.</t>
        </is>
      </c>
    </row>
    <row r="214" ht="45" customHeight="1">
      <c r="A214" s="353" t="inlineStr">
        <is>
          <t>EUR-124</t>
        </is>
      </c>
      <c r="B214" s="353" t="inlineStr">
        <is>
          <t>Europe</t>
        </is>
      </c>
      <c r="C214" s="353" t="inlineStr">
        <is>
          <t>Finland</t>
        </is>
      </c>
      <c r="D214" s="353" t="inlineStr">
        <is>
          <t>Savox Communications Plc</t>
        </is>
      </c>
      <c r="E214" s="353" t="inlineStr">
        <is>
          <t>Public investors</t>
        </is>
      </c>
      <c r="F214" s="353" t="inlineStr">
        <is>
          <t>Public markets</t>
        </is>
      </c>
      <c r="G214" s="353" t="inlineStr">
        <is>
          <t>Issuer / selling shareholders</t>
        </is>
      </c>
      <c r="H214" s="403" t="inlineStr">
        <is>
          <t>Not disclosed</t>
        </is>
      </c>
      <c r="I214" s="403" t="n">
        <v>46196</v>
      </c>
      <c r="J214" s="353" t="n">
        <v>2026</v>
      </c>
      <c r="K214" s="353" t="inlineStr">
        <is>
          <t>IPO</t>
        </is>
      </c>
      <c r="L214" s="353" t="inlineStr">
        <is>
          <t>Initial public offering — primary and secondary</t>
        </is>
      </c>
      <c r="M214" s="353" t="inlineStr">
        <is>
          <t>Completed</t>
        </is>
      </c>
      <c r="N214" s="353" t="inlineStr">
        <is>
          <t>Not disclosed</t>
        </is>
      </c>
      <c r="O214" s="353" t="inlineStr">
        <is>
          <t>EUR</t>
        </is>
      </c>
      <c r="P214" s="353" t="inlineStr">
        <is>
          <t>Hardware / Software</t>
        </is>
      </c>
      <c r="Q214" s="353" t="inlineStr">
        <is>
          <t>Defence Computing &amp; Rugged Systems</t>
        </is>
      </c>
      <c r="R214" s="353" t="inlineStr">
        <is>
          <t>Core A&amp;D</t>
        </is>
      </c>
      <c r="S214" s="353" t="inlineStr">
        <is>
          <t>Tactical Communications &amp; Soldier Systems. Developer of tactical communications, hearing protection and rugged mission-critical ICT.</t>
        </is>
      </c>
      <c r="T214" s="353" t="inlineStr">
        <is>
          <t>Verified — primary source</t>
        </is>
      </c>
      <c r="U214" s="353" t="inlineStr">
        <is>
          <t>https://view.news.eu.nasdaq.com/view?id=b324b516dbc32b72a07369b2fa6a96d9d&amp;lang=en&amp;src=listed</t>
        </is>
      </c>
      <c r="V214" s="353" t="inlineStr">
        <is>
          <t>Verified — primary source</t>
        </is>
      </c>
      <c r="W214" s="353" t="inlineStr">
        <is>
          <t>Retain under strict scope; completed transaction and primary A&amp;D focus are supported by the cited source.</t>
        </is>
      </c>
    </row>
    <row r="215" ht="45" customHeight="1">
      <c r="A215" s="353" t="inlineStr">
        <is>
          <t>EUR-125</t>
        </is>
      </c>
      <c r="B215" s="353" t="inlineStr">
        <is>
          <t>Europe</t>
        </is>
      </c>
      <c r="C215" s="353" t="inlineStr">
        <is>
          <t>United Kingdom</t>
        </is>
      </c>
      <c r="D215" s="353" t="inlineStr">
        <is>
          <t>DPC Holdings Limited / Doncasters (NYSE: DPC)</t>
        </is>
      </c>
      <c r="E215" s="353" t="inlineStr">
        <is>
          <t>Public market investors</t>
        </is>
      </c>
      <c r="F215" s="353" t="inlineStr">
        <is>
          <t>Public markets</t>
        </is>
      </c>
      <c r="G215" s="353" t="inlineStr">
        <is>
          <t>Company and a selling shareholder affiliated with Dubai Aerospace Enterprise</t>
        </is>
      </c>
      <c r="H215" s="403" t="inlineStr">
        <is>
          <t>Not disclosed</t>
        </is>
      </c>
      <c r="I215" s="403" t="n">
        <v>46198</v>
      </c>
      <c r="J215" s="353" t="n">
        <v>2026</v>
      </c>
      <c r="K215" s="353" t="inlineStr">
        <is>
          <t>IPO</t>
        </is>
      </c>
      <c r="L215" s="353" t="inlineStr">
        <is>
          <t>IPO</t>
        </is>
      </c>
      <c r="M215" s="353" t="inlineStr">
        <is>
          <t>Completed</t>
        </is>
      </c>
      <c r="N215" s="353" t="n">
        <v>919.333305</v>
      </c>
      <c r="O215" s="353" t="inlineStr">
        <is>
          <t>USD</t>
        </is>
      </c>
      <c r="P215" s="353" t="inlineStr">
        <is>
          <t>Hardware</t>
        </is>
      </c>
      <c r="Q215" s="353" t="inlineStr">
        <is>
          <t>Aerospace Materials &amp; Components</t>
        </is>
      </c>
      <c r="R215" s="353" t="inlineStr">
        <is>
          <t>Core A&amp;D</t>
        </is>
      </c>
      <c r="S215" s="353" t="inlineStr">
        <is>
          <t>Aerospace Components / Precision Castings. Manufactures precision-engineered superalloy castings and components for commercial and defense aero engines, airframes and industrial gas turbines.</t>
        </is>
      </c>
      <c r="T215" s="353" t="inlineStr">
        <is>
          <t>Verified — primary source</t>
        </is>
      </c>
      <c r="U215" s="353" t="inlineStr">
        <is>
          <t>https://ir.doncasters.com/news-and-events/news/news-details/2026/Doncasters-Announces-Pricing-of-Upsized-Initial-Public-Offering/default.aspx</t>
        </is>
      </c>
      <c r="V215" s="353" t="inlineStr">
        <is>
          <t>Verified — primary source</t>
        </is>
      </c>
      <c r="W215" s="353" t="inlineStr">
        <is>
          <t>Retain under strict scope. The SEC prospectus identifies the principal executive offices in Derby, United Kingdom; Jersey is the legal jurisdiction of incorporation, not the operating-headquarters country.</t>
        </is>
      </c>
    </row>
    <row r="216" ht="45" customHeight="1">
      <c r="A216" s="353" t="inlineStr">
        <is>
          <t>EUR-126</t>
        </is>
      </c>
      <c r="B216" s="353" t="inlineStr">
        <is>
          <t>Europe</t>
        </is>
      </c>
      <c r="C216" s="353" t="inlineStr">
        <is>
          <t>France</t>
        </is>
      </c>
      <c r="D216" s="353" t="inlineStr">
        <is>
          <t>VoltAero assets and operations</t>
        </is>
      </c>
      <c r="E216" s="353" t="inlineStr">
        <is>
          <t>AURA AERO</t>
        </is>
      </c>
      <c r="F216" s="353" t="inlineStr">
        <is>
          <t>France</t>
        </is>
      </c>
      <c r="G216" s="353" t="inlineStr">
        <is>
          <t>VoltAero / insolvency process</t>
        </is>
      </c>
      <c r="H216" s="403" t="inlineStr">
        <is>
          <t>Not disclosed</t>
        </is>
      </c>
      <c r="I216" s="403" t="n">
        <v>46202</v>
      </c>
      <c r="J216" s="353" t="n">
        <v>2026</v>
      </c>
      <c r="K216" s="353" t="inlineStr">
        <is>
          <t>M&amp;A</t>
        </is>
      </c>
      <c r="L216" s="353" t="inlineStr">
        <is>
          <t>Court-approved acquisition of identifiable aerospace assets and operations</t>
        </is>
      </c>
      <c r="M216" s="353" t="inlineStr">
        <is>
          <t>Completed</t>
        </is>
      </c>
      <c r="N216" s="353" t="inlineStr">
        <is>
          <t>Not disclosed</t>
        </is>
      </c>
      <c r="O216" s="353" t="inlineStr">
        <is>
          <t>Not disclosed</t>
        </is>
      </c>
      <c r="P216" s="353" t="inlineStr">
        <is>
          <t>Hardware / Software</t>
        </is>
      </c>
      <c r="Q216" s="353" t="inlineStr">
        <is>
          <t>Aerospace Platforms &amp; Components</t>
        </is>
      </c>
      <c r="R216" s="353" t="inlineStr">
        <is>
          <t>Core A&amp;D</t>
        </is>
      </c>
      <c r="S216" s="353" t="inlineStr">
        <is>
          <t>VoltAero's hybrid-electric aircraft development assets and operations were transferred together; treated as an identifiable aerospace operating business.</t>
        </is>
      </c>
      <c r="T216" s="353" t="inlineStr">
        <is>
          <t>Verified — primary source</t>
        </is>
      </c>
      <c r="U216" s="353" t="inlineStr">
        <is>
          <t>https://www.aura-aero.com/en/actualites/aura-aero-reprend-voltaero-et-acc%C3%A9l%C3%A8re-la-d%C3%A9carbonation-de-l%27aviation</t>
        </is>
      </c>
      <c r="V216" s="353" t="inlineStr">
        <is>
          <t>Verified — primary source</t>
        </is>
      </c>
      <c r="W216" s="353" t="inlineStr">
        <is>
          <t>Retain under strict scope; completed transaction and primary A&amp;D focus are supported by the cited source. CORRECTED 2026-08-02: completion date 23 June 2026 replaced with 29 June 2026 per contemporaneous trade reporting of the asset transfer.</t>
        </is>
      </c>
    </row>
    <row r="217" ht="45" customHeight="1">
      <c r="A217" s="353" t="inlineStr">
        <is>
          <t>EUR-127</t>
        </is>
      </c>
      <c r="B217" s="353" t="inlineStr">
        <is>
          <t>Europe</t>
        </is>
      </c>
      <c r="C217" s="353" t="inlineStr">
        <is>
          <t>United Kingdom</t>
        </is>
      </c>
      <c r="D217" s="353" t="inlineStr">
        <is>
          <t>European Astrotech Ltd</t>
        </is>
      </c>
      <c r="E217" s="353" t="inlineStr">
        <is>
          <t>The Exploration Company</t>
        </is>
      </c>
      <c r="F217" s="353" t="inlineStr">
        <is>
          <t>Germany</t>
        </is>
      </c>
      <c r="G217" s="353" t="inlineStr">
        <is>
          <t>European Astrotech shareholders</t>
        </is>
      </c>
      <c r="H217" s="403" t="inlineStr">
        <is>
          <t>Not disclosed</t>
        </is>
      </c>
      <c r="I217" s="403" t="n">
        <v>46203</v>
      </c>
      <c r="J217" s="353" t="n">
        <v>2026</v>
      </c>
      <c r="K217" s="353" t="inlineStr">
        <is>
          <t>M&amp;A</t>
        </is>
      </c>
      <c r="L217" s="353" t="inlineStr">
        <is>
          <t>Full Acquisition</t>
        </is>
      </c>
      <c r="M217" s="353" t="inlineStr">
        <is>
          <t>Completed</t>
        </is>
      </c>
      <c r="N217" s="353" t="inlineStr">
        <is>
          <t>Not disclosed</t>
        </is>
      </c>
      <c r="O217" s="353" t="inlineStr">
        <is>
          <t>Not disclosed</t>
        </is>
      </c>
      <c r="P217" s="353" t="inlineStr">
        <is>
          <t>Services</t>
        </is>
      </c>
      <c r="Q217" s="353" t="inlineStr">
        <is>
          <t>Space &amp; Satellite Systems</t>
        </is>
      </c>
      <c r="R217" s="353" t="inlineStr">
        <is>
          <t>Core A&amp;D</t>
        </is>
      </c>
      <c r="S217" s="353" t="inlineStr">
        <is>
          <t>Launch Operations / Spacecraft Propulsion Services. Provides spacecraft-propulsion engineering, hazardous processing, launch-site and mission-support services for European space programs.</t>
        </is>
      </c>
      <c r="T217" s="353" t="inlineStr">
        <is>
          <t>Verified — primary source</t>
        </is>
      </c>
      <c r="U217" s="353" t="inlineStr">
        <is>
          <t>https://www.europeanastrotech.com/news/the-exploration-company-acquires-european-astrotech-scaling-execution-capabilities-across-the-space-sector/</t>
        </is>
      </c>
      <c r="V217" s="353" t="inlineStr">
        <is>
          <t>Verified — primary source</t>
        </is>
      </c>
      <c r="W217" s="353" t="inlineStr">
        <is>
          <t>Retain under strict scope; completed transaction and primary A&amp;D focus are supported by the cited source.</t>
        </is>
      </c>
    </row>
    <row r="218" ht="45" customHeight="1">
      <c r="A218" s="353" t="inlineStr">
        <is>
          <t>EUR-128</t>
        </is>
      </c>
      <c r="B218" s="353" t="inlineStr">
        <is>
          <t>Europe</t>
        </is>
      </c>
      <c r="C218" s="353" t="inlineStr">
        <is>
          <t>Croatia</t>
        </is>
      </c>
      <c r="D218" s="353" t="inlineStr">
        <is>
          <t>DOK-ING (51% stake; renamed Rheinmetall Unmanned Vehicles)</t>
        </is>
      </c>
      <c r="E218" s="353" t="inlineStr">
        <is>
          <t>Rheinmetall</t>
        </is>
      </c>
      <c r="F218" s="353" t="inlineStr">
        <is>
          <t>Germany</t>
        </is>
      </c>
      <c r="G218" s="353" t="inlineStr">
        <is>
          <t>Vjekoslav Majetić</t>
        </is>
      </c>
      <c r="H218" s="403" t="inlineStr">
        <is>
          <t>Not disclosed</t>
        </is>
      </c>
      <c r="I218" s="403" t="n">
        <v>46204</v>
      </c>
      <c r="J218" s="353" t="n">
        <v>2026</v>
      </c>
      <c r="K218" s="353" t="inlineStr">
        <is>
          <t>M&amp;A</t>
        </is>
      </c>
      <c r="L218" s="353" t="inlineStr">
        <is>
          <t>Majority Stake (51%)</t>
        </is>
      </c>
      <c r="M218" s="353" t="inlineStr">
        <is>
          <t>Completed</t>
        </is>
      </c>
      <c r="N218" s="353" t="inlineStr">
        <is>
          <t>Not disclosed</t>
        </is>
      </c>
      <c r="O218" s="353" t="inlineStr">
        <is>
          <t>Not disclosed</t>
        </is>
      </c>
      <c r="P218" s="353" t="inlineStr">
        <is>
          <t>Hardware / Software / Services</t>
        </is>
      </c>
      <c r="Q218" s="353" t="inlineStr">
        <is>
          <t>UAVs &amp; Autonomous Systems</t>
        </is>
      </c>
      <c r="R218" s="353" t="inlineStr">
        <is>
          <t>Core A&amp;D</t>
        </is>
      </c>
      <c r="S218" s="353" t="inlineStr">
        <is>
          <t>Unmanned Ground Systems / Military Engineering. Develops remotely operated and autonomous heavy unmanned platforms for military engineering, demining, CBRN response, firefighting and critical-infrastructure protection.</t>
        </is>
      </c>
      <c r="T218" s="353" t="inlineStr">
        <is>
          <t>Verified — primary source</t>
        </is>
      </c>
      <c r="U218" s="353" t="inlineStr">
        <is>
          <t>https://www.rheinmetall.com/en/media/news-watch/news/2026/07/2026-07-01-rheinmetall-acquires-majority-stake-in-dok-ing</t>
        </is>
      </c>
      <c r="V218" s="353" t="inlineStr">
        <is>
          <t>Verified — primary source</t>
        </is>
      </c>
      <c r="W218" s="353" t="inlineStr">
        <is>
          <t>Retain under strict scope; completed transaction and primary A&amp;D focus are supported by the cited source.</t>
        </is>
      </c>
    </row>
    <row r="219" ht="45" customHeight="1">
      <c r="A219" s="353" t="inlineStr">
        <is>
          <t>EUR-129</t>
        </is>
      </c>
      <c r="B219" s="353" t="inlineStr">
        <is>
          <t>Europe</t>
        </is>
      </c>
      <c r="C219" s="353" t="inlineStr">
        <is>
          <t>United Kingdom</t>
        </is>
      </c>
      <c r="D219" s="353" t="inlineStr">
        <is>
          <t>ALL.SPACE</t>
        </is>
      </c>
      <c r="E219" s="353" t="inlineStr">
        <is>
          <t>York Space Systems</t>
        </is>
      </c>
      <c r="F219" s="353" t="inlineStr">
        <is>
          <t>United States</t>
        </is>
      </c>
      <c r="G219" s="353" t="inlineStr">
        <is>
          <t>ALL.SPACE shareholders</t>
        </is>
      </c>
      <c r="H219" s="403" t="n">
        <v>46142</v>
      </c>
      <c r="I219" s="403" t="n">
        <v>46211</v>
      </c>
      <c r="J219" s="353" t="n">
        <v>2026</v>
      </c>
      <c r="K219" s="353" t="inlineStr">
        <is>
          <t>M&amp;A</t>
        </is>
      </c>
      <c r="L219" s="353" t="inlineStr">
        <is>
          <t>Full company acquisition</t>
        </is>
      </c>
      <c r="M219" s="353" t="inlineStr">
        <is>
          <t>Completed</t>
        </is>
      </c>
      <c r="N219" s="353" t="n">
        <v>46.3</v>
      </c>
      <c r="O219" s="353" t="inlineStr">
        <is>
          <t>USD</t>
        </is>
      </c>
      <c r="P219" s="353" t="inlineStr">
        <is>
          <t>Hardware / Software</t>
        </is>
      </c>
      <c r="Q219" s="353" t="inlineStr">
        <is>
          <t>Space &amp; Satellite Systems</t>
        </is>
      </c>
      <c r="R219" s="353" t="inlineStr">
        <is>
          <t>Core A&amp;D</t>
        </is>
      </c>
      <c r="S219" s="353" t="inlineStr">
        <is>
          <t>Space &amp; Satellite Systems. Developer of terminal technology designed to improve enterprise mobility across land, sea, and air, from the operational capability to the passenger experience. The company's technology is used in designing and constructing a spectrally efficient, low-profile, multi-service, low-power, fully integrated range of terminals that are conformal, enabling clients to gain returns from access to a larger customer base and increase their profits and market shares.</t>
        </is>
      </c>
      <c r="T219" s="353" t="inlineStr">
        <is>
          <t>Verified — primary source</t>
        </is>
      </c>
      <c r="U219" s="353" t="inlineStr">
        <is>
          <t>https://ir.yorkspacesystems.com/news/news-details/2026/York-Space-Systems-Completes-Acquisition-of-ALL-SPACE-Delivering-Assured-Communications-and-Positioning-in-Contested-Environments/default.aspx</t>
        </is>
      </c>
      <c r="V219" s="353" t="inlineStr">
        <is>
          <t>Verified — primary source</t>
        </is>
      </c>
      <c r="W219" s="353" t="inlineStr">
        <is>
          <t>Replace status/date: announced 30 April and completed 8 July 2026. CORRECTED 2026-08-02: the row paired the 30 April 2026 announcement headline (USD 355m) with the 8 July 2026 completion date. York's completion release states initial consideration of ~USD 46.3m; both figures are now recorded with their bases.</t>
        </is>
      </c>
    </row>
    <row r="220">
      <c r="A220" s="353" t="inlineStr">
        <is>
          <t>EUR-130</t>
        </is>
      </c>
      <c r="B220" s="353" t="inlineStr">
        <is>
          <t>Europe</t>
        </is>
      </c>
      <c r="C220" s="353" t="inlineStr">
        <is>
          <t>Estonia</t>
        </is>
      </c>
      <c r="D220" s="353" t="inlineStr">
        <is>
          <t>SensusQ</t>
        </is>
      </c>
      <c r="E220" s="353" t="inlineStr">
        <is>
          <t>Quantum Systems</t>
        </is>
      </c>
      <c r="F220" s="353" t="inlineStr">
        <is>
          <t>Germany</t>
        </is>
      </c>
      <c r="G220" s="353" t="inlineStr">
        <is>
          <t>SensusQ shareholders</t>
        </is>
      </c>
      <c r="H220" s="403" t="n">
        <v>46213</v>
      </c>
      <c r="I220" s="403" t="n">
        <v>46213</v>
      </c>
      <c r="J220" s="353" t="n">
        <v>2026</v>
      </c>
      <c r="K220" s="353" t="inlineStr">
        <is>
          <t>M&amp;A</t>
        </is>
      </c>
      <c r="L220" s="353" t="inlineStr">
        <is>
          <t>Full Acquisition</t>
        </is>
      </c>
      <c r="M220" s="353" t="inlineStr">
        <is>
          <t>Completed</t>
        </is>
      </c>
      <c r="N220" s="353" t="inlineStr">
        <is>
          <t>Not disclosed</t>
        </is>
      </c>
      <c r="O220" s="353" t="inlineStr">
        <is>
          <t>Not disclosed</t>
        </is>
      </c>
      <c r="P220" s="353" t="inlineStr">
        <is>
          <t>Software</t>
        </is>
      </c>
      <c r="Q220" s="353" t="inlineStr">
        <is>
          <t>Defence Computing &amp; Rugged Systems</t>
        </is>
      </c>
      <c r="R220" s="353" t="inlineStr">
        <is>
          <t>Core A&amp;D</t>
        </is>
      </c>
      <c r="S220" s="353" t="inlineStr">
        <is>
          <t>C4ISR / Defense Intelligence Software. Develops intelligence-management and AI-enabled data-fusion software for defense, security and operational decision support.</t>
        </is>
      </c>
      <c r="T220" s="353" t="inlineStr">
        <is>
          <t>Verified — primary source</t>
        </is>
      </c>
      <c r="U220" s="353" t="inlineStr">
        <is>
          <t>https://quantum-systems.com/news/quantum-systems-expands-estonia/</t>
        </is>
      </c>
      <c r="V220" s="353" t="inlineStr">
        <is>
          <t>Verified — primary source</t>
        </is>
      </c>
      <c r="W220" s="353" t="inlineStr">
        <is>
          <t>Replace structure/date support: acquisition announcement was 10 July; 100% signing evidence comes from Estonian concentration records.</t>
        </is>
      </c>
    </row>
    <row r="221">
      <c r="A221" s="353" t="inlineStr">
        <is>
          <t>EUR-131</t>
        </is>
      </c>
      <c r="B221" s="353" t="inlineStr">
        <is>
          <t>Europe</t>
        </is>
      </c>
      <c r="C221" s="353" t="inlineStr">
        <is>
          <t>Germany</t>
        </is>
      </c>
      <c r="D221" s="353" t="inlineStr">
        <is>
          <t>SMAG Mobile Antenna Masts AG</t>
        </is>
      </c>
      <c r="E221" s="353" t="inlineStr">
        <is>
          <t>Public investors</t>
        </is>
      </c>
      <c r="F221" s="353" t="inlineStr">
        <is>
          <t>Public markets</t>
        </is>
      </c>
      <c r="G221" s="353" t="inlineStr">
        <is>
          <t>Issuer / selling shareholders</t>
        </is>
      </c>
      <c r="H221" s="403" t="inlineStr">
        <is>
          <t>Not disclosed</t>
        </is>
      </c>
      <c r="I221" s="403" t="n">
        <v>46216</v>
      </c>
      <c r="J221" s="353" t="n">
        <v>2026</v>
      </c>
      <c r="K221" s="353" t="inlineStr">
        <is>
          <t>IPO</t>
        </is>
      </c>
      <c r="L221" s="353" t="inlineStr">
        <is>
          <t>Initial public offering</t>
        </is>
      </c>
      <c r="M221" s="353" t="inlineStr">
        <is>
          <t>Completed</t>
        </is>
      </c>
      <c r="N221" s="353" t="inlineStr">
        <is>
          <t>Not disclosed</t>
        </is>
      </c>
      <c r="O221" s="353" t="inlineStr">
        <is>
          <t>EUR</t>
        </is>
      </c>
      <c r="P221" s="353" t="inlineStr">
        <is>
          <t>Hardware</t>
        </is>
      </c>
      <c r="Q221" s="353" t="inlineStr">
        <is>
          <t>Air Traffic Management &amp; Communications</t>
        </is>
      </c>
      <c r="R221" s="353" t="inlineStr">
        <is>
          <t>Core A&amp;D</t>
        </is>
      </c>
      <c r="S221" s="353" t="inlineStr">
        <is>
          <t>Military Communications &amp; Counter-UAS Infrastructure. Manufacturer of mobile antenna mast systems for military communications, radar, surveillance and counter-UAS.</t>
        </is>
      </c>
      <c r="T221" s="353" t="inlineStr">
        <is>
          <t>Verified — primary source</t>
        </is>
      </c>
      <c r="U221" s="353" t="inlineStr">
        <is>
          <t>https://www.cashmarket.deutsche-boerse.com/cash-en/Data-Tech/statistics/New-Companies/SMAG-Mobile-Antenna-Masts-AG-5363282</t>
        </is>
      </c>
      <c r="V221" s="353" t="inlineStr">
        <is>
          <t>Verified — primary source</t>
        </is>
      </c>
      <c r="W221" s="353" t="inlineStr">
        <is>
          <t>Replace IPO proceeds: EUR 112.7m base placement; EUR 129.605m included a greenshoe not verified as executed.</t>
        </is>
      </c>
    </row>
    <row r="222">
      <c r="A222" s="353" t="inlineStr">
        <is>
          <t>EUR-132</t>
        </is>
      </c>
      <c r="B222" s="353" t="inlineStr">
        <is>
          <t>Europe</t>
        </is>
      </c>
      <c r="C222" s="353" t="inlineStr">
        <is>
          <t>Sweden</t>
        </is>
      </c>
      <c r="D222" s="353" t="inlineStr">
        <is>
          <t>Active Armour Group Stockholm AB / Amigo Defence AB</t>
        </is>
      </c>
      <c r="E222" s="353" t="inlineStr">
        <is>
          <t>Transfer Group AB</t>
        </is>
      </c>
      <c r="F222" s="353" t="inlineStr">
        <is>
          <t>Sweden</t>
        </is>
      </c>
      <c r="G222" s="353" t="inlineStr">
        <is>
          <t>Active Armour shareholders</t>
        </is>
      </c>
      <c r="H222" s="403" t="inlineStr">
        <is>
          <t>Not disclosed</t>
        </is>
      </c>
      <c r="I222" s="403" t="n">
        <v>46217</v>
      </c>
      <c r="J222" s="353" t="n">
        <v>2026</v>
      </c>
      <c r="K222" s="353" t="inlineStr">
        <is>
          <t>M&amp;A</t>
        </is>
      </c>
      <c r="L222" s="353" t="inlineStr">
        <is>
          <t>Full acquisition</t>
        </is>
      </c>
      <c r="M222" s="353" t="inlineStr">
        <is>
          <t>Completed</t>
        </is>
      </c>
      <c r="N222" s="353" t="inlineStr">
        <is>
          <t>Not disclosed</t>
        </is>
      </c>
      <c r="O222" s="353" t="inlineStr">
        <is>
          <t>SEK</t>
        </is>
      </c>
      <c r="P222" s="353" t="inlineStr">
        <is>
          <t>Hardware</t>
        </is>
      </c>
      <c r="Q222" s="353" t="inlineStr">
        <is>
          <t>Land Systems &amp; Military Vehicles</t>
        </is>
      </c>
      <c r="R222" s="353" t="inlineStr">
        <is>
          <t>Core A&amp;D</t>
        </is>
      </c>
      <c r="S222" s="353" t="inlineStr">
        <is>
          <t>Personal Ballistic Protection. Supplier of body armour, ballistic helmets and protective equipment.</t>
        </is>
      </c>
      <c r="T222" s="353" t="inlineStr">
        <is>
          <t>Verified — primary source</t>
        </is>
      </c>
      <c r="U222" s="353" t="inlineStr">
        <is>
          <t>https://mangold.se/company-news/transfer-group-erhaller-godkannande-fran-isp-och-slutfor-forvarvet-av-amigo-defence/</t>
        </is>
      </c>
      <c r="V222" s="353" t="inlineStr">
        <is>
          <t>Verified — primary source</t>
        </is>
      </c>
      <c r="W222" s="353" t="inlineStr">
        <is>
          <t>Retain under strict scope; completed transaction and primary A&amp;D focus are supported by the cited source.</t>
        </is>
      </c>
    </row>
    <row r="223">
      <c r="A223" s="353" t="inlineStr">
        <is>
          <t>EUR-133</t>
        </is>
      </c>
      <c r="B223" s="353" t="inlineStr">
        <is>
          <t>Europe</t>
        </is>
      </c>
      <c r="C223" s="353" t="inlineStr">
        <is>
          <t>United Kingdom</t>
        </is>
      </c>
      <c r="D223" s="353" t="inlineStr">
        <is>
          <t>Bromford Precision Solutions Limited</t>
        </is>
      </c>
      <c r="E223" s="353" t="inlineStr">
        <is>
          <t>Sigma Advanced Systems Limited</t>
        </is>
      </c>
      <c r="F223" s="353" t="inlineStr">
        <is>
          <t>India</t>
        </is>
      </c>
      <c r="G223" s="353" t="inlineStr">
        <is>
          <t>Bromford Precision Solutions shareholders (seller not disclosed in cited exchange announcement)</t>
        </is>
      </c>
      <c r="H223" s="403" t="inlineStr">
        <is>
          <t>Not disclosed</t>
        </is>
      </c>
      <c r="I223" s="403" t="n">
        <v>46225</v>
      </c>
      <c r="J223" s="353" t="n">
        <v>2026</v>
      </c>
      <c r="K223" s="353" t="inlineStr">
        <is>
          <t>M&amp;A</t>
        </is>
      </c>
      <c r="L223" s="353" t="inlineStr">
        <is>
          <t>Full Acquisition</t>
        </is>
      </c>
      <c r="M223" s="353" t="inlineStr">
        <is>
          <t>Completed</t>
        </is>
      </c>
      <c r="N223" s="353" t="inlineStr">
        <is>
          <t>Not disclosed</t>
        </is>
      </c>
      <c r="O223" s="353" t="inlineStr">
        <is>
          <t>GBP</t>
        </is>
      </c>
      <c r="P223" s="353" t="inlineStr">
        <is>
          <t>Hardware</t>
        </is>
      </c>
      <c r="Q223" s="353" t="inlineStr">
        <is>
          <t>Aerospace Materials &amp; Components</t>
        </is>
      </c>
      <c r="R223" s="353" t="inlineStr">
        <is>
          <t>Core A&amp;D</t>
        </is>
      </c>
      <c r="S223" s="353" t="inlineStr">
        <is>
          <t>Aerospace Components / Aeroengine Structures. Manufactures complex precision-machined components, fabrications and assemblies for aerospace aero-engine, airframe and power-generation applications.</t>
        </is>
      </c>
      <c r="T223" s="353" t="inlineStr">
        <is>
          <t>Verified — primary source</t>
        </is>
      </c>
      <c r="U223" s="353" t="inlineStr">
        <is>
          <t>https://www.bseindia.com/stock-share-price/sigma-advanced-systems-ltd/megasoft/532408/corp-announcements/</t>
        </is>
      </c>
      <c r="V223" s="353" t="inlineStr">
        <is>
          <t>Verified — primary source</t>
        </is>
      </c>
      <c r="W223" s="353" t="inlineStr">
        <is>
          <t>Retain under strict scope; completed transaction and primary A&amp;D focus are supported by the cited source.</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70AD47"/>
    <outlinePr summaryBelow="1" summaryRight="1"/>
    <pageSetUpPr/>
  </sheetPr>
  <dimension ref="A1:G7"/>
  <sheetViews>
    <sheetView workbookViewId="0">
      <selection activeCell="A1" sqref="A1"/>
    </sheetView>
  </sheetViews>
  <sheetFormatPr baseColWidth="8" defaultColWidth="8.7109375" defaultRowHeight="15"/>
  <cols>
    <col width="22" customWidth="1" min="1" max="7"/>
  </cols>
  <sheetData>
    <row r="1" ht="27.75" customHeight="1">
      <c r="A1" s="10" t="inlineStr">
        <is>
          <t>Count of Target / Asset</t>
        </is>
      </c>
      <c r="B1" s="10" t="inlineStr">
        <is>
          <t>Transaction Type</t>
        </is>
      </c>
      <c r="C1" s="10" t="n"/>
      <c r="D1" s="10" t="n"/>
      <c r="E1" s="10" t="n"/>
      <c r="F1" s="10" t="n"/>
      <c r="G1" s="10" t="n"/>
    </row>
    <row r="2" ht="36" customHeight="1">
      <c r="A2" s="23" t="inlineStr">
        <is>
          <t>Deal Year</t>
        </is>
      </c>
      <c r="B2" s="23" t="inlineStr">
        <is>
          <t>M&amp;A</t>
        </is>
      </c>
      <c r="C2" s="23" t="inlineStr">
        <is>
          <t>M&amp;A / LOI</t>
        </is>
      </c>
      <c r="D2" s="23" t="inlineStr">
        <is>
          <t>M&amp;A / Majority stake</t>
        </is>
      </c>
      <c r="E2" s="23" t="inlineStr">
        <is>
          <t>Merger/Acquisition</t>
        </is>
      </c>
      <c r="F2" s="23" t="inlineStr">
        <is>
          <t>Other / SPAC business combination</t>
        </is>
      </c>
      <c r="G2" s="23" t="inlineStr">
        <is>
          <t>Total Result</t>
        </is>
      </c>
    </row>
    <row r="3" ht="21.75" customHeight="1">
      <c r="A3" s="24" t="n">
        <v>2023</v>
      </c>
      <c r="B3" s="25" t="n">
        <v>16</v>
      </c>
      <c r="C3" s="26" t="n"/>
      <c r="D3" s="26" t="n"/>
      <c r="E3" s="25" t="n">
        <v>1</v>
      </c>
      <c r="F3" s="26" t="n"/>
      <c r="G3" s="25" t="n">
        <v>17</v>
      </c>
    </row>
    <row r="4" ht="21.75" customHeight="1">
      <c r="A4" s="27" t="n">
        <v>2024</v>
      </c>
      <c r="B4" s="28" t="n">
        <v>13</v>
      </c>
      <c r="C4" s="29" t="n"/>
      <c r="D4" s="29" t="n"/>
      <c r="E4" s="28" t="n">
        <v>1</v>
      </c>
      <c r="F4" s="29" t="n"/>
      <c r="G4" s="28" t="n">
        <v>14</v>
      </c>
    </row>
    <row r="5" ht="21.75" customHeight="1">
      <c r="A5" s="24" t="n">
        <v>2025</v>
      </c>
      <c r="B5" s="25" t="n">
        <v>17</v>
      </c>
      <c r="C5" s="25" t="n">
        <v>1</v>
      </c>
      <c r="D5" s="26" t="n"/>
      <c r="E5" s="25" t="n">
        <v>4</v>
      </c>
      <c r="F5" s="26" t="n"/>
      <c r="G5" s="25" t="n">
        <v>22</v>
      </c>
    </row>
    <row r="6" ht="21.75" customHeight="1">
      <c r="A6" s="27" t="n">
        <v>2026</v>
      </c>
      <c r="B6" s="28" t="n">
        <v>14</v>
      </c>
      <c r="C6" s="29" t="n"/>
      <c r="D6" s="28" t="n">
        <v>1</v>
      </c>
      <c r="E6" s="29" t="n"/>
      <c r="F6" s="28" t="n">
        <v>1</v>
      </c>
      <c r="G6" s="28" t="n">
        <v>16</v>
      </c>
    </row>
    <row r="7" ht="25.5" customHeight="1">
      <c r="A7" s="30" t="inlineStr">
        <is>
          <t>Total Result</t>
        </is>
      </c>
      <c r="B7" s="31" t="n">
        <v>60</v>
      </c>
      <c r="C7" s="31" t="n">
        <v>1</v>
      </c>
      <c r="D7" s="31" t="n">
        <v>1</v>
      </c>
      <c r="E7" s="31" t="n">
        <v>6</v>
      </c>
      <c r="F7" s="31" t="n">
        <v>1</v>
      </c>
      <c r="G7" s="31" t="n">
        <v>69</v>
      </c>
    </row>
  </sheetData>
  <pageMargins left="0.7" right="0.7" top="0.75" bottom="0.75" header="0.3" footer="0.3"/>
</worksheet>
</file>

<file path=xl/worksheets/sheet4.xml><?xml version="1.0" encoding="utf-8"?>
<worksheet xmlns="http://schemas.openxmlformats.org/spreadsheetml/2006/main">
  <sheetPr>
    <tabColor rgb="FF70AD47"/>
    <outlinePr summaryBelow="1" summaryRight="1"/>
    <pageSetUpPr/>
  </sheetPr>
  <dimension ref="A1:G7"/>
  <sheetViews>
    <sheetView workbookViewId="0">
      <selection activeCell="A1" sqref="A1"/>
    </sheetView>
  </sheetViews>
  <sheetFormatPr baseColWidth="8" defaultColWidth="8.7109375" defaultRowHeight="15"/>
  <cols>
    <col width="22" customWidth="1" min="1" max="7"/>
    <col width="3.140625" customWidth="1" min="8" max="8"/>
    <col width="5.140625" customWidth="1" min="9" max="9"/>
    <col width="3.140625" customWidth="1" min="11" max="11"/>
    <col width="6.140625" customWidth="1" min="13" max="13"/>
    <col width="5.140625" customWidth="1" min="14" max="14"/>
    <col width="6.140625" customWidth="1" min="15" max="15"/>
    <col width="3.140625" customWidth="1" min="16" max="16"/>
    <col width="5.140625" customWidth="1" min="18" max="18"/>
    <col width="4.140625" customWidth="1" min="19" max="19"/>
    <col width="7.140625" customWidth="1" min="23" max="23"/>
    <col width="4.140625" customWidth="1" min="24" max="24"/>
    <col width="7.140625" customWidth="1" min="25" max="25"/>
    <col width="4.140625" customWidth="1" min="26" max="26"/>
    <col width="6.140625" customWidth="1" min="28" max="28"/>
    <col width="4.140625" customWidth="1" min="29" max="29"/>
    <col width="5.140625" customWidth="1" min="33" max="33"/>
    <col width="6.140625" customWidth="1" min="34" max="34"/>
    <col width="13.28515625" customWidth="1" min="36" max="36"/>
    <col width="7.28515625" customWidth="1" min="37" max="37"/>
    <col width="11.7109375" customWidth="1" min="38" max="38"/>
  </cols>
  <sheetData>
    <row r="1" ht="27.75" customHeight="1">
      <c r="A1" s="10" t="inlineStr">
        <is>
          <t>Sum of Deal Value (USD mn)</t>
        </is>
      </c>
      <c r="B1" s="10" t="inlineStr">
        <is>
          <t>Transaction Type</t>
        </is>
      </c>
      <c r="C1" s="10" t="n"/>
      <c r="D1" s="10" t="n"/>
      <c r="E1" s="10" t="n"/>
      <c r="F1" s="10" t="n"/>
      <c r="G1" s="10" t="n"/>
    </row>
    <row r="2" ht="36" customHeight="1">
      <c r="A2" s="23" t="inlineStr">
        <is>
          <t>Deal Year</t>
        </is>
      </c>
      <c r="B2" s="23" t="inlineStr">
        <is>
          <t>M&amp;A</t>
        </is>
      </c>
      <c r="C2" s="23" t="inlineStr">
        <is>
          <t>M&amp;A / LOI</t>
        </is>
      </c>
      <c r="D2" s="23" t="inlineStr">
        <is>
          <t>M&amp;A / Majority stake</t>
        </is>
      </c>
      <c r="E2" s="23" t="inlineStr">
        <is>
          <t>Merger/Acquisition</t>
        </is>
      </c>
      <c r="F2" s="23" t="inlineStr">
        <is>
          <t>Other / SPAC business combination</t>
        </is>
      </c>
      <c r="G2" s="23" t="inlineStr">
        <is>
          <t>Total Result</t>
        </is>
      </c>
    </row>
    <row r="3" ht="21.75" customHeight="1">
      <c r="A3" s="24" t="n">
        <v>2023</v>
      </c>
      <c r="B3" s="32" t="n">
        <v>2884.66</v>
      </c>
      <c r="C3" s="26" t="n"/>
      <c r="D3" s="26" t="n"/>
      <c r="E3" s="26" t="n"/>
      <c r="F3" s="22" t="n"/>
      <c r="G3" s="32" t="n">
        <v>2884.66</v>
      </c>
    </row>
    <row r="4" ht="21.75" customHeight="1">
      <c r="A4" s="27" t="n">
        <v>2024</v>
      </c>
      <c r="B4" s="33" t="n">
        <v>1933.01</v>
      </c>
      <c r="C4" s="29" t="n"/>
      <c r="D4" s="29" t="n"/>
      <c r="E4" s="29" t="n"/>
      <c r="F4" s="16" t="n"/>
      <c r="G4" s="33" t="n">
        <v>1933.01</v>
      </c>
    </row>
    <row r="5" ht="21.75" customHeight="1">
      <c r="A5" s="24" t="n">
        <v>2025</v>
      </c>
      <c r="B5" s="32" t="n">
        <v>32594.4</v>
      </c>
      <c r="C5" s="22" t="n"/>
      <c r="D5" s="26" t="n"/>
      <c r="E5" s="22" t="n"/>
      <c r="F5" s="22" t="n"/>
      <c r="G5" s="32" t="n">
        <v>32594.4</v>
      </c>
    </row>
    <row r="6" ht="21.75" customHeight="1">
      <c r="A6" s="27" t="n">
        <v>2026</v>
      </c>
      <c r="B6" s="33" t="n">
        <v>28404.34</v>
      </c>
      <c r="C6" s="16" t="n"/>
      <c r="D6" s="33" t="n">
        <v>9.4</v>
      </c>
      <c r="E6" s="16" t="n"/>
      <c r="F6" s="33" t="n">
        <v>1500</v>
      </c>
      <c r="G6" s="33" t="n">
        <v>29913.74</v>
      </c>
    </row>
    <row r="7" ht="25.5" customHeight="1">
      <c r="A7" s="30" t="inlineStr">
        <is>
          <t>Total Result</t>
        </is>
      </c>
      <c r="B7" s="34" t="n">
        <v>65816.41</v>
      </c>
      <c r="C7" s="35" t="n"/>
      <c r="D7" s="34" t="n">
        <v>9.4</v>
      </c>
      <c r="E7" s="35" t="n"/>
      <c r="F7" s="34" t="n">
        <v>1500</v>
      </c>
      <c r="G7" s="34" t="n">
        <v>67325.81</v>
      </c>
    </row>
  </sheetData>
  <pageMargins left="0.7" right="0.7" top="0.75" bottom="0.75" header="0.3" footer="0.3"/>
</worksheet>
</file>

<file path=xl/worksheets/sheet5.xml><?xml version="1.0" encoding="utf-8"?>
<worksheet xmlns="http://schemas.openxmlformats.org/spreadsheetml/2006/main">
  <sheetPr>
    <tabColor rgb="FF4472C4"/>
    <outlinePr summaryBelow="1" summaryRight="1"/>
    <pageSetUpPr/>
  </sheetPr>
  <dimension ref="A1:AN78"/>
  <sheetViews>
    <sheetView workbookViewId="0">
      <selection activeCell="A1" sqref="A1"/>
    </sheetView>
  </sheetViews>
  <sheetFormatPr baseColWidth="8" defaultColWidth="8.7109375" defaultRowHeight="15"/>
  <cols>
    <col width="12" customWidth="1" style="40" min="1" max="1"/>
    <col width="14" customWidth="1" style="40" min="2" max="2"/>
    <col width="8.7109375" customWidth="1" style="40" min="3" max="3"/>
    <col width="28" customWidth="1" style="40" min="4" max="4"/>
    <col width="18.7109375" customWidth="1" style="40" min="5" max="5"/>
    <col width="14" customWidth="1" style="40" min="6" max="6"/>
    <col width="22" customWidth="1" style="40" min="7" max="7"/>
    <col width="13" customWidth="1" style="40" min="8" max="8"/>
    <col width="8.7109375" customWidth="1" style="40" min="9" max="9"/>
    <col width="9" customWidth="1" style="40" min="10" max="10"/>
    <col width="16" customWidth="1" style="40" min="11" max="11"/>
    <col width="22" customWidth="1" style="40" min="12" max="12"/>
    <col width="10" customWidth="1" style="40" min="13" max="13"/>
    <col width="14" customWidth="1" style="40" min="14" max="14"/>
    <col width="9" customWidth="1" style="40" min="15" max="15"/>
    <col width="18" customWidth="1" style="40" min="16" max="16"/>
    <col width="22" customWidth="1" style="40" min="17" max="17"/>
    <col width="16" customWidth="1" style="40" min="18" max="18"/>
    <col width="42" customWidth="1" style="40" min="19" max="19"/>
    <col width="12" customWidth="1" style="40" min="20" max="20"/>
    <col width="30" customWidth="1" style="40" min="21" max="21"/>
    <col width="22" customWidth="1" style="40" min="22" max="22"/>
    <col width="32" customWidth="1" style="40" min="23" max="23"/>
    <col width="12" customWidth="1" style="40" min="24" max="24"/>
    <col width="11" customWidth="1" style="40" min="25" max="25"/>
    <col width="12" customWidth="1" style="40" min="26" max="26"/>
    <col width="11" customWidth="1" style="40" min="27" max="27"/>
    <col width="18" customWidth="1" style="40" min="28" max="28"/>
    <col width="13" customWidth="1" style="40" min="29" max="29"/>
    <col width="45" customWidth="1" style="40" min="30" max="30"/>
    <col width="22" customWidth="1" style="40" min="31" max="31"/>
    <col width="17" customWidth="1" style="40" min="32" max="32"/>
    <col width="30" customWidth="1" style="40" min="33" max="33"/>
    <col width="24" customWidth="1" style="40" min="34" max="34"/>
    <col width="30" customWidth="1" style="40" min="35" max="35"/>
    <col width="55" customWidth="1" style="40" min="36" max="36"/>
    <col width="18" customWidth="1" style="40" min="37" max="37"/>
    <col width="22" customWidth="1" style="40" min="38" max="38"/>
    <col width="8.7109375" customWidth="1" style="40" min="39" max="39"/>
    <col width="8.7109375" customWidth="1" style="40" min="40" max="16384"/>
  </cols>
  <sheetData>
    <row r="1" ht="37.5" customHeight="1">
      <c r="A1" s="10" t="inlineStr">
        <is>
          <t>Deal ID</t>
        </is>
      </c>
      <c r="B1" s="10" t="inlineStr">
        <is>
          <t>Region</t>
        </is>
      </c>
      <c r="C1" s="10" t="inlineStr">
        <is>
          <t>Target Country</t>
        </is>
      </c>
      <c r="D1" s="10" t="inlineStr">
        <is>
          <t>Target / Asset</t>
        </is>
      </c>
      <c r="E1" s="10" t="inlineStr">
        <is>
          <t>Acquirer</t>
        </is>
      </c>
      <c r="F1" s="10" t="inlineStr">
        <is>
          <t>Acquirer Country</t>
        </is>
      </c>
      <c r="G1" s="10" t="inlineStr">
        <is>
          <t>Seller</t>
        </is>
      </c>
      <c r="H1" s="10" t="inlineStr">
        <is>
          <t>Announcement Date</t>
        </is>
      </c>
      <c r="I1" s="10" t="inlineStr">
        <is>
          <t>Completion Date</t>
        </is>
      </c>
      <c r="J1" s="10" t="inlineStr">
        <is>
          <t>Deal Year</t>
        </is>
      </c>
      <c r="K1" s="10" t="inlineStr">
        <is>
          <t>Transaction Type</t>
        </is>
      </c>
      <c r="L1" s="10" t="inlineStr">
        <is>
          <t>Deal Structure</t>
        </is>
      </c>
      <c r="M1" s="10" t="inlineStr">
        <is>
          <t>Deal Status</t>
        </is>
      </c>
      <c r="N1" s="10" t="inlineStr">
        <is>
          <t>Deal Value (USD mn)</t>
        </is>
      </c>
      <c r="O1" s="10" t="inlineStr">
        <is>
          <t>Currency</t>
        </is>
      </c>
      <c r="P1" s="10" t="inlineStr">
        <is>
          <t>Hardware / Software / Services</t>
        </is>
      </c>
      <c r="Q1" s="10" t="inlineStr">
        <is>
          <t>A&amp;D Domain</t>
        </is>
      </c>
      <c r="R1" s="10" t="inlineStr">
        <is>
          <t>Inclusion Tier</t>
        </is>
      </c>
      <c r="S1" s="10" t="inlineStr">
        <is>
          <t>Relevance Rationale</t>
        </is>
      </c>
      <c r="T1" s="10" t="inlineStr">
        <is>
          <t>Reliability</t>
        </is>
      </c>
      <c r="U1" s="10" t="inlineStr">
        <is>
          <t>Source URL</t>
        </is>
      </c>
      <c r="V1" s="10" t="inlineStr">
        <is>
          <t>Source Type</t>
        </is>
      </c>
      <c r="W1" s="10" t="inlineStr">
        <is>
          <t>Notes</t>
        </is>
      </c>
      <c r="X1" s="49" t="inlineStr">
        <is>
          <t>Implied EV/Revenue</t>
        </is>
      </c>
      <c r="Y1" s="49" t="inlineStr">
        <is>
          <t>Implied EV/EBITDA</t>
        </is>
      </c>
      <c r="Z1" s="10" t="inlineStr">
        <is>
          <t>Deal Size/EBITDA</t>
        </is>
      </c>
      <c r="AA1" s="10" t="inlineStr">
        <is>
          <t>EBITDA</t>
        </is>
      </c>
      <c r="AB1" s="10" t="inlineStr">
        <is>
          <t>Deal Size/Revenue</t>
        </is>
      </c>
      <c r="AC1" s="10" t="inlineStr">
        <is>
          <t>Revenue</t>
        </is>
      </c>
      <c r="AD1" s="10" t="inlineStr">
        <is>
          <t>Deal Type 2</t>
        </is>
      </c>
      <c r="AE1" s="10" t="inlineStr">
        <is>
          <t>Post Valuation</t>
        </is>
      </c>
      <c r="AF1" s="10" t="inlineStr">
        <is>
          <t>Deal Synopsis</t>
        </is>
      </c>
      <c r="AG1" s="10" t="inlineStr">
        <is>
          <t>Financing Status</t>
        </is>
      </c>
      <c r="AH1" s="10" t="inlineStr">
        <is>
          <t>Business Status</t>
        </is>
      </c>
      <c r="AI1" s="10" t="inlineStr">
        <is>
          <t>Investors</t>
        </is>
      </c>
      <c r="AJ1" s="10" t="inlineStr">
        <is>
          <t>Primary PitchBook Industry Code</t>
        </is>
      </c>
      <c r="AK1" s="10" t="inlineStr">
        <is>
          <t>Verticals</t>
        </is>
      </c>
      <c r="AL1" s="10" t="inlineStr">
        <is>
          <t>Description</t>
        </is>
      </c>
      <c r="AM1" s="10" t="inlineStr">
        <is>
          <t>HQ Location</t>
        </is>
      </c>
      <c r="AN1" s="10" t="inlineStr">
        <is>
          <t>Company Website</t>
        </is>
      </c>
    </row>
    <row r="2" ht="42" customHeight="1">
      <c r="A2" s="12" t="n"/>
      <c r="B2" s="12" t="inlineStr">
        <is>
          <t>Israel</t>
        </is>
      </c>
      <c r="C2" s="12" t="inlineStr">
        <is>
          <t>Israel</t>
        </is>
      </c>
      <c r="D2" s="13" t="inlineStr">
        <is>
          <t>Orbit Communication Systems</t>
        </is>
      </c>
      <c r="E2" s="13" t="inlineStr">
        <is>
          <t>Kratos Defense &amp; Security Solutions</t>
        </is>
      </c>
      <c r="F2" s="12" t="inlineStr">
        <is>
          <t>USA</t>
        </is>
      </c>
      <c r="G2" s="13" t="inlineStr">
        <is>
          <t>Public shareholders</t>
        </is>
      </c>
      <c r="H2" s="41" t="inlineStr">
        <is>
          <t>2025-11-04</t>
        </is>
      </c>
      <c r="I2" s="41" t="inlineStr">
        <is>
          <t>Expected 2026</t>
        </is>
      </c>
      <c r="J2" s="42" t="n">
        <v>2026</v>
      </c>
      <c r="K2" s="13" t="inlineStr">
        <is>
          <t>M&amp;A</t>
        </is>
      </c>
      <c r="L2" s="13" t="inlineStr">
        <is>
          <t>Full acquisition</t>
        </is>
      </c>
      <c r="M2" s="13" t="inlineStr">
        <is>
          <t>Announced</t>
        </is>
      </c>
      <c r="N2" s="43" t="n">
        <v>356.3</v>
      </c>
      <c r="O2" s="12" t="inlineStr">
        <is>
          <t>USD</t>
        </is>
      </c>
      <c r="P2" s="13" t="inlineStr">
        <is>
          <t>Hardware</t>
        </is>
      </c>
      <c r="Q2" s="13" t="inlineStr">
        <is>
          <t>Satellite/Space</t>
        </is>
      </c>
      <c r="R2" s="13" t="inlineStr">
        <is>
          <t>Core A&amp;D</t>
        </is>
      </c>
      <c r="S2" s="13" t="inlineStr">
        <is>
          <t>Israeli satellite-communications and airborne/ground satcom provider with defense and national-security applications.</t>
        </is>
      </c>
      <c r="T2" s="12" t="inlineStr">
        <is>
          <t>High</t>
        </is>
      </c>
      <c r="U2" s="13" t="inlineStr">
        <is>
          <t>https://www.kratosdefense.com/newsroom/kratos-to-acquire-israel-based-orbit-technologies-ltd-for-356-3-million</t>
        </is>
      </c>
      <c r="V2" s="13" t="inlineStr">
        <is>
          <t>Company / reputable press</t>
        </is>
      </c>
      <c r="W2" s="13" t="n"/>
      <c r="X2" s="50" t="n">
        <v>3.81</v>
      </c>
      <c r="Y2" s="50" t="n">
        <v>17</v>
      </c>
      <c r="Z2" s="44" t="n">
        <v>19.12</v>
      </c>
      <c r="AA2" s="43" t="n">
        <v>18.63</v>
      </c>
      <c r="AB2" s="44" t="n">
        <v>4.29</v>
      </c>
      <c r="AC2" s="43" t="n">
        <v>83.03</v>
      </c>
      <c r="AD2" s="13" t="n"/>
      <c r="AE2" s="43" t="n">
        <v>356.3</v>
      </c>
      <c r="AF2" s="13" t="inlineStr">
        <is>
          <t>The company (TAE: ORBI) was acquired by Kratos Defense &amp; Security Solutions (NAS: KTOS) for $356.3 million on March 17, 2026. This acquisition will deepen Kratos Defense &amp; Security Solutions' presence in Israel and expand its reach across global defense and satellite communications markets.</t>
        </is>
      </c>
      <c r="AG2" s="13" t="inlineStr">
        <is>
          <t>Corporate Backed or Acquired</t>
        </is>
      </c>
      <c r="AH2" s="13" t="inlineStr">
        <is>
          <t>Generating Revenue</t>
        </is>
      </c>
      <c r="AI2" s="13" t="inlineStr">
        <is>
          <t>Kratos Defense &amp; Security Solutions (NAS: KTOS) (Eric Demarco)</t>
        </is>
      </c>
      <c r="AJ2" s="13" t="inlineStr">
        <is>
          <t>Telecommunications Service Providers</t>
        </is>
      </c>
      <c r="AK2" s="13" t="inlineStr">
        <is>
          <t>Space Technology, TMT</t>
        </is>
      </c>
      <c r="AL2" s="13" t="inlineStr">
        <is>
          <t>Orbit Technologies Ltd is a provider of airborne communications, satellite-tracking, maritime, ground-station and new space solutions for commercial and government establishments. Its products include Audio Management System, Maritime SATCOM, Airborne Audio Management System, Maritime SATCOM, etc.</t>
        </is>
      </c>
      <c r="AM2" s="13" t="inlineStr">
        <is>
          <t>Netanya, Israel</t>
        </is>
      </c>
      <c r="AN2" s="13" t="inlineStr">
        <is>
          <t>www.orbit-cs-usa.com</t>
        </is>
      </c>
    </row>
    <row r="3" ht="42" customHeight="1">
      <c r="A3" s="18" t="n"/>
      <c r="B3" s="18" t="inlineStr">
        <is>
          <t>Israel</t>
        </is>
      </c>
      <c r="C3" s="18" t="inlineStr">
        <is>
          <t>Israel</t>
        </is>
      </c>
      <c r="D3" s="19" t="inlineStr">
        <is>
          <t>Omnisys</t>
        </is>
      </c>
      <c r="E3" s="19" t="inlineStr">
        <is>
          <t>Ondas Holdings</t>
        </is>
      </c>
      <c r="F3" s="18" t="inlineStr">
        <is>
          <t>USA</t>
        </is>
      </c>
      <c r="G3" s="19" t="n"/>
      <c r="H3" s="45" t="inlineStr">
        <is>
          <t>2026-05-18</t>
        </is>
      </c>
      <c r="I3" s="45" t="n"/>
      <c r="J3" s="46" t="n">
        <v>2026</v>
      </c>
      <c r="K3" s="19" t="inlineStr">
        <is>
          <t>M&amp;A</t>
        </is>
      </c>
      <c r="L3" s="19" t="inlineStr">
        <is>
          <t>Full acquisition / stock deal</t>
        </is>
      </c>
      <c r="M3" s="19" t="inlineStr">
        <is>
          <t>Announced</t>
        </is>
      </c>
      <c r="N3" s="47" t="n">
        <v>200</v>
      </c>
      <c r="O3" s="18" t="inlineStr">
        <is>
          <t>USD</t>
        </is>
      </c>
      <c r="P3" s="19" t="inlineStr">
        <is>
          <t>Software</t>
        </is>
      </c>
      <c r="Q3" s="19" t="inlineStr">
        <is>
          <t>C4I/Mission Software</t>
        </is>
      </c>
      <c r="R3" s="19" t="inlineStr">
        <is>
          <t>Core A&amp;D</t>
        </is>
      </c>
      <c r="S3" s="19" t="inlineStr">
        <is>
          <t>Military mission-planning and operational-optimization software for defense customers.</t>
        </is>
      </c>
      <c r="T3" s="18" t="inlineStr">
        <is>
          <t>Medium-High</t>
        </is>
      </c>
      <c r="U3" s="19" t="inlineStr">
        <is>
          <t>https://www.calcalistech.com/ctechnews/article/skbzd9dkge</t>
        </is>
      </c>
      <c r="V3" s="19" t="inlineStr">
        <is>
          <t>Business press</t>
        </is>
      </c>
      <c r="W3" s="19" t="inlineStr">
        <is>
          <t>Very recent; verify closing when announced.</t>
        </is>
      </c>
      <c r="Z3" s="48" t="n"/>
      <c r="AA3" s="47" t="n"/>
      <c r="AB3" s="48" t="n"/>
      <c r="AC3" s="47" t="n"/>
      <c r="AD3" s="19" t="n"/>
      <c r="AE3" s="47" t="n"/>
      <c r="AF3" s="19" t="n"/>
      <c r="AG3" s="19" t="n"/>
      <c r="AH3" s="19" t="n"/>
      <c r="AI3" s="19" t="n"/>
      <c r="AJ3" s="19" t="n"/>
      <c r="AK3" s="19" t="n"/>
      <c r="AL3" s="19" t="n"/>
      <c r="AM3" s="19" t="n"/>
      <c r="AN3" s="19" t="n"/>
    </row>
    <row r="4" ht="42" customHeight="1">
      <c r="A4" s="12" t="n"/>
      <c r="B4" s="12" t="inlineStr">
        <is>
          <t>Israel</t>
        </is>
      </c>
      <c r="C4" s="12" t="inlineStr">
        <is>
          <t>Israel</t>
        </is>
      </c>
      <c r="D4" s="13" t="inlineStr">
        <is>
          <t>CyberArk</t>
        </is>
      </c>
      <c r="E4" s="13" t="inlineStr">
        <is>
          <t>Palo Alto Networks</t>
        </is>
      </c>
      <c r="F4" s="12" t="inlineStr">
        <is>
          <t>USA</t>
        </is>
      </c>
      <c r="G4" s="13" t="inlineStr">
        <is>
          <t>Public shareholders</t>
        </is>
      </c>
      <c r="H4" s="41" t="inlineStr">
        <is>
          <t>2025-07-30</t>
        </is>
      </c>
      <c r="I4" s="41" t="inlineStr">
        <is>
          <t>Expected FY2026</t>
        </is>
      </c>
      <c r="J4" s="42" t="n">
        <v>2026</v>
      </c>
      <c r="K4" s="13" t="inlineStr">
        <is>
          <t>M&amp;A</t>
        </is>
      </c>
      <c r="L4" s="13" t="inlineStr">
        <is>
          <t>Cash-and-stock acquisition</t>
        </is>
      </c>
      <c r="M4" s="13" t="inlineStr">
        <is>
          <t>Announced</t>
        </is>
      </c>
      <c r="N4" s="43" t="n">
        <v>25000</v>
      </c>
      <c r="O4" s="12" t="inlineStr">
        <is>
          <t>USD</t>
        </is>
      </c>
      <c r="P4" s="13" t="inlineStr">
        <is>
          <t>Software</t>
        </is>
      </c>
      <c r="Q4" s="13" t="inlineStr">
        <is>
          <t>Cybersecurity</t>
        </is>
      </c>
      <c r="R4" s="13" t="inlineStr">
        <is>
          <t>Adjacent cyber-security</t>
        </is>
      </c>
      <c r="S4" s="13" t="inlineStr">
        <is>
          <t>Large Israeli-founded cybersecurity deal; relevant to defense/security landscape but not pure aerospace/defense.</t>
        </is>
      </c>
      <c r="T4" s="12" t="inlineStr">
        <is>
          <t>High</t>
        </is>
      </c>
      <c r="U4" s="13" t="inlineStr">
        <is>
          <t>https://www.reuters.com/world/middle-east/palo-altos-25-billion-deal-cyberark-targets-rising-ai-driven-threats-2025-07-30/?utm_source=chatgpt.com</t>
        </is>
      </c>
      <c r="V4" s="13" t="inlineStr">
        <is>
          <t>Company press release</t>
        </is>
      </c>
      <c r="W4" s="13" t="n"/>
      <c r="Z4" s="44" t="n"/>
      <c r="AA4" s="43" t="n"/>
      <c r="AB4" s="44" t="n"/>
      <c r="AC4" s="43" t="n"/>
      <c r="AD4" s="13" t="n"/>
      <c r="AE4" s="43" t="n"/>
      <c r="AF4" s="13" t="n"/>
      <c r="AG4" s="13" t="n"/>
      <c r="AH4" s="13" t="n"/>
      <c r="AI4" s="13" t="n"/>
      <c r="AJ4" s="13" t="n"/>
      <c r="AK4" s="13" t="n"/>
      <c r="AL4" s="13" t="n"/>
      <c r="AM4" s="13" t="n"/>
      <c r="AN4" s="13" t="n"/>
    </row>
    <row r="5" ht="42" customHeight="1">
      <c r="A5" s="18" t="n"/>
      <c r="B5" s="18" t="inlineStr">
        <is>
          <t>Israel</t>
        </is>
      </c>
      <c r="C5" s="18" t="inlineStr">
        <is>
          <t>Israel</t>
        </is>
      </c>
      <c r="D5" s="19" t="inlineStr">
        <is>
          <t>BIRD Aerosystems</t>
        </is>
      </c>
      <c r="E5" s="19" t="inlineStr">
        <is>
          <t>Ondas Holdings</t>
        </is>
      </c>
      <c r="F5" s="18" t="inlineStr">
        <is>
          <t>USA</t>
        </is>
      </c>
      <c r="G5" s="19" t="inlineStr">
        <is>
          <t>FIMI / shareholders</t>
        </is>
      </c>
      <c r="H5" s="45" t="inlineStr">
        <is>
          <t>2026-03-11</t>
        </is>
      </c>
      <c r="I5" s="45" t="inlineStr">
        <is>
          <t>2026-03-11</t>
        </is>
      </c>
      <c r="J5" s="46" t="n">
        <v>2026</v>
      </c>
      <c r="K5" s="19" t="inlineStr">
        <is>
          <t>M&amp;A</t>
        </is>
      </c>
      <c r="L5" s="19" t="inlineStr">
        <is>
          <t>FULL</t>
        </is>
      </c>
      <c r="M5" s="19" t="inlineStr">
        <is>
          <t>Completed / announced as acquired</t>
        </is>
      </c>
      <c r="N5" s="47" t="n">
        <v>133</v>
      </c>
      <c r="O5" s="18" t="inlineStr">
        <is>
          <t>USD</t>
        </is>
      </c>
      <c r="P5" s="19" t="inlineStr">
        <is>
          <t>Hardware / Software</t>
        </is>
      </c>
      <c r="Q5" s="19" t="inlineStr">
        <is>
          <t>Airborne Systems</t>
        </is>
      </c>
      <c r="R5" s="19" t="inlineStr">
        <is>
          <t>Core A&amp;D</t>
        </is>
      </c>
      <c r="S5" s="19" t="inlineStr">
        <is>
          <t>Adds a true defense / airborne protection transaction, not cyber. Useful for airborne ISR, aircraft protection, and counter-UAS adjacency.</t>
        </is>
      </c>
      <c r="T5" s="18" t="inlineStr">
        <is>
          <t>High</t>
        </is>
      </c>
      <c r="U5" s="19" t="inlineStr">
        <is>
          <t>https://ir.ondas.com/press-releases/detail/289/ondas-acquires-bird-aerosystems-to-expand-airborne-missile</t>
        </is>
      </c>
      <c r="V5" s="19" t="inlineStr">
        <is>
          <t>Company press release + reputable press</t>
        </is>
      </c>
      <c r="W5" s="19" t="inlineStr">
        <is>
          <t>Deal value should be marked as reported by press/source support; keep as supplemental addition.</t>
        </is>
      </c>
      <c r="Z5" s="48" t="n"/>
      <c r="AA5" s="47" t="n"/>
      <c r="AB5" s="48" t="n"/>
      <c r="AC5" s="47" t="n"/>
      <c r="AD5" s="19" t="n"/>
      <c r="AE5" s="47" t="n"/>
      <c r="AF5" s="19" t="inlineStr">
        <is>
          <t>The company was acquired by Ondas (NAS: ONDS) for an undisclosed amount on March 11, 2026.</t>
        </is>
      </c>
      <c r="AG5" s="19" t="inlineStr">
        <is>
          <t>Formerly PE-Backed</t>
        </is>
      </c>
      <c r="AH5" s="19" t="inlineStr">
        <is>
          <t>Generating Revenue</t>
        </is>
      </c>
      <c r="AI5" s="19" t="inlineStr">
        <is>
          <t>Ondas (NAS: ONDS) (Eric Brock)</t>
        </is>
      </c>
      <c r="AJ5" s="19" t="inlineStr">
        <is>
          <t>Air</t>
        </is>
      </c>
      <c r="AK5" s="19" t="inlineStr">
        <is>
          <t>Industrials</t>
        </is>
      </c>
      <c r="AL5" s="19" t="inlineStr">
        <is>
          <t>Provider of airborne missile protection systems and airborne surveillance services for clients in commercial, governmental, military, and transnational organizations. The company's system engages in developing airborne missile protection systems and airborne surveillance, as well as information and observation applications that provide operational analysis, system design, integration, and installation through ground and flight testing, thereby enabling organizations to receive products that would protect them and ensure the security of their assets.</t>
        </is>
      </c>
      <c r="AM5" s="19" t="inlineStr">
        <is>
          <t>Herzliya, Israel</t>
        </is>
      </c>
      <c r="AN5" s="19" t="inlineStr">
        <is>
          <t>www.birdaero.com</t>
        </is>
      </c>
    </row>
    <row r="6" ht="42" customHeight="1">
      <c r="A6" s="12" t="n"/>
      <c r="B6" s="12" t="inlineStr">
        <is>
          <t>Israel</t>
        </is>
      </c>
      <c r="C6" s="12" t="inlineStr">
        <is>
          <t>Israel</t>
        </is>
      </c>
      <c r="D6" s="13" t="inlineStr">
        <is>
          <t>INDO Earth Moving Ltd.</t>
        </is>
      </c>
      <c r="E6" s="13" t="inlineStr">
        <is>
          <t>Ondas Holdings</t>
        </is>
      </c>
      <c r="F6" s="12" t="inlineStr">
        <is>
          <t>USA</t>
        </is>
      </c>
      <c r="G6" s="13" t="inlineStr">
        <is>
          <t>INDO shareholders</t>
        </is>
      </c>
      <c r="H6" s="41" t="inlineStr">
        <is>
          <t>2026-03-17</t>
        </is>
      </c>
      <c r="I6" s="41" t="inlineStr">
        <is>
          <t>2026-03-17</t>
        </is>
      </c>
      <c r="J6" s="42" t="n">
        <v>2026</v>
      </c>
      <c r="K6" s="13" t="inlineStr">
        <is>
          <t>M&amp;A</t>
        </is>
      </c>
      <c r="L6" s="13" t="inlineStr">
        <is>
          <t>FULL</t>
        </is>
      </c>
      <c r="M6" s="13" t="inlineStr">
        <is>
          <t>Completed / announced as acquired</t>
        </is>
      </c>
      <c r="N6" s="43" t="inlineStr">
        <is>
          <t>Not disclosed</t>
        </is>
      </c>
      <c r="O6" s="12" t="inlineStr">
        <is>
          <t>USD</t>
        </is>
      </c>
      <c r="P6" s="13" t="inlineStr">
        <is>
          <t>Hardware / Services</t>
        </is>
      </c>
      <c r="Q6" s="13" t="inlineStr">
        <is>
          <t>Ground/Robotic Systems</t>
        </is>
      </c>
      <c r="R6" s="13" t="inlineStr">
        <is>
          <t>Core A&amp;D / Defense services</t>
        </is>
      </c>
      <c r="S6" s="13" t="inlineStr">
        <is>
          <t>Adds non-cyber ground systems / military engineering exposure. Keep value blank to avoid mistaking program value for deal value.</t>
        </is>
      </c>
      <c r="T6" s="12" t="inlineStr">
        <is>
          <t>High</t>
        </is>
      </c>
      <c r="U6" s="13" t="inlineStr">
        <is>
          <t>https://ir.ondas.com/press-releases/detail/292/ondas-acquires-indo-earth-moving-ltd-following-its-140</t>
        </is>
      </c>
      <c r="V6" s="13" t="inlineStr">
        <is>
          <t>Company press release</t>
        </is>
      </c>
      <c r="W6" s="13" t="inlineStr">
        <is>
          <t>Value not disclosed; do not use contract/program value as acquisition value.</t>
        </is>
      </c>
      <c r="Z6" s="44" t="n"/>
      <c r="AA6" s="43" t="n"/>
      <c r="AB6" s="44" t="n"/>
      <c r="AC6" s="43" t="n"/>
      <c r="AD6" s="13" t="n"/>
      <c r="AE6" s="43" t="n"/>
      <c r="AF6" s="13" t="inlineStr">
        <is>
          <t>The company was acquired by Ondas (NAS: ONDS) for an undisclosed amount on March 17, 2026. The acquisition represents an important step in the Ondas 's strategy to expand its portfolio of advanced autonomous technologies and robotic systems designed for mission-critical defense and infrastructure operations worldwide.</t>
        </is>
      </c>
      <c r="AG6" s="13" t="inlineStr">
        <is>
          <t>Corporate Backed or Acquired</t>
        </is>
      </c>
      <c r="AH6" s="13" t="inlineStr">
        <is>
          <t>Generating Revenue</t>
        </is>
      </c>
      <c r="AI6" s="13" t="inlineStr">
        <is>
          <t>Ondas (NAS: ONDS) (Eric Brock)</t>
        </is>
      </c>
      <c r="AJ6" s="13" t="inlineStr">
        <is>
          <t>Aerospace and Defense</t>
        </is>
      </c>
      <c r="AK6" s="13" t="n"/>
      <c r="AL6" s="13" t="inlineStr">
        <is>
          <t>Provider of heavy engineering equipment procurement and integration services intended to serve military and national infrastructure. The company provides sourcing, engineering integration, testing and lifecycle support of complex platforms and systems.</t>
        </is>
      </c>
      <c r="AM6" s="13" t="inlineStr">
        <is>
          <t>Maale Gilboa, Israel</t>
        </is>
      </c>
      <c r="AN6" s="13" t="n"/>
    </row>
    <row r="7" ht="42" customHeight="1">
      <c r="A7" s="18" t="n"/>
      <c r="B7" s="18" t="inlineStr">
        <is>
          <t>Israel</t>
        </is>
      </c>
      <c r="C7" s="18" t="inlineStr">
        <is>
          <t>Israel</t>
        </is>
      </c>
      <c r="D7" s="19" t="inlineStr">
        <is>
          <t>XTEND</t>
        </is>
      </c>
      <c r="E7" s="19" t="inlineStr">
        <is>
          <t>JFB Construction Holdings</t>
        </is>
      </c>
      <c r="F7" s="18" t="inlineStr">
        <is>
          <t>USA</t>
        </is>
      </c>
      <c r="G7" s="19" t="inlineStr">
        <is>
          <t>XTEND shareholders / JFB</t>
        </is>
      </c>
      <c r="H7" s="45" t="inlineStr">
        <is>
          <t>2026-02-17</t>
        </is>
      </c>
      <c r="I7" s="45" t="inlineStr">
        <is>
          <t>Expected mid-2026</t>
        </is>
      </c>
      <c r="J7" s="46" t="n">
        <v>2026</v>
      </c>
      <c r="K7" s="19" t="inlineStr">
        <is>
          <t>IPO</t>
        </is>
      </c>
      <c r="L7" s="19" t="inlineStr">
        <is>
          <t>OTHER — all-stock merger / public listing</t>
        </is>
      </c>
      <c r="M7" s="19" t="inlineStr">
        <is>
          <t>Announced / expected close</t>
        </is>
      </c>
      <c r="N7" s="47" t="n">
        <v>1500</v>
      </c>
      <c r="O7" s="18" t="inlineStr">
        <is>
          <t>USD</t>
        </is>
      </c>
      <c r="P7" s="19" t="inlineStr">
        <is>
          <t>Hardware / Software</t>
        </is>
      </c>
      <c r="Q7" s="19" t="inlineStr">
        <is>
          <t>UAVs/Autonomous Systems</t>
        </is>
      </c>
      <c r="R7" s="19" t="inlineStr">
        <is>
          <t>Core A&amp;D / Public-market transaction</t>
        </is>
      </c>
      <c r="S7" s="19" t="inlineStr">
        <is>
          <t>Adds a major drone/defense robotics transaction. Treat separately from traditional M&amp;A because it is a merger to take XTEND public.</t>
        </is>
      </c>
      <c r="T7" s="18" t="inlineStr">
        <is>
          <t>High</t>
        </is>
      </c>
      <c r="U7" s="19" t="inlineStr">
        <is>
          <t>https://www.reuters.com/business/aerospace-defense/eric-trump-invests-israeli-drone-maker-xtends-merger-with-florida-construction-2026-02-17/</t>
        </is>
      </c>
      <c r="V7" s="19" t="inlineStr">
        <is>
          <t>Reuters / reputable press</t>
        </is>
      </c>
      <c r="W7" s="19" t="inlineStr">
        <is>
          <t>Not classic M&amp;A; classify as Other / public-market business combination.</t>
        </is>
      </c>
      <c r="Z7" s="48" t="n"/>
      <c r="AA7" s="47" t="n"/>
      <c r="AB7" s="48" t="n"/>
      <c r="AC7" s="47" t="n"/>
      <c r="AD7" s="19" t="n"/>
      <c r="AE7" s="47" t="n"/>
      <c r="AF7" s="19" t="n"/>
      <c r="AG7" s="19" t="n"/>
      <c r="AH7" s="19" t="n"/>
      <c r="AI7" s="19" t="n"/>
      <c r="AJ7" s="19" t="n"/>
      <c r="AK7" s="19" t="n"/>
      <c r="AL7" s="19" t="n"/>
      <c r="AM7" s="19" t="n"/>
      <c r="AN7" s="19" t="n"/>
    </row>
    <row r="8" ht="42" customHeight="1">
      <c r="A8" s="12" t="n"/>
      <c r="B8" s="12" t="inlineStr">
        <is>
          <t>Israel</t>
        </is>
      </c>
      <c r="C8" s="12" t="inlineStr">
        <is>
          <t>Israel</t>
        </is>
      </c>
      <c r="D8" s="13" t="inlineStr">
        <is>
          <t>Nimbus Drones Technologies and Marketing Ltd.</t>
        </is>
      </c>
      <c r="E8" s="13" t="inlineStr">
        <is>
          <t>Nukkleus Inc.</t>
        </is>
      </c>
      <c r="F8" s="12" t="inlineStr">
        <is>
          <t>USA</t>
        </is>
      </c>
      <c r="G8" s="13" t="inlineStr">
        <is>
          <t>Elad Defense LLC</t>
        </is>
      </c>
      <c r="H8" s="41" t="inlineStr">
        <is>
          <t>2026-01-15</t>
        </is>
      </c>
      <c r="I8" s="41" t="inlineStr">
        <is>
          <t>2026-01-15</t>
        </is>
      </c>
      <c r="J8" s="42" t="n">
        <v>2026</v>
      </c>
      <c r="K8" s="13" t="inlineStr">
        <is>
          <t>M&amp;A</t>
        </is>
      </c>
      <c r="L8" s="13" t="inlineStr">
        <is>
          <t>FULL</t>
        </is>
      </c>
      <c r="M8" s="13" t="inlineStr">
        <is>
          <t>Completed at signing</t>
        </is>
      </c>
      <c r="N8" s="43" t="n">
        <v>3.25</v>
      </c>
      <c r="O8" s="12" t="inlineStr">
        <is>
          <t>USD</t>
        </is>
      </c>
      <c r="P8" s="13" t="inlineStr">
        <is>
          <t>Hardware / Services</t>
        </is>
      </c>
      <c r="Q8" s="13" t="inlineStr">
        <is>
          <t>UAVs/Autonomous Systems</t>
        </is>
      </c>
      <c r="R8" s="13" t="inlineStr">
        <is>
          <t>Core A&amp;D / UAV &amp; Counter-UAS</t>
        </is>
      </c>
      <c r="S8" s="13" t="inlineStr">
        <is>
          <t>Adds a small but very relevant Israeli UAV/counter-UAS acquisition with contract-level source details.</t>
        </is>
      </c>
      <c r="T8" s="12" t="inlineStr">
        <is>
          <t>High</t>
        </is>
      </c>
      <c r="U8" s="13" t="inlineStr">
        <is>
          <t>https://contracts.justia.com/companies/brilliant-acquisition-corp-10112/contract/1353910/</t>
        </is>
      </c>
      <c r="V8" s="13" t="inlineStr">
        <is>
          <t>Legal contract / transaction agreement</t>
        </is>
      </c>
      <c r="W8" s="13" t="inlineStr">
        <is>
          <t>Keep value blank unless consideration is clearly stated in agreement.</t>
        </is>
      </c>
      <c r="Z8" s="44" t="n"/>
      <c r="AA8" s="43" t="n"/>
      <c r="AB8" s="44" t="n"/>
      <c r="AC8" s="43" t="n">
        <v>0.9399999999999999</v>
      </c>
      <c r="AD8" s="13" t="n"/>
      <c r="AE8" s="43" t="n"/>
      <c r="AF8" s="13" t="inlineStr">
        <is>
          <t>The company was acquired by Nukkleus (NAS: NUKK) for an undisclosed amount on January 16, 2026. The acquisition helps Nukkleus strengthen its defense technology portfolio.</t>
        </is>
      </c>
      <c r="AG8" s="13" t="inlineStr">
        <is>
          <t>Corporate Backed or Acquired</t>
        </is>
      </c>
      <c r="AH8" s="13" t="inlineStr">
        <is>
          <t>Generating Revenue</t>
        </is>
      </c>
      <c r="AI8" s="13" t="inlineStr">
        <is>
          <t>T3 Defense (NAS: DFNS)</t>
        </is>
      </c>
      <c r="AJ8" s="13" t="inlineStr">
        <is>
          <t>Aerospace and Defense</t>
        </is>
      </c>
      <c r="AK8" s="13" t="n"/>
      <c r="AL8" s="13" t="inlineStr">
        <is>
          <t>Provider of unmanned aerial vehicle services intended to serve defense and military organizations, public sector agencies, commercial industries, and agricultural clients. The company offers a range of services, including drone and repair laboratory operations, enterprise and consumer unmanned aerial vehicles, mapping and surveying, including orthophotos and three-dimensional models, aerial photography, red-team simulation for defense exercises, licensed drone training and certification, and counter-unmanned aerial systems research and development.</t>
        </is>
      </c>
      <c r="AM8" s="13" t="inlineStr">
        <is>
          <t>Netanya, Israel</t>
        </is>
      </c>
      <c r="AN8" s="13" t="inlineStr">
        <is>
          <t>nimbusd.co.il</t>
        </is>
      </c>
    </row>
    <row r="9" ht="42" customHeight="1">
      <c r="A9" s="18" t="n"/>
      <c r="B9" s="18" t="inlineStr">
        <is>
          <t>Israel</t>
        </is>
      </c>
      <c r="C9" s="18" t="inlineStr">
        <is>
          <t>Israel</t>
        </is>
      </c>
      <c r="D9" s="19" t="inlineStr">
        <is>
          <t>Aero Sol Aviation Solutions Ltd.</t>
        </is>
      </c>
      <c r="E9" s="19" t="inlineStr">
        <is>
          <t>Veloryx</t>
        </is>
      </c>
      <c r="F9" s="18" t="inlineStr">
        <is>
          <t>Israel</t>
        </is>
      </c>
      <c r="G9" s="19" t="inlineStr">
        <is>
          <t>Aero Sol shareholders</t>
        </is>
      </c>
      <c r="H9" s="45" t="inlineStr">
        <is>
          <t>2026-03-15</t>
        </is>
      </c>
      <c r="I9" s="45" t="inlineStr">
        <is>
          <t>Targeted April 2026 / pending binding agreement</t>
        </is>
      </c>
      <c r="J9" s="46" t="n">
        <v>2026</v>
      </c>
      <c r="K9" s="19" t="inlineStr">
        <is>
          <t>M&amp;A / Majority stake</t>
        </is>
      </c>
      <c r="L9" s="19" t="inlineStr">
        <is>
          <t>Proposed 70% controlling stake</t>
        </is>
      </c>
      <c r="M9" s="19" t="inlineStr">
        <is>
          <t>Advanced negotiations / pending</t>
        </is>
      </c>
      <c r="N9" s="47" t="n">
        <v>9.4</v>
      </c>
      <c r="O9" s="18" t="inlineStr">
        <is>
          <t>USD</t>
        </is>
      </c>
      <c r="P9" s="19" t="inlineStr">
        <is>
          <t>Hardware / Software</t>
        </is>
      </c>
      <c r="Q9" s="19" t="inlineStr">
        <is>
          <t>UAVs/Autonomous Systems</t>
        </is>
      </c>
      <c r="R9" s="19" t="inlineStr">
        <is>
          <t>Core/Adjacent A&amp;D — Pending</t>
        </is>
      </c>
      <c r="S9" s="19" t="inlineStr">
        <is>
          <t>Interesting non-cyber Israeli drone/control-stake transaction, but mark pending until binding agreement/closing is confirmed.</t>
        </is>
      </c>
      <c r="T9" s="18" t="inlineStr">
        <is>
          <t>Medium</t>
        </is>
      </c>
      <c r="U9" s="19" t="inlineStr">
        <is>
          <t>https://www.jpost.com/defense-and-tech/article-889954</t>
        </is>
      </c>
      <c r="V9" s="19" t="inlineStr">
        <is>
          <t>Reputable press</t>
        </is>
      </c>
      <c r="W9" s="19" t="inlineStr">
        <is>
          <t>Pending / advanced negotiations; do not count as completed M&amp;A.</t>
        </is>
      </c>
      <c r="Z9" s="48" t="n"/>
      <c r="AA9" s="47" t="n"/>
      <c r="AB9" s="48" t="n"/>
      <c r="AC9" s="47" t="n"/>
      <c r="AD9" s="19" t="n"/>
      <c r="AE9" s="47" t="n"/>
      <c r="AF9" s="19" t="n"/>
      <c r="AG9" s="19" t="n"/>
      <c r="AH9" s="19" t="n"/>
      <c r="AI9" s="19" t="n"/>
      <c r="AJ9" s="19" t="n"/>
      <c r="AK9" s="19" t="n"/>
      <c r="AL9" s="19" t="n"/>
      <c r="AM9" s="19" t="n"/>
      <c r="AN9" s="19" t="n"/>
    </row>
    <row r="10" ht="42" customHeight="1">
      <c r="A10" s="12" t="n"/>
      <c r="B10" s="12" t="inlineStr">
        <is>
          <t>Israel</t>
        </is>
      </c>
      <c r="C10" s="12" t="inlineStr">
        <is>
          <t>Israel</t>
        </is>
      </c>
      <c r="D10" s="13" t="inlineStr">
        <is>
          <t>Sentry CS / Sentrycs</t>
        </is>
      </c>
      <c r="E10" s="13" t="inlineStr">
        <is>
          <t>Ondas Holdings</t>
        </is>
      </c>
      <c r="F10" s="12" t="inlineStr">
        <is>
          <t>USA</t>
        </is>
      </c>
      <c r="G10" s="13" t="n"/>
      <c r="H10" s="41" t="inlineStr">
        <is>
          <t>2025-11-04</t>
        </is>
      </c>
      <c r="I10" s="41" t="inlineStr">
        <is>
          <t>2025-11-29</t>
        </is>
      </c>
      <c r="J10" s="42" t="n">
        <v>2025</v>
      </c>
      <c r="K10" s="13" t="inlineStr">
        <is>
          <t>M&amp;A</t>
        </is>
      </c>
      <c r="L10" s="13" t="inlineStr">
        <is>
          <t>Full acquisition</t>
        </is>
      </c>
      <c r="M10" s="13" t="inlineStr">
        <is>
          <t>Completed</t>
        </is>
      </c>
      <c r="N10" s="43" t="n">
        <v>224.6</v>
      </c>
      <c r="O10" s="12" t="inlineStr">
        <is>
          <t>USD</t>
        </is>
      </c>
      <c r="P10" s="13" t="inlineStr">
        <is>
          <t>Software/Hardware</t>
        </is>
      </c>
      <c r="Q10" s="13" t="inlineStr">
        <is>
          <t>UAVs/Autonomous Systems</t>
        </is>
      </c>
      <c r="R10" s="13" t="inlineStr">
        <is>
          <t>Core A&amp;D</t>
        </is>
      </c>
      <c r="S10" s="13" t="inlineStr">
        <is>
          <t>Counter-drone detection and mitigation for defense, homeland security, airports, and critical infrastructure.</t>
        </is>
      </c>
      <c r="T10" s="12" t="inlineStr">
        <is>
          <t>High</t>
        </is>
      </c>
      <c r="U10" s="13" t="inlineStr">
        <is>
          <t>https://ir.ondas.com/press-releases/detail/251/ondas-to-acquire-sentrycs-a-global-leader-in-counter-uas</t>
        </is>
      </c>
      <c r="V10" s="13" t="inlineStr">
        <is>
          <t>Company / reputable press</t>
        </is>
      </c>
      <c r="W10" s="13" t="n"/>
      <c r="Z10" s="44" t="n"/>
      <c r="AA10" s="43" t="n"/>
      <c r="AB10" s="44" t="n">
        <v>20.99</v>
      </c>
      <c r="AC10" s="43" t="n">
        <v>10.7</v>
      </c>
      <c r="AD10" s="13" t="n"/>
      <c r="AE10" s="43" t="n">
        <v>224.6</v>
      </c>
      <c r="AF10" s="13" t="inlineStr">
        <is>
          <t>The company was acquired by Ondas Holdings (NAS: ONDS) for $224.6 million on November 17, 2025.</t>
        </is>
      </c>
      <c r="AG10" s="13" t="inlineStr">
        <is>
          <t>Formerly PE-Backed</t>
        </is>
      </c>
      <c r="AH10" s="13" t="inlineStr">
        <is>
          <t>Generating Revenue</t>
        </is>
      </c>
      <c r="AI10" s="13" t="inlineStr">
        <is>
          <t>Ondas (NAS: ONDS) (Eric Brock)</t>
        </is>
      </c>
      <c r="AJ10" s="13" t="inlineStr">
        <is>
          <t>Aerospace and Defense</t>
        </is>
      </c>
      <c r="AK10" s="13" t="inlineStr">
        <is>
          <t>Manufacturing, Robotics and Drones</t>
        </is>
      </c>
      <c r="AL10" s="13" t="inlineStr">
        <is>
          <t>Manufacturer of autonomous counter-drone systems designed to safeguard defense forces, public safety agencies and critical infrastructure from unauthorized aerial threats. The company develops protocol manipulation-based technology that detects, identifies, tracks and safely mitigates rogue drones without interference or collateral damage, enabling clients to secure their airspace.</t>
        </is>
      </c>
      <c r="AM10" s="13" t="inlineStr">
        <is>
          <t>Tel Aviv, Israel</t>
        </is>
      </c>
      <c r="AN10" s="13" t="inlineStr">
        <is>
          <t>www.sentrycs.com</t>
        </is>
      </c>
    </row>
    <row r="11" ht="42" customHeight="1">
      <c r="A11" s="18" t="n"/>
      <c r="B11" s="18" t="inlineStr">
        <is>
          <t>Israel</t>
        </is>
      </c>
      <c r="C11" s="18" t="inlineStr">
        <is>
          <t>Israel</t>
        </is>
      </c>
      <c r="D11" s="19" t="inlineStr">
        <is>
          <t>Roboteam</t>
        </is>
      </c>
      <c r="E11" s="19" t="inlineStr">
        <is>
          <t>Ondas Holdings</t>
        </is>
      </c>
      <c r="F11" s="18" t="inlineStr">
        <is>
          <t>USA</t>
        </is>
      </c>
      <c r="G11" s="19" t="n"/>
      <c r="H11" s="45" t="inlineStr">
        <is>
          <t>2025-11-25</t>
        </is>
      </c>
      <c r="I11" s="45" t="inlineStr">
        <is>
          <t>2025-12-17</t>
        </is>
      </c>
      <c r="J11" s="46" t="n">
        <v>2025</v>
      </c>
      <c r="K11" s="19" t="inlineStr">
        <is>
          <t>M&amp;A</t>
        </is>
      </c>
      <c r="L11" s="19" t="inlineStr">
        <is>
          <t>Full acquisition</t>
        </is>
      </c>
      <c r="M11" s="19" t="inlineStr">
        <is>
          <t>Completed</t>
        </is>
      </c>
      <c r="N11" s="47" t="n">
        <v>81.7</v>
      </c>
      <c r="O11" s="18" t="inlineStr">
        <is>
          <t>USD</t>
        </is>
      </c>
      <c r="P11" s="19" t="inlineStr">
        <is>
          <t>Hardware</t>
        </is>
      </c>
      <c r="Q11" s="19" t="inlineStr">
        <is>
          <t>Ground/Robotic Systems</t>
        </is>
      </c>
      <c r="R11" s="19" t="inlineStr">
        <is>
          <t>Core A&amp;D</t>
        </is>
      </c>
      <c r="S11" s="19" t="inlineStr">
        <is>
          <t>Unmanned ground vehicles for military, EOD, ISR, and hazardous missions.</t>
        </is>
      </c>
      <c r="T11" s="18" t="inlineStr">
        <is>
          <t>High</t>
        </is>
      </c>
      <c r="U11" s="19" t="inlineStr">
        <is>
          <t>https://ir.ondas.com/press-releases/detail/264/ondas-completes-acquisition-of-roboteam-a-global-leader-in</t>
        </is>
      </c>
      <c r="V11" s="19" t="inlineStr">
        <is>
          <t>Company / reputable press</t>
        </is>
      </c>
      <c r="W11" s="19" t="n"/>
      <c r="Z11" s="48" t="n"/>
      <c r="AA11" s="47" t="n"/>
      <c r="AB11" s="48" t="n"/>
      <c r="AC11" s="47" t="n"/>
      <c r="AD11" s="19" t="n"/>
      <c r="AE11" s="47" t="n"/>
      <c r="AF11" s="19" t="inlineStr">
        <is>
          <t>The company was acquired by Ondas Holdings (NAS: ONDS) for an undisclosed amount on December 17, 2025.</t>
        </is>
      </c>
      <c r="AG11" s="19" t="inlineStr">
        <is>
          <t>Formerly VC-backed</t>
        </is>
      </c>
      <c r="AH11" s="19" t="inlineStr">
        <is>
          <t>Generating Revenue</t>
        </is>
      </c>
      <c r="AI11" s="19" t="inlineStr">
        <is>
          <t>Ondas (NAS: ONDS) (Eric Brock)</t>
        </is>
      </c>
      <c r="AJ11" s="19" t="inlineStr">
        <is>
          <t>Aerospace and Defense</t>
        </is>
      </c>
      <c r="AK11" s="19" t="inlineStr">
        <is>
          <t>Advanced Manufacturing, Robotics and Drones</t>
        </is>
      </c>
      <c r="AL11" s="19" t="inlineStr">
        <is>
          <t>Developer of human-driven robot technology designed to offer tactical ground robotic systems. The company's technology designs, develops, and manufactures remote-controlled unmanned UGVs for defense, law enforcement, and public safety missions, enabling militants to get robots that address real human needs and save lives.</t>
        </is>
      </c>
      <c r="AM11" s="19" t="inlineStr">
        <is>
          <t>Petah Tikva, Israel</t>
        </is>
      </c>
      <c r="AN11" s="19" t="inlineStr">
        <is>
          <t>www.robo-team.com</t>
        </is>
      </c>
    </row>
    <row r="12" ht="42" customHeight="1">
      <c r="A12" s="12" t="n"/>
      <c r="B12" s="12" t="inlineStr">
        <is>
          <t>Israel</t>
        </is>
      </c>
      <c r="C12" s="12" t="inlineStr">
        <is>
          <t>Israel</t>
        </is>
      </c>
      <c r="D12" s="13" t="inlineStr">
        <is>
          <t>SpearUAV</t>
        </is>
      </c>
      <c r="E12" s="13" t="inlineStr">
        <is>
          <t>UVision Air</t>
        </is>
      </c>
      <c r="F12" s="12" t="inlineStr">
        <is>
          <t>Israel</t>
        </is>
      </c>
      <c r="G12" s="13" t="n"/>
      <c r="H12" s="41" t="inlineStr">
        <is>
          <t>2025-12-08</t>
        </is>
      </c>
      <c r="I12" s="41" t="n"/>
      <c r="J12" s="42" t="n">
        <v>2025</v>
      </c>
      <c r="K12" s="13" t="inlineStr">
        <is>
          <t>M&amp;A</t>
        </is>
      </c>
      <c r="L12" s="13" t="inlineStr">
        <is>
          <t>Acquisition</t>
        </is>
      </c>
      <c r="M12" s="13" t="inlineStr">
        <is>
          <t>Announced / reported</t>
        </is>
      </c>
      <c r="N12" s="43" t="inlineStr">
        <is>
          <t>Not disclosed</t>
        </is>
      </c>
      <c r="O12" s="12" t="inlineStr">
        <is>
          <t>USD</t>
        </is>
      </c>
      <c r="P12" s="13" t="inlineStr">
        <is>
          <t>Hardware</t>
        </is>
      </c>
      <c r="Q12" s="13" t="inlineStr">
        <is>
          <t>UAVs/Autonomous Systems</t>
        </is>
      </c>
      <c r="R12" s="13" t="inlineStr">
        <is>
          <t>Core A&amp;D</t>
        </is>
      </c>
      <c r="S12" s="13" t="inlineStr">
        <is>
          <t>Capsule-launched tactical drones/loitering systems; directly defense-relevant.</t>
        </is>
      </c>
      <c r="T12" s="12" t="inlineStr">
        <is>
          <t>Medium-High</t>
        </is>
      </c>
      <c r="U12" s="13" t="inlineStr">
        <is>
          <t>https://www.globes.co.il/news/article.aspx?did=1001528671</t>
        </is>
      </c>
      <c r="V12" s="13" t="inlineStr">
        <is>
          <t>Business press</t>
        </is>
      </c>
      <c r="W12" s="13" t="inlineStr">
        <is>
          <t>Value undisclosed in public reporting.</t>
        </is>
      </c>
      <c r="Z12" s="44" t="n"/>
      <c r="AA12" s="43" t="n"/>
      <c r="AB12" s="44" t="n"/>
      <c r="AC12" s="43" t="n"/>
      <c r="AD12" s="13" t="n"/>
      <c r="AE12" s="43" t="n"/>
      <c r="AF12" s="13" t="inlineStr">
        <is>
          <t>The company was acquired by UVision for an undisclosed amount on November 26, 2025. The acquistion will help the company to sets a precedent for the integration of cutting-edge technologies in defense applications.</t>
        </is>
      </c>
      <c r="AG12" s="13" t="inlineStr">
        <is>
          <t>Formerly VC-backed</t>
        </is>
      </c>
      <c r="AH12" s="13" t="inlineStr">
        <is>
          <t>Generating Revenue</t>
        </is>
      </c>
      <c r="AI12" s="13" t="inlineStr">
        <is>
          <t>UVision Air (Ran Gozali)</t>
        </is>
      </c>
      <c r="AJ12" s="13" t="inlineStr">
        <is>
          <t>Aerospace and Defense</t>
        </is>
      </c>
      <c r="AK12" s="13" t="inlineStr">
        <is>
          <t>Artificial Intelligence &amp; Machine Learning, Industrials, Robotics and Drones</t>
        </is>
      </c>
      <c r="AL12" s="13" t="inlineStr">
        <is>
          <t>Developer of encapsulated aerial weapon systems designed to support maneuvering forces across land, air, and sea operations. The company platform offers AI-enabled personal aerial weapon systems, autonomous or manually controlled deployment options, integration with manned and unmanned vehicles, mesh networking for shared intelligence, and capabilities for instant intelligence, surveillance, reconnaissance, and precision attack missions, providing military organizations and government defense agencies with enhanced battlefield effectiveness, improved operational flexibility, and greater tactical advantage in complex combat environments.</t>
        </is>
      </c>
      <c r="AM12" s="13" t="inlineStr">
        <is>
          <t>Tel Aviv, Israel</t>
        </is>
      </c>
      <c r="AN12" s="13" t="inlineStr">
        <is>
          <t>www.spearuav.com</t>
        </is>
      </c>
    </row>
    <row r="13" ht="42" customHeight="1">
      <c r="A13" s="18" t="n"/>
      <c r="B13" s="18" t="inlineStr">
        <is>
          <t>Israel</t>
        </is>
      </c>
      <c r="C13" s="18" t="inlineStr">
        <is>
          <t>Israel-founded / USA</t>
        </is>
      </c>
      <c r="D13" s="19" t="inlineStr">
        <is>
          <t>Wiz</t>
        </is>
      </c>
      <c r="E13" s="19" t="inlineStr">
        <is>
          <t>Google / Alphabet</t>
        </is>
      </c>
      <c r="F13" s="18" t="inlineStr">
        <is>
          <t>USA</t>
        </is>
      </c>
      <c r="G13" s="19" t="n"/>
      <c r="H13" s="45" t="inlineStr">
        <is>
          <t>2025-03-18</t>
        </is>
      </c>
      <c r="I13" s="45" t="inlineStr">
        <is>
          <t>Pending / approvals</t>
        </is>
      </c>
      <c r="J13" s="46" t="n">
        <v>2025</v>
      </c>
      <c r="K13" s="19" t="inlineStr">
        <is>
          <t>M&amp;A</t>
        </is>
      </c>
      <c r="L13" s="19" t="inlineStr">
        <is>
          <t>Full acquisition</t>
        </is>
      </c>
      <c r="M13" s="19" t="inlineStr">
        <is>
          <t>Announced</t>
        </is>
      </c>
      <c r="N13" s="47" t="n">
        <v>32000</v>
      </c>
      <c r="O13" s="18" t="inlineStr">
        <is>
          <t>USD</t>
        </is>
      </c>
      <c r="P13" s="19" t="inlineStr">
        <is>
          <t>Software</t>
        </is>
      </c>
      <c r="Q13" s="19" t="inlineStr">
        <is>
          <t>Cybersecurity</t>
        </is>
      </c>
      <c r="R13" s="19" t="inlineStr">
        <is>
          <t>Adjacent cyber-security</t>
        </is>
      </c>
      <c r="S13" s="19" t="inlineStr">
        <is>
          <t>Israeli-founded cloud security company; relevant as dual-use cyber/security consolidation, not core A&amp;D.</t>
        </is>
      </c>
      <c r="T13" s="18" t="inlineStr">
        <is>
          <t>High</t>
        </is>
      </c>
      <c r="U13" s="19" t="inlineStr">
        <is>
          <t>https://blog.google/company-news/inside-google/company-announcements/google-agreement-acquire-wiz/?utm_source=chatgpt.com</t>
        </is>
      </c>
      <c r="V13" s="19" t="inlineStr">
        <is>
          <t>Company press release</t>
        </is>
      </c>
      <c r="W13" s="19" t="n"/>
      <c r="Z13" s="48" t="n"/>
      <c r="AA13" s="47" t="n"/>
      <c r="AB13" s="48" t="n"/>
      <c r="AC13" s="47" t="n"/>
      <c r="AD13" s="19" t="n"/>
      <c r="AE13" s="47" t="n"/>
      <c r="AF13" s="19" t="n"/>
      <c r="AG13" s="19" t="n"/>
      <c r="AH13" s="19" t="n"/>
      <c r="AI13" s="19" t="n"/>
      <c r="AJ13" s="19" t="n"/>
      <c r="AK13" s="19" t="n"/>
      <c r="AL13" s="19" t="n"/>
      <c r="AM13" s="19" t="n"/>
      <c r="AN13" s="19" t="n"/>
    </row>
    <row r="14" ht="42" customHeight="1">
      <c r="A14" s="12" t="n"/>
      <c r="B14" s="12" t="inlineStr">
        <is>
          <t>Israel</t>
        </is>
      </c>
      <c r="C14" s="12" t="inlineStr">
        <is>
          <t>Israel</t>
        </is>
      </c>
      <c r="D14" s="13" t="inlineStr">
        <is>
          <t>ThirdEye Systems</t>
        </is>
      </c>
      <c r="E14" s="13" t="inlineStr">
        <is>
          <t>EDGE Group</t>
        </is>
      </c>
      <c r="F14" s="12" t="inlineStr">
        <is>
          <t>UAE</t>
        </is>
      </c>
      <c r="G14" s="13" t="inlineStr">
        <is>
          <t>Public / existing shareholders</t>
        </is>
      </c>
      <c r="H14" s="41" t="inlineStr">
        <is>
          <t>2025-01-28</t>
        </is>
      </c>
      <c r="I14" s="41" t="inlineStr">
        <is>
          <t>Pending shareholder approvals / JV setup</t>
        </is>
      </c>
      <c r="J14" s="42" t="n">
        <v>2025</v>
      </c>
      <c r="K14" s="13" t="inlineStr">
        <is>
          <t>M&amp;A</t>
        </is>
      </c>
      <c r="L14" s="13" t="inlineStr">
        <is>
          <t>MINORITY — 30% stake + JV</t>
        </is>
      </c>
      <c r="M14" s="13" t="inlineStr">
        <is>
          <t>Announced</t>
        </is>
      </c>
      <c r="N14" s="43" t="n">
        <v>10.3</v>
      </c>
      <c r="O14" s="12" t="inlineStr">
        <is>
          <t>USD</t>
        </is>
      </c>
      <c r="P14" s="13" t="inlineStr">
        <is>
          <t>Hardware / Software</t>
        </is>
      </c>
      <c r="Q14" s="13" t="inlineStr">
        <is>
          <t>Defense Electronics/Sensors</t>
        </is>
      </c>
      <c r="R14" s="13" t="inlineStr">
        <is>
          <t>Core A&amp;D / Defense-electronics adjacent</t>
        </is>
      </c>
      <c r="S14" s="13" t="inlineStr">
        <is>
          <t>Adds a rare non-US strategic defense investment into Israeli counter-drone / EO detection technology.</t>
        </is>
      </c>
      <c r="T14" s="12" t="inlineStr">
        <is>
          <t>Medium-High</t>
        </is>
      </c>
      <c r="U14" s="13" t="inlineStr">
        <is>
          <t>https://www.calcalistech.com/ctechnews/article/t0k36tepz</t>
        </is>
      </c>
      <c r="V14" s="13" t="inlineStr">
        <is>
          <t>Reputable press</t>
        </is>
      </c>
      <c r="W14" s="13" t="inlineStr">
        <is>
          <t>Minority investment; do not count as full acquisition.</t>
        </is>
      </c>
      <c r="Z14" s="44" t="n"/>
      <c r="AA14" s="43" t="n"/>
      <c r="AB14" s="44" t="n"/>
      <c r="AC14" s="43" t="n"/>
      <c r="AD14" s="13" t="n"/>
      <c r="AE14" s="43" t="n"/>
      <c r="AF14" s="13" t="n"/>
      <c r="AG14" s="13" t="n"/>
      <c r="AH14" s="13" t="n"/>
      <c r="AI14" s="13" t="n"/>
      <c r="AJ14" s="13" t="n"/>
      <c r="AK14" s="13" t="n"/>
      <c r="AL14" s="13" t="n"/>
      <c r="AM14" s="13" t="n"/>
      <c r="AN14" s="13" t="n"/>
    </row>
    <row r="15" ht="42" customHeight="1">
      <c r="A15" s="18" t="n"/>
      <c r="B15" s="18" t="inlineStr">
        <is>
          <t>Israel</t>
        </is>
      </c>
      <c r="C15" s="18" t="inlineStr">
        <is>
          <t>Israel</t>
        </is>
      </c>
      <c r="D15" s="19" t="inlineStr">
        <is>
          <t>Gadfin Aero-Logistics Systems</t>
        </is>
      </c>
      <c r="E15" s="19" t="inlineStr">
        <is>
          <t>Israel Acquisitions Corp.</t>
        </is>
      </c>
      <c r="F15" s="18" t="inlineStr">
        <is>
          <t>USA / Israel SPAC</t>
        </is>
      </c>
      <c r="G15" s="19" t="inlineStr">
        <is>
          <t>Gadfin shareholders / SPAC shareholders</t>
        </is>
      </c>
      <c r="H15" s="45" t="inlineStr">
        <is>
          <t>2025-01-27</t>
        </is>
      </c>
      <c r="I15" s="45" t="inlineStr">
        <is>
          <t>Expected H2 2025 / subject to approvals</t>
        </is>
      </c>
      <c r="J15" s="46" t="n">
        <v>2025</v>
      </c>
      <c r="K15" s="19" t="inlineStr">
        <is>
          <t>M&amp;A</t>
        </is>
      </c>
      <c r="L15" s="19" t="inlineStr">
        <is>
          <t>OTHER — SPAC / business combination</t>
        </is>
      </c>
      <c r="M15" s="19" t="inlineStr">
        <is>
          <t>Announced / pending approvals</t>
        </is>
      </c>
      <c r="N15" s="47" t="n">
        <v>200</v>
      </c>
      <c r="O15" s="18" t="inlineStr">
        <is>
          <t>USD</t>
        </is>
      </c>
      <c r="P15" s="19" t="inlineStr">
        <is>
          <t>Hardware / Software</t>
        </is>
      </c>
      <c r="Q15" s="19" t="inlineStr">
        <is>
          <t>UAVs/Autonomous Systems</t>
        </is>
      </c>
      <c r="R15" s="19" t="inlineStr">
        <is>
          <t>Aerospace / UAV-adjacent, not pure defense</t>
        </is>
      </c>
      <c r="S15" s="19" t="inlineStr">
        <is>
          <t>Good supplemental aerospace/UAV row, but classify separately because it is a SPAC-style business combination and not a classic defense acquisition.</t>
        </is>
      </c>
      <c r="T15" s="18" t="inlineStr">
        <is>
          <t>Medium-High</t>
        </is>
      </c>
      <c r="U15" s="19" t="inlineStr">
        <is>
          <t>https://www.unmannedsystemstechnology.com/2025/02/business-combination-agreement-to-improve-drone-delivery/</t>
        </is>
      </c>
      <c r="V15" s="19" t="inlineStr">
        <is>
          <t>Industry press / business-combination announcement</t>
        </is>
      </c>
      <c r="W15" s="19" t="inlineStr">
        <is>
          <t>Treat as aerospace/UAV-adjacent and separate from classic M&amp;A counts.</t>
        </is>
      </c>
      <c r="Z15" s="48" t="n"/>
      <c r="AA15" s="47" t="n"/>
      <c r="AB15" s="48" t="n"/>
      <c r="AC15" s="47" t="n"/>
      <c r="AD15" s="19" t="n"/>
      <c r="AE15" s="47" t="n"/>
      <c r="AF15" s="19" t="n"/>
      <c r="AG15" s="19" t="n"/>
      <c r="AH15" s="19" t="n"/>
      <c r="AI15" s="19" t="n"/>
      <c r="AJ15" s="19" t="n"/>
      <c r="AK15" s="19" t="n"/>
      <c r="AL15" s="19" t="n"/>
      <c r="AM15" s="19" t="n"/>
      <c r="AN15" s="19" t="n"/>
    </row>
    <row r="16" ht="42" customHeight="1">
      <c r="A16" s="12" t="n"/>
      <c r="B16" s="12" t="inlineStr">
        <is>
          <t>Israel</t>
        </is>
      </c>
      <c r="C16" s="12" t="inlineStr">
        <is>
          <t>USA</t>
        </is>
      </c>
      <c r="D16" s="13" t="inlineStr">
        <is>
          <t>Stellar Blu Solutions</t>
        </is>
      </c>
      <c r="E16" s="13" t="inlineStr">
        <is>
          <t>Gilat Satellite Networks</t>
        </is>
      </c>
      <c r="F16" s="12" t="inlineStr">
        <is>
          <t>Israel</t>
        </is>
      </c>
      <c r="G16" s="13" t="n"/>
      <c r="H16" s="41" t="inlineStr">
        <is>
          <t>2024-06-17</t>
        </is>
      </c>
      <c r="I16" s="41" t="inlineStr">
        <is>
          <t>2024-09-18</t>
        </is>
      </c>
      <c r="J16" s="42" t="n">
        <v>2024</v>
      </c>
      <c r="K16" s="13" t="inlineStr">
        <is>
          <t>M&amp;A</t>
        </is>
      </c>
      <c r="L16" s="13" t="inlineStr">
        <is>
          <t>Full acquisition</t>
        </is>
      </c>
      <c r="M16" s="13" t="inlineStr">
        <is>
          <t>Completed</t>
        </is>
      </c>
      <c r="N16" s="43" t="inlineStr">
        <is>
          <t>Not disclosed</t>
        </is>
      </c>
      <c r="O16" s="12" t="inlineStr">
        <is>
          <t>USD</t>
        </is>
      </c>
      <c r="P16" s="13" t="inlineStr">
        <is>
          <t>Hardware</t>
        </is>
      </c>
      <c r="Q16" s="13" t="inlineStr">
        <is>
          <t>Satellite/Space</t>
        </is>
      </c>
      <c r="R16" s="13" t="inlineStr">
        <is>
          <t>Adjacent A&amp;D aerospace</t>
        </is>
      </c>
      <c r="S16" s="13" t="inlineStr">
        <is>
          <t>Aviation satcom terminal business relevant to aerospace connectivity; dual-use rather than pure defense.</t>
        </is>
      </c>
      <c r="T16" s="12" t="inlineStr">
        <is>
          <t>High</t>
        </is>
      </c>
      <c r="U16" s="13" t="inlineStr">
        <is>
          <t>https://www.gilat.com/pressreleases/gilat-completes-acquisition-of-stellar-blu-solutions-llc/</t>
        </is>
      </c>
      <c r="V16" s="13" t="inlineStr">
        <is>
          <t>Company press release</t>
        </is>
      </c>
      <c r="W16" s="13" t="n"/>
      <c r="Z16" s="44" t="n"/>
      <c r="AA16" s="43" t="n"/>
      <c r="AB16" s="44" t="n"/>
      <c r="AC16" s="43" t="n"/>
      <c r="AD16" s="13" t="n"/>
      <c r="AE16" s="43" t="n"/>
      <c r="AF16" s="13" t="n"/>
      <c r="AG16" s="13" t="n"/>
      <c r="AH16" s="13" t="n"/>
      <c r="AI16" s="13" t="n"/>
      <c r="AJ16" s="13" t="n"/>
      <c r="AK16" s="13" t="n"/>
      <c r="AL16" s="13" t="n"/>
      <c r="AM16" s="13" t="n"/>
      <c r="AN16" s="13" t="n"/>
    </row>
    <row r="17" ht="42" customHeight="1">
      <c r="A17" s="18" t="n"/>
      <c r="B17" s="18" t="inlineStr">
        <is>
          <t>Israel</t>
        </is>
      </c>
      <c r="C17" s="18" t="inlineStr">
        <is>
          <t>Israel</t>
        </is>
      </c>
      <c r="D17" s="19" t="inlineStr">
        <is>
          <t>Noname Security</t>
        </is>
      </c>
      <c r="E17" s="19" t="inlineStr">
        <is>
          <t>Akamai Technologies</t>
        </is>
      </c>
      <c r="F17" s="18" t="inlineStr">
        <is>
          <t>USA</t>
        </is>
      </c>
      <c r="G17" s="19" t="n"/>
      <c r="H17" s="45" t="inlineStr">
        <is>
          <t>2024-05-07</t>
        </is>
      </c>
      <c r="I17" s="45" t="inlineStr">
        <is>
          <t>2024-06-25</t>
        </is>
      </c>
      <c r="J17" s="46" t="n">
        <v>2024</v>
      </c>
      <c r="K17" s="19" t="inlineStr">
        <is>
          <t>M&amp;A</t>
        </is>
      </c>
      <c r="L17" s="19" t="inlineStr">
        <is>
          <t>Full acquisition</t>
        </is>
      </c>
      <c r="M17" s="19" t="inlineStr">
        <is>
          <t>Completed</t>
        </is>
      </c>
      <c r="N17" s="47" t="n">
        <v>450</v>
      </c>
      <c r="O17" s="18" t="inlineStr">
        <is>
          <t>USD</t>
        </is>
      </c>
      <c r="P17" s="19" t="inlineStr">
        <is>
          <t>Software</t>
        </is>
      </c>
      <c r="Q17" s="19" t="inlineStr">
        <is>
          <t>Cybersecurity</t>
        </is>
      </c>
      <c r="R17" s="19" t="inlineStr">
        <is>
          <t>Adjacent cyber-security</t>
        </is>
      </c>
      <c r="S17" s="19" t="inlineStr">
        <is>
          <t>API-security platform acquired by major security infrastructure company; dual-use cybersecurity relevance.</t>
        </is>
      </c>
      <c r="T17" s="18" t="inlineStr">
        <is>
          <t>High</t>
        </is>
      </c>
      <c r="U17" s="19" t="inlineStr">
        <is>
          <t>https://www.akamai.com/newsroom/press-release/akamai-completes-acquisition-of-api-security-company-noname?utm_source=chatgpt.com</t>
        </is>
      </c>
      <c r="V17" s="19" t="inlineStr">
        <is>
          <t>Company press release</t>
        </is>
      </c>
      <c r="W17" s="19" t="n"/>
      <c r="Z17" s="48" t="n"/>
      <c r="AA17" s="47" t="n"/>
      <c r="AB17" s="48" t="n"/>
      <c r="AC17" s="47" t="n"/>
      <c r="AD17" s="19" t="n"/>
      <c r="AE17" s="47" t="n"/>
      <c r="AF17" s="19" t="n"/>
      <c r="AG17" s="19" t="n"/>
      <c r="AH17" s="19" t="n"/>
      <c r="AI17" s="19" t="n"/>
      <c r="AJ17" s="19" t="n"/>
      <c r="AK17" s="19" t="n"/>
      <c r="AL17" s="19" t="n"/>
      <c r="AM17" s="19" t="n"/>
      <c r="AN17" s="19" t="n"/>
    </row>
    <row r="18" ht="42" customHeight="1">
      <c r="A18" s="12" t="n"/>
      <c r="B18" s="12" t="inlineStr">
        <is>
          <t>Israel</t>
        </is>
      </c>
      <c r="C18" s="12" t="inlineStr">
        <is>
          <t>Israel</t>
        </is>
      </c>
      <c r="D18" s="13" t="inlineStr">
        <is>
          <t>Gem Security</t>
        </is>
      </c>
      <c r="E18" s="13" t="inlineStr">
        <is>
          <t>Wiz</t>
        </is>
      </c>
      <c r="F18" s="12" t="inlineStr">
        <is>
          <t>Israel-founded / USA</t>
        </is>
      </c>
      <c r="G18" s="13" t="n"/>
      <c r="H18" s="41" t="inlineStr">
        <is>
          <t>2024-04-10</t>
        </is>
      </c>
      <c r="I18" s="41" t="n"/>
      <c r="J18" s="42" t="n">
        <v>2024</v>
      </c>
      <c r="K18" s="13" t="inlineStr">
        <is>
          <t>M&amp;A</t>
        </is>
      </c>
      <c r="L18" s="13" t="inlineStr">
        <is>
          <t>Acquisition</t>
        </is>
      </c>
      <c r="M18" s="13" t="inlineStr">
        <is>
          <t>Completed</t>
        </is>
      </c>
      <c r="N18" s="43" t="n">
        <v>350</v>
      </c>
      <c r="O18" s="12" t="inlineStr">
        <is>
          <t>USD</t>
        </is>
      </c>
      <c r="P18" s="13" t="inlineStr">
        <is>
          <t>Software</t>
        </is>
      </c>
      <c r="Q18" s="13" t="inlineStr">
        <is>
          <t>Cybersecurity</t>
        </is>
      </c>
      <c r="R18" s="13" t="inlineStr">
        <is>
          <t>Adjacent cyber-security</t>
        </is>
      </c>
      <c r="S18" s="13" t="inlineStr">
        <is>
          <t>Cloud threat-detection acquisition by Israeli-founded security platform Wiz.</t>
        </is>
      </c>
      <c r="T18" s="12" t="inlineStr">
        <is>
          <t>Medium-High</t>
        </is>
      </c>
      <c r="U18" s="13" t="inlineStr">
        <is>
          <t>https://www.calcalistech.com/ctechnews/article/bjleedj0t?utm_source=chatgpt.com</t>
        </is>
      </c>
      <c r="V18" s="13" t="inlineStr">
        <is>
          <t>Company blog / press</t>
        </is>
      </c>
      <c r="W18" s="13" t="n"/>
      <c r="Z18" s="44" t="n"/>
      <c r="AA18" s="43" t="n"/>
      <c r="AB18" s="44" t="n"/>
      <c r="AC18" s="43" t="n"/>
      <c r="AD18" s="13" t="n"/>
      <c r="AE18" s="43" t="n"/>
      <c r="AF18" s="13" t="n"/>
      <c r="AG18" s="13" t="n"/>
      <c r="AH18" s="13" t="n"/>
      <c r="AI18" s="13" t="n"/>
      <c r="AJ18" s="13" t="n"/>
      <c r="AK18" s="13" t="n"/>
      <c r="AL18" s="13" t="n"/>
      <c r="AM18" s="13" t="n"/>
      <c r="AN18" s="13" t="n"/>
    </row>
    <row r="19" ht="42" customHeight="1">
      <c r="A19" s="18" t="n"/>
      <c r="B19" s="18" t="inlineStr">
        <is>
          <t>Israel</t>
        </is>
      </c>
      <c r="C19" s="18" t="inlineStr">
        <is>
          <t>Israel</t>
        </is>
      </c>
      <c r="D19" s="19" t="inlineStr">
        <is>
          <t>Flow Security</t>
        </is>
      </c>
      <c r="E19" s="19" t="inlineStr">
        <is>
          <t>CrowdStrike</t>
        </is>
      </c>
      <c r="F19" s="18" t="inlineStr">
        <is>
          <t>USA</t>
        </is>
      </c>
      <c r="G19" s="19" t="n"/>
      <c r="H19" s="45" t="inlineStr">
        <is>
          <t>2024-03-05</t>
        </is>
      </c>
      <c r="I19" s="45" t="n"/>
      <c r="J19" s="46" t="n">
        <v>2024</v>
      </c>
      <c r="K19" s="19" t="inlineStr">
        <is>
          <t>M&amp;A</t>
        </is>
      </c>
      <c r="L19" s="19" t="inlineStr">
        <is>
          <t>Acquisition</t>
        </is>
      </c>
      <c r="M19" s="19" t="inlineStr">
        <is>
          <t>Completed</t>
        </is>
      </c>
      <c r="N19" s="47" t="n">
        <v>200</v>
      </c>
      <c r="O19" s="18" t="inlineStr">
        <is>
          <t>USD</t>
        </is>
      </c>
      <c r="P19" s="19" t="inlineStr">
        <is>
          <t>Software</t>
        </is>
      </c>
      <c r="Q19" s="19" t="inlineStr">
        <is>
          <t>Cybersecurity</t>
        </is>
      </c>
      <c r="R19" s="19" t="inlineStr">
        <is>
          <t>Adjacent cyber-security</t>
        </is>
      </c>
      <c r="S19" s="19" t="inlineStr">
        <is>
          <t>Cloud data-security acquisition by CrowdStrike; relevant to cyber/security but not pure A&amp;D.</t>
        </is>
      </c>
      <c r="T19" s="18" t="inlineStr">
        <is>
          <t>Medium-High</t>
        </is>
      </c>
      <c r="U19" s="19" t="n"/>
      <c r="V19" s="19" t="inlineStr">
        <is>
          <t>Company press release</t>
        </is>
      </c>
      <c r="W19" s="19" t="inlineStr">
        <is>
          <t>Reported value from business press.</t>
        </is>
      </c>
      <c r="Z19" s="48" t="n"/>
      <c r="AA19" s="47" t="n"/>
      <c r="AB19" s="48" t="n"/>
      <c r="AC19" s="47" t="n"/>
      <c r="AD19" s="19" t="n"/>
      <c r="AE19" s="47" t="n"/>
      <c r="AF19" s="19" t="n"/>
      <c r="AG19" s="19" t="n"/>
      <c r="AH19" s="19" t="n"/>
      <c r="AI19" s="19" t="n"/>
      <c r="AJ19" s="19" t="n"/>
      <c r="AK19" s="19" t="n"/>
      <c r="AL19" s="19" t="n"/>
      <c r="AM19" s="19" t="n"/>
      <c r="AN19" s="19" t="n"/>
    </row>
    <row r="20" ht="42" customHeight="1">
      <c r="A20" s="12" t="n"/>
      <c r="B20" s="12" t="inlineStr">
        <is>
          <t>Israel</t>
        </is>
      </c>
      <c r="C20" s="12" t="inlineStr">
        <is>
          <t>Israel</t>
        </is>
      </c>
      <c r="D20" s="13" t="inlineStr">
        <is>
          <t>Spera Security</t>
        </is>
      </c>
      <c r="E20" s="13" t="inlineStr">
        <is>
          <t>Okta</t>
        </is>
      </c>
      <c r="F20" s="12" t="inlineStr">
        <is>
          <t>USA</t>
        </is>
      </c>
      <c r="G20" s="13" t="n"/>
      <c r="H20" s="41" t="inlineStr">
        <is>
          <t>2023-12-19</t>
        </is>
      </c>
      <c r="I20" s="41" t="inlineStr">
        <is>
          <t>2024-02-01</t>
        </is>
      </c>
      <c r="J20" s="42" t="n">
        <v>2024</v>
      </c>
      <c r="K20" s="13" t="inlineStr">
        <is>
          <t>M&amp;A</t>
        </is>
      </c>
      <c r="L20" s="13" t="inlineStr">
        <is>
          <t>Acquisition</t>
        </is>
      </c>
      <c r="M20" s="13" t="inlineStr">
        <is>
          <t>Completed</t>
        </is>
      </c>
      <c r="N20" s="43" t="n">
        <v>110</v>
      </c>
      <c r="O20" s="12" t="inlineStr">
        <is>
          <t>USD</t>
        </is>
      </c>
      <c r="P20" s="13" t="inlineStr">
        <is>
          <t>Software</t>
        </is>
      </c>
      <c r="Q20" s="13" t="inlineStr">
        <is>
          <t>Cybersecurity</t>
        </is>
      </c>
      <c r="R20" s="13" t="inlineStr">
        <is>
          <t>Adjacent cyber-security</t>
        </is>
      </c>
      <c r="S20" s="13" t="inlineStr">
        <is>
          <t>Identity-security posture management; relevant to cyber/zero-trust security.</t>
        </is>
      </c>
      <c r="T20" s="12" t="inlineStr">
        <is>
          <t>High</t>
        </is>
      </c>
      <c r="U20" s="13" t="n"/>
      <c r="V20" s="13" t="inlineStr">
        <is>
          <t>Company press release</t>
        </is>
      </c>
      <c r="W20" s="13" t="n"/>
      <c r="Z20" s="44" t="n"/>
      <c r="AA20" s="43" t="n"/>
      <c r="AB20" s="44" t="n"/>
      <c r="AC20" s="43" t="n"/>
      <c r="AD20" s="13" t="n"/>
      <c r="AE20" s="43" t="n"/>
      <c r="AF20" s="13" t="n"/>
      <c r="AG20" s="13" t="n"/>
      <c r="AH20" s="13" t="n"/>
      <c r="AI20" s="13" t="n"/>
      <c r="AJ20" s="13" t="n"/>
      <c r="AK20" s="13" t="n"/>
      <c r="AL20" s="13" t="n"/>
      <c r="AM20" s="13" t="n"/>
      <c r="AN20" s="13" t="n"/>
    </row>
    <row r="21" ht="42" customHeight="1">
      <c r="A21" s="18" t="n"/>
      <c r="B21" s="18" t="inlineStr">
        <is>
          <t>Israel</t>
        </is>
      </c>
      <c r="C21" s="18" t="inlineStr">
        <is>
          <t>Israel</t>
        </is>
      </c>
      <c r="D21" s="19" t="inlineStr">
        <is>
          <t>Silk Security</t>
        </is>
      </c>
      <c r="E21" s="19" t="inlineStr">
        <is>
          <t>Armis</t>
        </is>
      </c>
      <c r="F21" s="18" t="inlineStr">
        <is>
          <t>Israel / USA</t>
        </is>
      </c>
      <c r="G21" s="19" t="n"/>
      <c r="H21" s="45" t="inlineStr">
        <is>
          <t>2024-04-17</t>
        </is>
      </c>
      <c r="I21" s="45" t="n"/>
      <c r="J21" s="46" t="n">
        <v>2024</v>
      </c>
      <c r="K21" s="19" t="inlineStr">
        <is>
          <t>M&amp;A</t>
        </is>
      </c>
      <c r="L21" s="19" t="inlineStr">
        <is>
          <t>Acquisition</t>
        </is>
      </c>
      <c r="M21" s="19" t="inlineStr">
        <is>
          <t>Completed</t>
        </is>
      </c>
      <c r="N21" s="47" t="n">
        <v>150</v>
      </c>
      <c r="O21" s="18" t="inlineStr">
        <is>
          <t>USD</t>
        </is>
      </c>
      <c r="P21" s="19" t="inlineStr">
        <is>
          <t>Software</t>
        </is>
      </c>
      <c r="Q21" s="19" t="inlineStr">
        <is>
          <t>Cybersecurity</t>
        </is>
      </c>
      <c r="R21" s="19" t="inlineStr">
        <is>
          <t>Adjacent cyber-security</t>
        </is>
      </c>
      <c r="S21" s="19" t="inlineStr">
        <is>
          <t>Cyber-risk prioritization platform acquired by Armis; security-adjacent.</t>
        </is>
      </c>
      <c r="T21" s="18" t="inlineStr">
        <is>
          <t>High</t>
        </is>
      </c>
      <c r="U21" s="19" t="n"/>
      <c r="V21" s="19" t="inlineStr">
        <is>
          <t>Company press release</t>
        </is>
      </c>
      <c r="W21" s="19" t="inlineStr">
        <is>
          <t>Reported value from business press.</t>
        </is>
      </c>
      <c r="Z21" s="48" t="n"/>
      <c r="AA21" s="47" t="n"/>
      <c r="AB21" s="48" t="n"/>
      <c r="AC21" s="47" t="n"/>
      <c r="AD21" s="19" t="n"/>
      <c r="AE21" s="47" t="n"/>
      <c r="AF21" s="19" t="n"/>
      <c r="AG21" s="19" t="n"/>
      <c r="AH21" s="19" t="n"/>
      <c r="AI21" s="19" t="n"/>
      <c r="AJ21" s="19" t="n"/>
      <c r="AK21" s="19" t="n"/>
      <c r="AL21" s="19" t="n"/>
      <c r="AM21" s="19" t="n"/>
      <c r="AN21" s="19" t="n"/>
    </row>
    <row r="22" ht="42" customHeight="1">
      <c r="A22" s="12" t="n"/>
      <c r="B22" s="12" t="inlineStr">
        <is>
          <t>Israel</t>
        </is>
      </c>
      <c r="C22" s="12" t="inlineStr">
        <is>
          <t>Israel</t>
        </is>
      </c>
      <c r="D22" s="13" t="inlineStr">
        <is>
          <t>Authomize</t>
        </is>
      </c>
      <c r="E22" s="13" t="inlineStr">
        <is>
          <t>Delinea</t>
        </is>
      </c>
      <c r="F22" s="12" t="inlineStr">
        <is>
          <t>USA</t>
        </is>
      </c>
      <c r="G22" s="13" t="n"/>
      <c r="H22" s="41" t="inlineStr">
        <is>
          <t>2024-01-09</t>
        </is>
      </c>
      <c r="I22" s="41" t="inlineStr">
        <is>
          <t>2024-02-01</t>
        </is>
      </c>
      <c r="J22" s="42" t="n">
        <v>2024</v>
      </c>
      <c r="K22" s="13" t="inlineStr">
        <is>
          <t>M&amp;A</t>
        </is>
      </c>
      <c r="L22" s="13" t="inlineStr">
        <is>
          <t>Acquisition</t>
        </is>
      </c>
      <c r="M22" s="13" t="inlineStr">
        <is>
          <t>Completed</t>
        </is>
      </c>
      <c r="N22" s="43" t="inlineStr">
        <is>
          <t>Not disclosed</t>
        </is>
      </c>
      <c r="O22" s="12" t="inlineStr">
        <is>
          <t>USD</t>
        </is>
      </c>
      <c r="P22" s="13" t="inlineStr">
        <is>
          <t>Software</t>
        </is>
      </c>
      <c r="Q22" s="13" t="inlineStr">
        <is>
          <t>Cybersecurity</t>
        </is>
      </c>
      <c r="R22" s="13" t="inlineStr">
        <is>
          <t>Adjacent cyber-security</t>
        </is>
      </c>
      <c r="S22" s="13" t="inlineStr">
        <is>
          <t>Identity-security and threat-detection acquisition; cyber-security fit.</t>
        </is>
      </c>
      <c r="T22" s="12" t="inlineStr">
        <is>
          <t>High</t>
        </is>
      </c>
      <c r="U22" s="13" t="n"/>
      <c r="V22" s="13" t="inlineStr">
        <is>
          <t>Company press release</t>
        </is>
      </c>
      <c r="W22" s="13" t="n"/>
      <c r="Z22" s="44" t="n"/>
      <c r="AA22" s="43" t="n"/>
      <c r="AB22" s="44" t="n"/>
      <c r="AC22" s="43" t="n"/>
      <c r="AD22" s="13" t="n"/>
      <c r="AE22" s="43" t="n"/>
      <c r="AF22" s="13" t="n"/>
      <c r="AG22" s="13" t="n"/>
      <c r="AH22" s="13" t="n"/>
      <c r="AI22" s="13" t="n"/>
      <c r="AJ22" s="13" t="n"/>
      <c r="AK22" s="13" t="n"/>
      <c r="AL22" s="13" t="n"/>
      <c r="AM22" s="13" t="n"/>
      <c r="AN22" s="13" t="n"/>
    </row>
    <row r="23" ht="42" customHeight="1">
      <c r="A23" s="18" t="n"/>
      <c r="B23" s="18" t="inlineStr">
        <is>
          <t>Israel</t>
        </is>
      </c>
      <c r="C23" s="18" t="inlineStr">
        <is>
          <t>Israel</t>
        </is>
      </c>
      <c r="D23" s="19" t="inlineStr">
        <is>
          <t>Iron Drone</t>
        </is>
      </c>
      <c r="E23" s="19" t="inlineStr">
        <is>
          <t>Airobotics / Ondas Holdings</t>
        </is>
      </c>
      <c r="F23" s="18" t="inlineStr">
        <is>
          <t>Israel / USA</t>
        </is>
      </c>
      <c r="G23" s="19" t="n"/>
      <c r="H23" s="45" t="inlineStr">
        <is>
          <t>2023-03-06</t>
        </is>
      </c>
      <c r="I23" s="45" t="n"/>
      <c r="J23" s="46" t="n">
        <v>2023</v>
      </c>
      <c r="K23" s="19" t="inlineStr">
        <is>
          <t>M&amp;A</t>
        </is>
      </c>
      <c r="L23" s="19" t="inlineStr">
        <is>
          <t>Acquisition</t>
        </is>
      </c>
      <c r="M23" s="19" t="inlineStr">
        <is>
          <t>Completed</t>
        </is>
      </c>
      <c r="N23" s="47" t="inlineStr">
        <is>
          <t>Not disclosed</t>
        </is>
      </c>
      <c r="O23" s="18" t="inlineStr">
        <is>
          <t>USD</t>
        </is>
      </c>
      <c r="P23" s="19" t="inlineStr">
        <is>
          <t>Hardware/Software</t>
        </is>
      </c>
      <c r="Q23" s="19" t="inlineStr">
        <is>
          <t>UAVs/Autonomous Systems</t>
        </is>
      </c>
      <c r="R23" s="19" t="inlineStr">
        <is>
          <t>Core A&amp;D</t>
        </is>
      </c>
      <c r="S23" s="19" t="inlineStr">
        <is>
          <t>Counter-drone interception and autonomous drone capabilities relevant to security and defense.</t>
        </is>
      </c>
      <c r="T23" s="18" t="inlineStr">
        <is>
          <t>Medium</t>
        </is>
      </c>
      <c r="U23" s="19" t="inlineStr">
        <is>
          <t>https://ir.ondas.com/press-releases/detail/172/ondas-receives-8-0-million-purchase-order-for-iron-drone</t>
        </is>
      </c>
      <c r="V23" s="19" t="inlineStr">
        <is>
          <t>Company press release</t>
        </is>
      </c>
      <c r="W23" s="19" t="inlineStr">
        <is>
          <t>Use if source URL resolves in browser.</t>
        </is>
      </c>
      <c r="Z23" s="48" t="n"/>
      <c r="AA23" s="47" t="n"/>
      <c r="AB23" s="48" t="n"/>
      <c r="AC23" s="47" t="n"/>
      <c r="AD23" s="19" t="n"/>
      <c r="AE23" s="47" t="n"/>
      <c r="AF23" s="19" t="inlineStr">
        <is>
          <t>The company was acquired by Airobotics (TAE: AIRO) for an undisclosed amount on March 6, 2023. The acquisition integrates counter-drone technology with Airobotics's networked optimus urban drone infrastructure.</t>
        </is>
      </c>
      <c r="AG23" s="19" t="inlineStr">
        <is>
          <t>Corporate Backed or Acquired</t>
        </is>
      </c>
      <c r="AH23" s="19" t="inlineStr">
        <is>
          <t>Generating Revenue</t>
        </is>
      </c>
      <c r="AI23" s="19" t="inlineStr">
        <is>
          <t>Airobotics (Meir Kliner)</t>
        </is>
      </c>
      <c r="AJ23" s="19" t="inlineStr">
        <is>
          <t>Automation/Workflow Software</t>
        </is>
      </c>
      <c r="AK23" s="19" t="inlineStr">
        <is>
          <t>Robotics and Drones</t>
        </is>
      </c>
      <c r="AL23" s="19" t="inlineStr">
        <is>
          <t>Developer of autonomous counter-drone system catering to unmanned aircraft infrastructure. The technology is capable of being integrated into the existing detection and radar infrastructure to provide an autonomous response for the interception of hostile, small drones, which pose real threats to strategic facilities around the world.</t>
        </is>
      </c>
      <c r="AM23" s="19" t="inlineStr">
        <is>
          <t>Tel Aviv, Israel</t>
        </is>
      </c>
      <c r="AN23" s="19" t="inlineStr">
        <is>
          <t>www.irondrone.com</t>
        </is>
      </c>
    </row>
    <row r="24" ht="42" customHeight="1">
      <c r="A24" s="12" t="n"/>
      <c r="B24" s="12" t="inlineStr">
        <is>
          <t>Israel</t>
        </is>
      </c>
      <c r="C24" s="12" t="inlineStr">
        <is>
          <t>USA</t>
        </is>
      </c>
      <c r="D24" s="13" t="inlineStr">
        <is>
          <t>DataPath</t>
        </is>
      </c>
      <c r="E24" s="13" t="inlineStr">
        <is>
          <t>Gilat Satellite Networks</t>
        </is>
      </c>
      <c r="F24" s="12" t="inlineStr">
        <is>
          <t>Israel</t>
        </is>
      </c>
      <c r="G24" s="13" t="inlineStr">
        <is>
          <t>DataPath shareholders</t>
        </is>
      </c>
      <c r="H24" s="41" t="inlineStr">
        <is>
          <t>2023-03-09</t>
        </is>
      </c>
      <c r="I24" s="41" t="inlineStr">
        <is>
          <t>2023-11-15</t>
        </is>
      </c>
      <c r="J24" s="42" t="n">
        <v>2023</v>
      </c>
      <c r="K24" s="13" t="inlineStr">
        <is>
          <t>M&amp;A</t>
        </is>
      </c>
      <c r="L24" s="13" t="inlineStr">
        <is>
          <t>Full acquisition</t>
        </is>
      </c>
      <c r="M24" s="13" t="inlineStr">
        <is>
          <t>Completed</t>
        </is>
      </c>
      <c r="N24" s="43" t="inlineStr">
        <is>
          <t>Not disclosed</t>
        </is>
      </c>
      <c r="O24" s="12" t="inlineStr">
        <is>
          <t>USD</t>
        </is>
      </c>
      <c r="P24" s="13" t="inlineStr">
        <is>
          <t>Hardware/Services</t>
        </is>
      </c>
      <c r="Q24" s="13" t="inlineStr">
        <is>
          <t>Satellite/Space</t>
        </is>
      </c>
      <c r="R24" s="13" t="inlineStr">
        <is>
          <t>Core A&amp;D</t>
        </is>
      </c>
      <c r="S24" s="13" t="inlineStr">
        <is>
          <t>US satellite communications systems provider serving defense and government customers acquired by Israeli satcom group.</t>
        </is>
      </c>
      <c r="T24" s="12" t="inlineStr">
        <is>
          <t>High</t>
        </is>
      </c>
      <c r="U24" s="13" t="inlineStr">
        <is>
          <t>https://www.gilat.com/pressreleases/gilat-completes-acquisition-of-datapath/</t>
        </is>
      </c>
      <c r="V24" s="13" t="inlineStr">
        <is>
          <t>Company press release</t>
        </is>
      </c>
      <c r="W24" s="13" t="n"/>
      <c r="Z24" s="44" t="n"/>
      <c r="AA24" s="43" t="n"/>
      <c r="AB24" s="44" t="n"/>
      <c r="AC24" s="43" t="n"/>
      <c r="AD24" s="13" t="n"/>
      <c r="AE24" s="43" t="n"/>
      <c r="AF24" s="13" t="n"/>
      <c r="AG24" s="13" t="n"/>
      <c r="AH24" s="13" t="n"/>
      <c r="AI24" s="13" t="n"/>
      <c r="AJ24" s="13" t="n"/>
      <c r="AK24" s="13" t="n"/>
      <c r="AL24" s="13" t="n"/>
      <c r="AM24" s="13" t="n"/>
      <c r="AN24" s="13" t="n"/>
    </row>
    <row r="25" ht="42" customHeight="1">
      <c r="A25" s="18" t="n"/>
      <c r="B25" s="18" t="inlineStr">
        <is>
          <t>Israel</t>
        </is>
      </c>
      <c r="C25" s="18" t="inlineStr">
        <is>
          <t>Israel</t>
        </is>
      </c>
      <c r="D25" s="19" t="inlineStr">
        <is>
          <t>Dig Security</t>
        </is>
      </c>
      <c r="E25" s="19" t="inlineStr">
        <is>
          <t>Palo Alto Networks</t>
        </is>
      </c>
      <c r="F25" s="18" t="inlineStr">
        <is>
          <t>USA</t>
        </is>
      </c>
      <c r="G25" s="19" t="n"/>
      <c r="H25" s="45" t="inlineStr">
        <is>
          <t>2023-10-31</t>
        </is>
      </c>
      <c r="I25" s="45" t="n"/>
      <c r="J25" s="46" t="n">
        <v>2023</v>
      </c>
      <c r="K25" s="19" t="inlineStr">
        <is>
          <t>M&amp;A</t>
        </is>
      </c>
      <c r="L25" s="19" t="inlineStr">
        <is>
          <t>Acquisition</t>
        </is>
      </c>
      <c r="M25" s="19" t="inlineStr">
        <is>
          <t>Completed</t>
        </is>
      </c>
      <c r="N25" s="47" t="n">
        <v>350</v>
      </c>
      <c r="O25" s="18" t="inlineStr">
        <is>
          <t>USD</t>
        </is>
      </c>
      <c r="P25" s="19" t="inlineStr">
        <is>
          <t>Software</t>
        </is>
      </c>
      <c r="Q25" s="19" t="inlineStr">
        <is>
          <t>Cybersecurity</t>
        </is>
      </c>
      <c r="R25" s="19" t="inlineStr">
        <is>
          <t>Adjacent cyber-security</t>
        </is>
      </c>
      <c r="S25" s="19" t="inlineStr">
        <is>
          <t>Israeli cybersecurity acquisition; relevant to security/dual-use cyber but not pure defense.</t>
        </is>
      </c>
      <c r="T25" s="18" t="inlineStr">
        <is>
          <t>Medium-High</t>
        </is>
      </c>
      <c r="U25" s="19" t="inlineStr">
        <is>
          <t>https://www.paloaltonetworks.com/company/press/2023/palo-alto-networks-completes-acquisition-of-dig-security?utm_source=chatgpt.com</t>
        </is>
      </c>
      <c r="V25" s="19" t="inlineStr">
        <is>
          <t>Legal adviser / business press</t>
        </is>
      </c>
      <c r="W25" s="19" t="inlineStr">
        <is>
          <t>Value usually reported as $300m-$400m; use midpoint.</t>
        </is>
      </c>
      <c r="Z25" s="48" t="n"/>
      <c r="AA25" s="47" t="n"/>
      <c r="AB25" s="48" t="n"/>
      <c r="AC25" s="47" t="n"/>
      <c r="AD25" s="19" t="n"/>
      <c r="AE25" s="47" t="n"/>
      <c r="AF25" s="19" t="n"/>
      <c r="AG25" s="19" t="n"/>
      <c r="AH25" s="19" t="n"/>
      <c r="AI25" s="19" t="n"/>
      <c r="AJ25" s="19" t="n"/>
      <c r="AK25" s="19" t="n"/>
      <c r="AL25" s="19" t="n"/>
      <c r="AM25" s="19" t="n"/>
      <c r="AN25" s="19" t="n"/>
    </row>
    <row r="26" ht="42" customHeight="1">
      <c r="A26" s="12" t="n"/>
      <c r="B26" s="12" t="inlineStr">
        <is>
          <t>Israel</t>
        </is>
      </c>
      <c r="C26" s="12" t="inlineStr">
        <is>
          <t>Israel</t>
        </is>
      </c>
      <c r="D26" s="13" t="inlineStr">
        <is>
          <t>Talon Cyber Security</t>
        </is>
      </c>
      <c r="E26" s="13" t="inlineStr">
        <is>
          <t>Palo Alto Networks</t>
        </is>
      </c>
      <c r="F26" s="12" t="inlineStr">
        <is>
          <t>USA</t>
        </is>
      </c>
      <c r="G26" s="13" t="n"/>
      <c r="H26" s="41" t="inlineStr">
        <is>
          <t>2023-11-06</t>
        </is>
      </c>
      <c r="I26" s="41" t="n"/>
      <c r="J26" s="42" t="n">
        <v>2023</v>
      </c>
      <c r="K26" s="13" t="inlineStr">
        <is>
          <t>M&amp;A</t>
        </is>
      </c>
      <c r="L26" s="13" t="inlineStr">
        <is>
          <t>Acquisition</t>
        </is>
      </c>
      <c r="M26" s="13" t="inlineStr">
        <is>
          <t>Completed</t>
        </is>
      </c>
      <c r="N26" s="43" t="n">
        <v>625</v>
      </c>
      <c r="O26" s="12" t="inlineStr">
        <is>
          <t>USD</t>
        </is>
      </c>
      <c r="P26" s="13" t="inlineStr">
        <is>
          <t>Software</t>
        </is>
      </c>
      <c r="Q26" s="13" t="inlineStr">
        <is>
          <t>Cybersecurity</t>
        </is>
      </c>
      <c r="R26" s="13" t="inlineStr">
        <is>
          <t>Adjacent cyber-security</t>
        </is>
      </c>
      <c r="S26" s="13" t="inlineStr">
        <is>
          <t>Browser-security acquisition; relevant to cyber/security consolidation.</t>
        </is>
      </c>
      <c r="T26" s="12" t="inlineStr">
        <is>
          <t>Medium-High</t>
        </is>
      </c>
      <c r="U26" s="13" t="inlineStr">
        <is>
          <t>https://www.calcalistech.com/ctechnews/article/r1hd0o87a?utm_source=chatgpt.com</t>
        </is>
      </c>
      <c r="V26" s="13" t="inlineStr">
        <is>
          <t>Business press</t>
        </is>
      </c>
      <c r="W26" s="13" t="inlineStr">
        <is>
          <t>Reported value.</t>
        </is>
      </c>
      <c r="Z26" s="44" t="n"/>
      <c r="AA26" s="43" t="n"/>
      <c r="AB26" s="44" t="n"/>
      <c r="AC26" s="43" t="n"/>
      <c r="AD26" s="13" t="n"/>
      <c r="AE26" s="43" t="n"/>
      <c r="AF26" s="13" t="n"/>
      <c r="AG26" s="13" t="n"/>
      <c r="AH26" s="13" t="n"/>
      <c r="AI26" s="13" t="n"/>
      <c r="AJ26" s="13" t="n"/>
      <c r="AK26" s="13" t="n"/>
      <c r="AL26" s="13" t="n"/>
      <c r="AM26" s="13" t="n"/>
      <c r="AN26" s="13" t="n"/>
    </row>
    <row r="27" ht="42" customHeight="1">
      <c r="A27" s="18" t="n"/>
      <c r="B27" s="18" t="inlineStr">
        <is>
          <t>Israel</t>
        </is>
      </c>
      <c r="C27" s="18" t="inlineStr">
        <is>
          <t>Israel</t>
        </is>
      </c>
      <c r="D27" s="19" t="inlineStr">
        <is>
          <t>Perimeter 81</t>
        </is>
      </c>
      <c r="E27" s="19" t="inlineStr">
        <is>
          <t>Check Point Software Technologies</t>
        </is>
      </c>
      <c r="F27" s="18" t="inlineStr">
        <is>
          <t>Israel</t>
        </is>
      </c>
      <c r="G27" s="19" t="n"/>
      <c r="H27" s="45" t="inlineStr">
        <is>
          <t>2023-08-10</t>
        </is>
      </c>
      <c r="I27" s="45" t="inlineStr">
        <is>
          <t>2023-09-11</t>
        </is>
      </c>
      <c r="J27" s="46" t="n">
        <v>2023</v>
      </c>
      <c r="K27" s="19" t="inlineStr">
        <is>
          <t>M&amp;A</t>
        </is>
      </c>
      <c r="L27" s="19" t="inlineStr">
        <is>
          <t>Acquisition</t>
        </is>
      </c>
      <c r="M27" s="19" t="inlineStr">
        <is>
          <t>Completed</t>
        </is>
      </c>
      <c r="N27" s="47" t="n">
        <v>490</v>
      </c>
      <c r="O27" s="18" t="inlineStr">
        <is>
          <t>USD</t>
        </is>
      </c>
      <c r="P27" s="19" t="inlineStr">
        <is>
          <t>Software</t>
        </is>
      </c>
      <c r="Q27" s="19" t="inlineStr">
        <is>
          <t>Cybersecurity</t>
        </is>
      </c>
      <c r="R27" s="19" t="inlineStr">
        <is>
          <t>Adjacent cyber-security</t>
        </is>
      </c>
      <c r="S27" s="19" t="inlineStr">
        <is>
          <t>Israeli network-security/SASE acquisition; relevant to homeland-security and enterprise-cyber landscape.</t>
        </is>
      </c>
      <c r="T27" s="18" t="inlineStr">
        <is>
          <t>High</t>
        </is>
      </c>
      <c r="U27" s="19" t="inlineStr">
        <is>
          <t>https://www.checkpoint.com/press-releases/check-point-to-acquire-perimeter-81-to-deliver-the-fastest-and-most-secure-sase-solution-in-the-industry/?utm_source=chatgpt.com</t>
        </is>
      </c>
      <c r="V27" s="19" t="inlineStr">
        <is>
          <t>Company press release</t>
        </is>
      </c>
      <c r="W27" s="19" t="n"/>
      <c r="Z27" s="48" t="n"/>
      <c r="AA27" s="47" t="n"/>
      <c r="AB27" s="48" t="n"/>
      <c r="AC27" s="47" t="n"/>
      <c r="AD27" s="19" t="n"/>
      <c r="AE27" s="47" t="n"/>
      <c r="AF27" s="19" t="n"/>
      <c r="AG27" s="19" t="n"/>
      <c r="AH27" s="19" t="n"/>
      <c r="AI27" s="19" t="n"/>
      <c r="AJ27" s="19" t="n"/>
      <c r="AK27" s="19" t="n"/>
      <c r="AL27" s="19" t="n"/>
      <c r="AM27" s="19" t="n"/>
      <c r="AN27" s="19" t="n"/>
    </row>
    <row r="28" ht="42" customHeight="1">
      <c r="A28" s="12" t="n"/>
      <c r="B28" s="12" t="inlineStr">
        <is>
          <t>Israel</t>
        </is>
      </c>
      <c r="C28" s="12" t="inlineStr">
        <is>
          <t>Israel</t>
        </is>
      </c>
      <c r="D28" s="13" t="inlineStr">
        <is>
          <t>Ermetic</t>
        </is>
      </c>
      <c r="E28" s="13" t="inlineStr">
        <is>
          <t>Tenable</t>
        </is>
      </c>
      <c r="F28" s="12" t="inlineStr">
        <is>
          <t>USA</t>
        </is>
      </c>
      <c r="G28" s="13" t="n"/>
      <c r="H28" s="41" t="inlineStr">
        <is>
          <t>2023-09-07</t>
        </is>
      </c>
      <c r="I28" s="41" t="inlineStr">
        <is>
          <t>2023-10-02</t>
        </is>
      </c>
      <c r="J28" s="42" t="n">
        <v>2023</v>
      </c>
      <c r="K28" s="13" t="inlineStr">
        <is>
          <t>M&amp;A</t>
        </is>
      </c>
      <c r="L28" s="13" t="inlineStr">
        <is>
          <t>Acquisition</t>
        </is>
      </c>
      <c r="M28" s="13" t="inlineStr">
        <is>
          <t>Completed</t>
        </is>
      </c>
      <c r="N28" s="43" t="n">
        <v>265</v>
      </c>
      <c r="O28" s="12" t="inlineStr">
        <is>
          <t>USD</t>
        </is>
      </c>
      <c r="P28" s="13" t="inlineStr">
        <is>
          <t>Software</t>
        </is>
      </c>
      <c r="Q28" s="13" t="inlineStr">
        <is>
          <t>Cybersecurity</t>
        </is>
      </c>
      <c r="R28" s="13" t="inlineStr">
        <is>
          <t>Adjacent cyber-security</t>
        </is>
      </c>
      <c r="S28" s="13" t="inlineStr">
        <is>
          <t>Cloud security and identity-risk platform; dual-use cyber relevance.</t>
        </is>
      </c>
      <c r="T28" s="12" t="inlineStr">
        <is>
          <t>High</t>
        </is>
      </c>
      <c r="U28" s="13" t="inlineStr">
        <is>
          <t>https://www.tenable.com/press-releases/tenable-announces-intent-to-acquire-ermetic?utm_source=chatgpt.com</t>
        </is>
      </c>
      <c r="V28" s="13" t="inlineStr">
        <is>
          <t>Company press release</t>
        </is>
      </c>
      <c r="W28" s="13" t="n"/>
      <c r="Z28" s="44" t="n"/>
      <c r="AA28" s="43" t="n"/>
      <c r="AB28" s="44" t="n"/>
      <c r="AC28" s="43" t="n"/>
      <c r="AD28" s="13" t="n"/>
      <c r="AE28" s="43" t="n"/>
      <c r="AF28" s="13" t="n"/>
      <c r="AG28" s="13" t="n"/>
      <c r="AH28" s="13" t="n"/>
      <c r="AI28" s="13" t="n"/>
      <c r="AJ28" s="13" t="n"/>
      <c r="AK28" s="13" t="n"/>
      <c r="AL28" s="13" t="n"/>
      <c r="AM28" s="13" t="n"/>
      <c r="AN28" s="13" t="n"/>
    </row>
    <row r="29" ht="42" customHeight="1">
      <c r="A29" s="18" t="n"/>
      <c r="B29" s="18" t="inlineStr">
        <is>
          <t>Israel</t>
        </is>
      </c>
      <c r="C29" s="18" t="inlineStr">
        <is>
          <t>Israel</t>
        </is>
      </c>
      <c r="D29" s="19" t="inlineStr">
        <is>
          <t>Axis Security</t>
        </is>
      </c>
      <c r="E29" s="19" t="inlineStr">
        <is>
          <t>Hewlett Packard Enterprise</t>
        </is>
      </c>
      <c r="F29" s="18" t="inlineStr">
        <is>
          <t>USA</t>
        </is>
      </c>
      <c r="G29" s="19" t="n"/>
      <c r="H29" s="45" t="inlineStr">
        <is>
          <t>2023-03-02</t>
        </is>
      </c>
      <c r="I29" s="45" t="inlineStr">
        <is>
          <t>2023-03-31</t>
        </is>
      </c>
      <c r="J29" s="46" t="n">
        <v>2023</v>
      </c>
      <c r="K29" s="19" t="inlineStr">
        <is>
          <t>M&amp;A</t>
        </is>
      </c>
      <c r="L29" s="19" t="inlineStr">
        <is>
          <t>Acquisition</t>
        </is>
      </c>
      <c r="M29" s="19" t="inlineStr">
        <is>
          <t>Completed</t>
        </is>
      </c>
      <c r="N29" s="47" t="n">
        <v>500</v>
      </c>
      <c r="O29" s="18" t="inlineStr">
        <is>
          <t>USD</t>
        </is>
      </c>
      <c r="P29" s="19" t="inlineStr">
        <is>
          <t>Software</t>
        </is>
      </c>
      <c r="Q29" s="19" t="inlineStr">
        <is>
          <t>Cybersecurity</t>
        </is>
      </c>
      <c r="R29" s="19" t="inlineStr">
        <is>
          <t>Adjacent cyber-security</t>
        </is>
      </c>
      <c r="S29" s="19" t="inlineStr">
        <is>
          <t>Secure access / edge cybersecurity relevant to security infrastructure; not pure A&amp;D.</t>
        </is>
      </c>
      <c r="T29" s="18" t="inlineStr">
        <is>
          <t>Medium-High</t>
        </is>
      </c>
      <c r="U29" s="19" t="inlineStr">
        <is>
          <t>https://en.globes.co.il/en/article-hpe-buys-israeli-co-axis-security-for-500m-1001440101?utm_source=chatgpt.com</t>
        </is>
      </c>
      <c r="V29" s="19" t="inlineStr">
        <is>
          <t>Company press release</t>
        </is>
      </c>
      <c r="W29" s="19" t="inlineStr">
        <is>
          <t>Reported value from business press; official release may not disclose price.</t>
        </is>
      </c>
      <c r="Z29" s="48" t="n"/>
      <c r="AA29" s="47" t="n"/>
      <c r="AB29" s="48" t="n"/>
      <c r="AC29" s="47" t="n"/>
      <c r="AD29" s="19" t="n"/>
      <c r="AE29" s="47" t="n"/>
      <c r="AF29" s="19" t="n"/>
      <c r="AG29" s="19" t="n"/>
      <c r="AH29" s="19" t="n"/>
      <c r="AI29" s="19" t="n"/>
      <c r="AJ29" s="19" t="n"/>
      <c r="AK29" s="19" t="n"/>
      <c r="AL29" s="19" t="n"/>
      <c r="AM29" s="19" t="n"/>
      <c r="AN29" s="19" t="n"/>
    </row>
    <row r="30" ht="42" customHeight="1">
      <c r="A30" s="12" t="n"/>
      <c r="B30" s="12" t="inlineStr">
        <is>
          <t>Israel</t>
        </is>
      </c>
      <c r="C30" s="12" t="inlineStr">
        <is>
          <t>Israel</t>
        </is>
      </c>
      <c r="D30" s="13" t="inlineStr">
        <is>
          <t>Laminar</t>
        </is>
      </c>
      <c r="E30" s="13" t="inlineStr">
        <is>
          <t>Rubrik</t>
        </is>
      </c>
      <c r="F30" s="12" t="inlineStr">
        <is>
          <t>USA</t>
        </is>
      </c>
      <c r="G30" s="13" t="n"/>
      <c r="H30" s="41" t="inlineStr">
        <is>
          <t>2023-08-08</t>
        </is>
      </c>
      <c r="I30" s="41" t="n"/>
      <c r="J30" s="42" t="n">
        <v>2023</v>
      </c>
      <c r="K30" s="13" t="inlineStr">
        <is>
          <t>M&amp;A</t>
        </is>
      </c>
      <c r="L30" s="13" t="inlineStr">
        <is>
          <t>Acquisition</t>
        </is>
      </c>
      <c r="M30" s="13" t="inlineStr">
        <is>
          <t>Completed</t>
        </is>
      </c>
      <c r="N30" s="43" t="n">
        <v>200</v>
      </c>
      <c r="O30" s="12" t="inlineStr">
        <is>
          <t>USD</t>
        </is>
      </c>
      <c r="P30" s="13" t="inlineStr">
        <is>
          <t>Software</t>
        </is>
      </c>
      <c r="Q30" s="13" t="inlineStr">
        <is>
          <t>Cybersecurity</t>
        </is>
      </c>
      <c r="R30" s="13" t="inlineStr">
        <is>
          <t>Adjacent cyber-security</t>
        </is>
      </c>
      <c r="S30" s="13" t="inlineStr">
        <is>
          <t>Cloud data-security acquisition; dual-use cyber relevance.</t>
        </is>
      </c>
      <c r="T30" s="12" t="inlineStr">
        <is>
          <t>High</t>
        </is>
      </c>
      <c r="U30" s="13" t="n"/>
      <c r="V30" s="13" t="inlineStr">
        <is>
          <t>Company press release</t>
        </is>
      </c>
      <c r="W30" s="13" t="inlineStr">
        <is>
          <t>Reported value around $200m-$250m.</t>
        </is>
      </c>
      <c r="Z30" s="44" t="n"/>
      <c r="AA30" s="43" t="n"/>
      <c r="AB30" s="44" t="n"/>
      <c r="AC30" s="43" t="n"/>
      <c r="AD30" s="13" t="n"/>
      <c r="AE30" s="43" t="n"/>
      <c r="AF30" s="13" t="n"/>
      <c r="AG30" s="13" t="n"/>
      <c r="AH30" s="13" t="n"/>
      <c r="AI30" s="13" t="n"/>
      <c r="AJ30" s="13" t="n"/>
      <c r="AK30" s="13" t="n"/>
      <c r="AL30" s="13" t="n"/>
      <c r="AM30" s="13" t="n"/>
      <c r="AN30" s="13" t="n"/>
    </row>
    <row r="31" ht="42" customHeight="1">
      <c r="A31" s="18" t="n"/>
      <c r="B31" s="18" t="inlineStr">
        <is>
          <t>Israel</t>
        </is>
      </c>
      <c r="C31" s="18" t="inlineStr">
        <is>
          <t>Israel</t>
        </is>
      </c>
      <c r="D31" s="19" t="inlineStr">
        <is>
          <t>Bionic</t>
        </is>
      </c>
      <c r="E31" s="19" t="inlineStr">
        <is>
          <t>CrowdStrike</t>
        </is>
      </c>
      <c r="F31" s="18" t="inlineStr">
        <is>
          <t>USA</t>
        </is>
      </c>
      <c r="G31" s="19" t="n"/>
      <c r="H31" s="45" t="inlineStr">
        <is>
          <t>2023-09-19</t>
        </is>
      </c>
      <c r="I31" s="45" t="n"/>
      <c r="J31" s="46" t="n">
        <v>2023</v>
      </c>
      <c r="K31" s="19" t="inlineStr">
        <is>
          <t>M&amp;A</t>
        </is>
      </c>
      <c r="L31" s="19" t="inlineStr">
        <is>
          <t>Acquisition</t>
        </is>
      </c>
      <c r="M31" s="19" t="inlineStr">
        <is>
          <t>Completed</t>
        </is>
      </c>
      <c r="N31" s="47" t="n">
        <v>350</v>
      </c>
      <c r="O31" s="18" t="inlineStr">
        <is>
          <t>USD</t>
        </is>
      </c>
      <c r="P31" s="19" t="inlineStr">
        <is>
          <t>Software</t>
        </is>
      </c>
      <c r="Q31" s="19" t="inlineStr">
        <is>
          <t>Cybersecurity</t>
        </is>
      </c>
      <c r="R31" s="19" t="inlineStr">
        <is>
          <t>Adjacent cyber-security</t>
        </is>
      </c>
      <c r="S31" s="19" t="inlineStr">
        <is>
          <t>Israeli app-security company acquired by CrowdStrike; security-adjacent.</t>
        </is>
      </c>
      <c r="T31" s="18" t="inlineStr">
        <is>
          <t>High</t>
        </is>
      </c>
      <c r="U31" s="19" t="n"/>
      <c r="V31" s="19" t="inlineStr">
        <is>
          <t>Company press release</t>
        </is>
      </c>
      <c r="W31" s="19" t="n"/>
      <c r="Z31" s="48" t="n"/>
      <c r="AA31" s="47" t="n"/>
      <c r="AB31" s="48" t="n"/>
      <c r="AC31" s="47" t="n"/>
      <c r="AD31" s="19" t="n"/>
      <c r="AE31" s="47" t="n"/>
      <c r="AF31" s="19" t="n"/>
      <c r="AG31" s="19" t="n"/>
      <c r="AH31" s="19" t="n"/>
      <c r="AI31" s="19" t="n"/>
      <c r="AJ31" s="19" t="n"/>
      <c r="AK31" s="19" t="n"/>
      <c r="AL31" s="19" t="n"/>
      <c r="AM31" s="19" t="n"/>
      <c r="AN31" s="19" t="n"/>
    </row>
    <row r="32" ht="42" customHeight="1">
      <c r="A32" s="12" t="n"/>
      <c r="B32" s="12" t="inlineStr">
        <is>
          <t>Israel</t>
        </is>
      </c>
      <c r="C32" s="12" t="inlineStr">
        <is>
          <t>Israel</t>
        </is>
      </c>
      <c r="D32" s="13" t="inlineStr">
        <is>
          <t>SCADAfence</t>
        </is>
      </c>
      <c r="E32" s="13" t="inlineStr">
        <is>
          <t>Honeywell</t>
        </is>
      </c>
      <c r="F32" s="12" t="inlineStr">
        <is>
          <t>USA</t>
        </is>
      </c>
      <c r="G32" s="13" t="n"/>
      <c r="H32" s="41" t="inlineStr">
        <is>
          <t>2023-07-10</t>
        </is>
      </c>
      <c r="I32" s="41" t="inlineStr">
        <is>
          <t>2023-08-14</t>
        </is>
      </c>
      <c r="J32" s="42" t="n">
        <v>2023</v>
      </c>
      <c r="K32" s="13" t="inlineStr">
        <is>
          <t>M&amp;A</t>
        </is>
      </c>
      <c r="L32" s="13" t="inlineStr">
        <is>
          <t>Acquisition</t>
        </is>
      </c>
      <c r="M32" s="13" t="inlineStr">
        <is>
          <t>Completed</t>
        </is>
      </c>
      <c r="N32" s="43" t="inlineStr">
        <is>
          <t>Not disclosed</t>
        </is>
      </c>
      <c r="O32" s="12" t="inlineStr">
        <is>
          <t>USD</t>
        </is>
      </c>
      <c r="P32" s="13" t="inlineStr">
        <is>
          <t>Software</t>
        </is>
      </c>
      <c r="Q32" s="13" t="inlineStr">
        <is>
          <t>Cybersecurity</t>
        </is>
      </c>
      <c r="R32" s="13" t="inlineStr">
        <is>
          <t>Adjacent cyber / critical infrastructure</t>
        </is>
      </c>
      <c r="S32" s="13" t="inlineStr">
        <is>
          <t>OT cybersecurity for industrial and critical infrastructure environments; strong homeland-security relevance.</t>
        </is>
      </c>
      <c r="T32" s="12" t="inlineStr">
        <is>
          <t>High</t>
        </is>
      </c>
      <c r="U32" s="13" t="n"/>
      <c r="V32" s="13" t="inlineStr">
        <is>
          <t>Company press release</t>
        </is>
      </c>
      <c r="W32" s="13" t="n"/>
      <c r="Z32" s="44" t="n"/>
      <c r="AA32" s="43" t="n"/>
      <c r="AB32" s="44" t="n"/>
      <c r="AC32" s="43" t="n"/>
      <c r="AD32" s="13" t="n"/>
      <c r="AE32" s="43" t="n"/>
      <c r="AF32" s="13" t="n"/>
      <c r="AG32" s="13" t="n"/>
      <c r="AH32" s="13" t="n"/>
      <c r="AI32" s="13" t="n"/>
      <c r="AJ32" s="13" t="n"/>
      <c r="AK32" s="13" t="n"/>
      <c r="AL32" s="13" t="n"/>
      <c r="AM32" s="13" t="n"/>
      <c r="AN32" s="13" t="n"/>
    </row>
    <row r="33" ht="42" customHeight="1">
      <c r="A33" s="18" t="n"/>
      <c r="B33" s="18" t="inlineStr">
        <is>
          <t>Israel</t>
        </is>
      </c>
      <c r="C33" s="18" t="inlineStr">
        <is>
          <t>Israel</t>
        </is>
      </c>
      <c r="D33" s="19" t="inlineStr">
        <is>
          <t>Enso Security</t>
        </is>
      </c>
      <c r="E33" s="19" t="inlineStr">
        <is>
          <t>Snyk</t>
        </is>
      </c>
      <c r="F33" s="18" t="inlineStr">
        <is>
          <t>UK / USA</t>
        </is>
      </c>
      <c r="G33" s="19" t="n"/>
      <c r="H33" s="45" t="inlineStr">
        <is>
          <t>2023-06-20</t>
        </is>
      </c>
      <c r="I33" s="45" t="n"/>
      <c r="J33" s="46" t="n">
        <v>2023</v>
      </c>
      <c r="K33" s="19" t="inlineStr">
        <is>
          <t>M&amp;A</t>
        </is>
      </c>
      <c r="L33" s="19" t="inlineStr">
        <is>
          <t>Acquisition</t>
        </is>
      </c>
      <c r="M33" s="19" t="inlineStr">
        <is>
          <t>Completed</t>
        </is>
      </c>
      <c r="N33" s="47" t="n">
        <v>32.7</v>
      </c>
      <c r="O33" s="18" t="inlineStr">
        <is>
          <t>USD</t>
        </is>
      </c>
      <c r="P33" s="19" t="inlineStr">
        <is>
          <t>Software</t>
        </is>
      </c>
      <c r="Q33" s="19" t="inlineStr">
        <is>
          <t>Cybersecurity</t>
        </is>
      </c>
      <c r="R33" s="19" t="inlineStr">
        <is>
          <t>Adjacent cyber-security</t>
        </is>
      </c>
      <c r="S33" s="19" t="inlineStr">
        <is>
          <t>Israeli application-security posture management acquired by Snyk; cyber-security fit.</t>
        </is>
      </c>
      <c r="T33" s="18" t="inlineStr">
        <is>
          <t>High</t>
        </is>
      </c>
      <c r="U33" s="19" t="n"/>
      <c r="V33" s="19" t="inlineStr">
        <is>
          <t>Company press release</t>
        </is>
      </c>
      <c r="W33" s="19" t="n"/>
      <c r="Z33" s="48" t="n"/>
      <c r="AA33" s="47" t="n"/>
      <c r="AB33" s="48" t="n"/>
      <c r="AC33" s="47" t="n"/>
      <c r="AD33" s="19" t="n"/>
      <c r="AE33" s="47" t="n"/>
      <c r="AF33" s="19" t="n"/>
      <c r="AG33" s="19" t="n"/>
      <c r="AH33" s="19" t="n"/>
      <c r="AI33" s="19" t="n"/>
      <c r="AJ33" s="19" t="n"/>
      <c r="AK33" s="19" t="n"/>
      <c r="AL33" s="19" t="n"/>
      <c r="AM33" s="19" t="n"/>
      <c r="AN33" s="19" t="n"/>
    </row>
    <row r="34" ht="42" customHeight="1">
      <c r="A34" s="12" t="n"/>
      <c r="B34" s="12" t="inlineStr">
        <is>
          <t>Israel</t>
        </is>
      </c>
      <c r="C34" s="12" t="inlineStr">
        <is>
          <t>Greece</t>
        </is>
      </c>
      <c r="D34" s="13" t="inlineStr">
        <is>
          <t>Intracom Defense (IDE)</t>
        </is>
      </c>
      <c r="E34" s="13" t="inlineStr">
        <is>
          <t>Israel Aerospace Industries (IAI)</t>
        </is>
      </c>
      <c r="F34" s="12" t="inlineStr">
        <is>
          <t>Israel</t>
        </is>
      </c>
      <c r="G34" s="13" t="inlineStr">
        <is>
          <t>Intracom Holdings / shareholders</t>
        </is>
      </c>
      <c r="H34" s="41" t="inlineStr">
        <is>
          <t>2023-05-09</t>
        </is>
      </c>
      <c r="I34" s="41" t="inlineStr">
        <is>
          <t>Expected Q2 2023</t>
        </is>
      </c>
      <c r="J34" s="42" t="n">
        <v>2023</v>
      </c>
      <c r="K34" s="13" t="inlineStr">
        <is>
          <t>M&amp;A</t>
        </is>
      </c>
      <c r="L34" s="13" t="inlineStr">
        <is>
          <t>MAJORITY — 90.91% stake</t>
        </is>
      </c>
      <c r="M34" s="13" t="inlineStr">
        <is>
          <t>Signed / expected close</t>
        </is>
      </c>
      <c r="N34" s="43" t="n">
        <v>66</v>
      </c>
      <c r="O34" s="12" t="inlineStr">
        <is>
          <t>USD</t>
        </is>
      </c>
      <c r="P34" s="13" t="inlineStr">
        <is>
          <t>Hardware / Software</t>
        </is>
      </c>
      <c r="Q34" s="13" t="inlineStr">
        <is>
          <t>Defense Electronics/Sensors</t>
        </is>
      </c>
      <c r="R34" s="13" t="inlineStr">
        <is>
          <t>Core A&amp;D</t>
        </is>
      </c>
      <c r="S34" s="13" t="inlineStr">
        <is>
          <t>Adds a non-cyber Israeli-acquirer transaction. Useful only if the Israel dataset includes Israeli buyers, not just Israeli targets.</t>
        </is>
      </c>
      <c r="T34" s="12" t="inlineStr">
        <is>
          <t>Medium-High</t>
        </is>
      </c>
      <c r="U34" s="13" t="inlineStr">
        <is>
          <t>https://www.iai.co.il/press/iai-has-acquired-greek-defence-company-intracom-defence/</t>
        </is>
      </c>
      <c r="V34" s="13" t="inlineStr">
        <is>
          <t>Company press release + press estimate</t>
        </is>
      </c>
      <c r="W34" s="13" t="inlineStr">
        <is>
          <t>Target country is Greece, not Israel; include only under Israeli-acquirer logic.</t>
        </is>
      </c>
      <c r="Z34" s="44" t="n"/>
      <c r="AA34" s="43" t="n"/>
      <c r="AB34" s="44" t="n"/>
      <c r="AC34" s="43" t="n"/>
      <c r="AD34" s="13" t="n"/>
      <c r="AE34" s="43" t="n"/>
      <c r="AF34" s="13" t="n"/>
      <c r="AG34" s="13" t="n"/>
      <c r="AH34" s="13" t="n"/>
      <c r="AI34" s="13" t="n"/>
      <c r="AJ34" s="13" t="n"/>
      <c r="AK34" s="13" t="n"/>
      <c r="AL34" s="13" t="n"/>
      <c r="AM34" s="13" t="n"/>
      <c r="AN34" s="13" t="n"/>
    </row>
    <row r="35" ht="42" customHeight="1">
      <c r="A35" s="18" t="n"/>
      <c r="B35" s="18" t="inlineStr">
        <is>
          <t>Israel</t>
        </is>
      </c>
      <c r="C35" s="18" t="inlineStr">
        <is>
          <t>Israel</t>
        </is>
      </c>
      <c r="D35" s="19" t="inlineStr">
        <is>
          <t>S.P.O. Smart Precision Optics</t>
        </is>
      </c>
      <c r="E35" s="19" t="inlineStr">
        <is>
          <t>Ondas Inc.</t>
        </is>
      </c>
      <c r="F35" s="18" t="inlineStr">
        <is>
          <t>USA</t>
        </is>
      </c>
      <c r="G35" s="19" t="inlineStr">
        <is>
          <t>Shamir Investment Entrepreneurship ACS Ltd.</t>
        </is>
      </c>
      <c r="H35" s="45" t="inlineStr">
        <is>
          <t>2025-08-26</t>
        </is>
      </c>
      <c r="I35" s="45" t="inlineStr">
        <is>
          <t>2025-10-03</t>
        </is>
      </c>
      <c r="J35" s="46" t="n">
        <v>2025</v>
      </c>
      <c r="K35" s="19" t="inlineStr">
        <is>
          <t>M&amp;A</t>
        </is>
      </c>
      <c r="L35" s="19" t="inlineStr">
        <is>
          <t>MINORITY / controlling stake</t>
        </is>
      </c>
      <c r="M35" s="19" t="inlineStr">
        <is>
          <t>Completed</t>
        </is>
      </c>
      <c r="N35" s="47" t="n">
        <v>6</v>
      </c>
      <c r="O35" s="18" t="inlineStr">
        <is>
          <t>USD</t>
        </is>
      </c>
      <c r="P35" s="19" t="inlineStr">
        <is>
          <t>Hardware</t>
        </is>
      </c>
      <c r="Q35" s="19" t="inlineStr">
        <is>
          <t>Defense Electronics/Sensors</t>
        </is>
      </c>
      <c r="R35" s="19" t="inlineStr">
        <is>
          <t>Core A&amp;D</t>
        </is>
      </c>
      <c r="S35" s="19" t="inlineStr">
        <is>
          <t>Precision optics are relevant to electro-optical systems, missile defense and counter-drone applications.</t>
        </is>
      </c>
      <c r="T35" s="18" t="inlineStr">
        <is>
          <t>High</t>
        </is>
      </c>
      <c r="U35" s="19" t="inlineStr">
        <is>
          <t>https://ir.ondas.com/press-releases/detail/233/ondas-holdings-enters-definitive-agreement-to-acquire</t>
        </is>
      </c>
      <c r="V35" s="19" t="inlineStr">
        <is>
          <t>Company press release / SEC filing</t>
        </is>
      </c>
      <c r="W35" s="19" t="inlineStr">
        <is>
          <t>Ondas annual report states SPO acquisition completed Oct. 3, 2025; value shown from pasted list, verify against filings if used.</t>
        </is>
      </c>
      <c r="Z35" s="48" t="n"/>
      <c r="AA35" s="47" t="n"/>
      <c r="AB35" s="48" t="n"/>
      <c r="AC35" s="47" t="n"/>
      <c r="AD35" s="19" t="n"/>
      <c r="AE35" s="47" t="n">
        <v>3.48</v>
      </c>
      <c r="AF35" s="19" t="inlineStr">
        <is>
          <t>The company was acquired by Ondas (NAS: ONDS) for approximately ILS 6 million on October 3, 2025. Ondas Holdings aims to strengthen its leadership in advanced defense technologies.</t>
        </is>
      </c>
      <c r="AG35" s="19" t="inlineStr">
        <is>
          <t>Corporate Backed or Acquired</t>
        </is>
      </c>
      <c r="AH35" s="19" t="inlineStr">
        <is>
          <t>Generating Revenue</t>
        </is>
      </c>
      <c r="AI35" s="19" t="inlineStr">
        <is>
          <t>Ondas (NAS: ONDS) (Eric Brock)</t>
        </is>
      </c>
      <c r="AJ35" s="19" t="inlineStr">
        <is>
          <t>Other Commercial Products</t>
        </is>
      </c>
      <c r="AK35" s="19" t="inlineStr">
        <is>
          <t>Augmented Reality, Manufacturing</t>
        </is>
      </c>
      <c r="AL35" s="19" t="inlineStr">
        <is>
          <t>Manufacturer and developer of precision optical components intended for various high-tech applications based in Shamir, Israel. The company designs, produces, and measures cylindrical, acylindrical, toric, atoric, and freeform optics using contour fabrication techniques, serving industries such as space, defense, medical, Augmented Reality/Visual Reality, and automotive.</t>
        </is>
      </c>
      <c r="AM35" s="19" t="inlineStr">
        <is>
          <t>Shamir, Israel</t>
        </is>
      </c>
      <c r="AN35" s="19" t="inlineStr">
        <is>
          <t>www.spo.tech</t>
        </is>
      </c>
    </row>
    <row r="36" ht="42" customHeight="1">
      <c r="A36" s="12" t="n"/>
      <c r="B36" s="12" t="inlineStr">
        <is>
          <t>Israel</t>
        </is>
      </c>
      <c r="C36" s="12" t="inlineStr">
        <is>
          <t>Israel</t>
        </is>
      </c>
      <c r="D36" s="13" t="inlineStr">
        <is>
          <t>Insight Intelligent Sensors</t>
        </is>
      </c>
      <c r="E36" s="13" t="inlineStr">
        <is>
          <t>Ondas Inc.</t>
        </is>
      </c>
      <c r="F36" s="12" t="inlineStr">
        <is>
          <t>USA</t>
        </is>
      </c>
      <c r="G36" s="13" t="n"/>
      <c r="H36" s="41" t="inlineStr">
        <is>
          <t>2025-10-29</t>
        </is>
      </c>
      <c r="I36" s="41" t="inlineStr">
        <is>
          <t>2025</t>
        </is>
      </c>
      <c r="J36" s="42" t="n">
        <v>2025</v>
      </c>
      <c r="K36" s="13" t="inlineStr">
        <is>
          <t>M&amp;A</t>
        </is>
      </c>
      <c r="L36" s="13" t="inlineStr">
        <is>
          <t>MINORITY / controlling stake</t>
        </is>
      </c>
      <c r="M36" s="13" t="inlineStr">
        <is>
          <t>Completed</t>
        </is>
      </c>
      <c r="N36" s="43" t="n">
        <v>3.5</v>
      </c>
      <c r="O36" s="12" t="inlineStr">
        <is>
          <t>USD</t>
        </is>
      </c>
      <c r="P36" s="13" t="inlineStr">
        <is>
          <t>Hardware</t>
        </is>
      </c>
      <c r="Q36" s="13" t="inlineStr">
        <is>
          <t>Defense Electronics/Sensors</t>
        </is>
      </c>
      <c r="R36" s="13" t="inlineStr">
        <is>
          <t>Core A&amp;D</t>
        </is>
      </c>
      <c r="S36" s="13" t="inlineStr">
        <is>
          <t>AI-powered electro-optical sensing strengthens counter-UAS, surveillance and early-warning capabilities.</t>
        </is>
      </c>
      <c r="T36" s="12" t="inlineStr">
        <is>
          <t>High</t>
        </is>
      </c>
      <c r="U36" s="13" t="inlineStr">
        <is>
          <t>https://www.ondas.com/post/ondas-expands-its-ai-sensing-capabilities-with-the-acquisition-of-a-controlling-interest-in-insight</t>
        </is>
      </c>
      <c r="V36" s="13" t="inlineStr">
        <is>
          <t>Company press release</t>
        </is>
      </c>
      <c r="W36" s="13" t="inlineStr">
        <is>
          <t>Value from pasted list; source confirms acquisition/relevance, value should be double-checked in filing if needed.</t>
        </is>
      </c>
      <c r="Z36" s="44" t="n"/>
      <c r="AA36" s="43" t="n"/>
      <c r="AB36" s="44" t="n"/>
      <c r="AC36" s="43" t="n"/>
      <c r="AD36" s="13" t="n"/>
      <c r="AE36" s="43" t="n">
        <v>6.86</v>
      </c>
      <c r="AF36" s="13" t="inlineStr">
        <is>
          <t>The company was acquired by Ondas (NAS: ONDS) for $3.5 million on October 27, 2025. This acquisition strengthens Ondas' ability to deliver advanced autonomy and sensing across multiple domains and positions the Company for new government and commercial programs in autonomous detection and environmental intelligence.</t>
        </is>
      </c>
      <c r="AG36" s="13" t="inlineStr">
        <is>
          <t>Corporate Backed or Acquired</t>
        </is>
      </c>
      <c r="AH36" s="13" t="inlineStr">
        <is>
          <t>Generating Revenue</t>
        </is>
      </c>
      <c r="AI36" s="13" t="inlineStr">
        <is>
          <t>Ondas (NAS: ONDS) (Eric Brock)</t>
        </is>
      </c>
      <c r="AJ36" s="13" t="inlineStr">
        <is>
          <t>Aerospace and Defense</t>
        </is>
      </c>
      <c r="AK36" s="13" t="inlineStr">
        <is>
          <t>Manufacturing</t>
        </is>
      </c>
      <c r="AL36" s="13" t="inlineStr">
        <is>
          <t>Manufacturer and designer of artificial intelligence-powered electro-optical systems for real-time anomaly detection in complex environments serving the military and defence industries. The company offers technology-integrated security solutions addressing emerging needs in ISR, border security, critical infrastructure protection, and environmental resilience.</t>
        </is>
      </c>
      <c r="AM36" s="13" t="inlineStr">
        <is>
          <t>Rehovot, Israel</t>
        </is>
      </c>
      <c r="AN36" s="13" t="n"/>
    </row>
    <row r="37" ht="42" customHeight="1">
      <c r="A37" s="18" t="n"/>
      <c r="B37" s="18" t="inlineStr">
        <is>
          <t>Israel</t>
        </is>
      </c>
      <c r="C37" s="18" t="inlineStr">
        <is>
          <t>Israel</t>
        </is>
      </c>
      <c r="D37" s="19" t="inlineStr">
        <is>
          <t>Opgal</t>
        </is>
      </c>
      <c r="E37" s="19" t="inlineStr">
        <is>
          <t>Gevasol Group</t>
        </is>
      </c>
      <c r="F37" s="18" t="inlineStr">
        <is>
          <t>Israel</t>
        </is>
      </c>
      <c r="G37" s="19" t="n"/>
      <c r="H37" s="45" t="inlineStr">
        <is>
          <t>2025-08-01</t>
        </is>
      </c>
      <c r="I37" s="45" t="inlineStr">
        <is>
          <t>2025-08-01</t>
        </is>
      </c>
      <c r="J37" s="46" t="n">
        <v>2025</v>
      </c>
      <c r="K37" s="19" t="inlineStr">
        <is>
          <t>M&amp;A</t>
        </is>
      </c>
      <c r="L37" s="19" t="inlineStr">
        <is>
          <t>FULL</t>
        </is>
      </c>
      <c r="M37" s="19" t="inlineStr">
        <is>
          <t>Completed</t>
        </is>
      </c>
      <c r="N37" s="47" t="inlineStr">
        <is>
          <t>Not disclosed</t>
        </is>
      </c>
      <c r="O37" s="18" t="inlineStr">
        <is>
          <t>USD</t>
        </is>
      </c>
      <c r="P37" s="19" t="inlineStr">
        <is>
          <t>Hardware</t>
        </is>
      </c>
      <c r="Q37" s="19" t="inlineStr">
        <is>
          <t>Defense Electronics/Sensors</t>
        </is>
      </c>
      <c r="R37" s="19" t="inlineStr">
        <is>
          <t>Defense-adjacent</t>
        </is>
      </c>
      <c r="S37" s="19" t="inlineStr">
        <is>
          <t>Opgal develops thermal cameras and electro-optical systems for industrial, HLS/security and defense uses; acquisition is less pure defense but relevant electro-optics.</t>
        </is>
      </c>
      <c r="T37" s="18" t="inlineStr">
        <is>
          <t>Medium-High</t>
        </is>
      </c>
      <c r="U37" s="19" t="inlineStr">
        <is>
          <t>https://www.opgal.com/blog/%D7%9B%D7%9C%D7%9C%D7%99/gevasol-acquires-opgal-to-expand-portfolio-into-advanced-emission-monitoring-and-reduction-technologies/</t>
        </is>
      </c>
      <c r="V37" s="19" t="inlineStr">
        <is>
          <t>Company announcement</t>
        </is>
      </c>
      <c r="W37" s="19" t="inlineStr">
        <is>
          <t>Source focuses on emission monitoring; keep as defense-adjacent, not core A&amp;D.</t>
        </is>
      </c>
      <c r="Z37" s="48" t="n"/>
      <c r="AA37" s="47" t="n"/>
      <c r="AB37" s="48" t="n"/>
      <c r="AC37" s="47" t="n"/>
      <c r="AD37" s="19" t="n"/>
      <c r="AE37" s="47" t="n"/>
      <c r="AF37" s="19" t="inlineStr">
        <is>
          <t>The company was acquired by Gevasol for an undisclosed amount on August 1, 2025. The acquisition enhances Gevasol's portfolio of engineered systems and precision components.</t>
        </is>
      </c>
      <c r="AG37" s="19" t="inlineStr">
        <is>
          <t>Corporate Backed or Acquired</t>
        </is>
      </c>
      <c r="AH37" s="19" t="inlineStr">
        <is>
          <t>Generating Revenue</t>
        </is>
      </c>
      <c r="AI37" s="19" t="inlineStr">
        <is>
          <t>Gevasol (Gideon Yadin)</t>
        </is>
      </c>
      <c r="AJ37" s="19" t="inlineStr">
        <is>
          <t>Electrical Equipment</t>
        </is>
      </c>
      <c r="AK37" s="19" t="inlineStr">
        <is>
          <t>Manufacturing</t>
        </is>
      </c>
      <c r="AL37" s="19" t="inlineStr">
        <is>
          <t>Manufacturer of infrared imaging systems and optical gas detection technologies serving industrial, oil and gas, environmental, and defense sectors. The company offers optical gas imaging cameras, thermographic imaging systems, multi-spectral filters, gas quantification software, real-time streaming tools, and wireless connectivity features, helping users detect volatile organic compounds, monitor emissions, and ensure safety and compliance in harsh operating environments.</t>
        </is>
      </c>
      <c r="AM37" s="19" t="inlineStr">
        <is>
          <t>Karmiel, Israel</t>
        </is>
      </c>
      <c r="AN37" s="19" t="inlineStr">
        <is>
          <t>www.opgal.com</t>
        </is>
      </c>
    </row>
    <row r="38" ht="42" customHeight="1">
      <c r="A38" s="12" t="n"/>
      <c r="B38" s="12" t="inlineStr">
        <is>
          <t>Israel</t>
        </is>
      </c>
      <c r="C38" s="12" t="inlineStr">
        <is>
          <t>Israel</t>
        </is>
      </c>
      <c r="D38" s="13" t="inlineStr">
        <is>
          <t>Enercon Technologies</t>
        </is>
      </c>
      <c r="E38" s="13" t="inlineStr">
        <is>
          <t>Bel Fuse</t>
        </is>
      </c>
      <c r="F38" s="12" t="inlineStr">
        <is>
          <t>USA</t>
        </is>
      </c>
      <c r="G38" s="13" t="inlineStr">
        <is>
          <t>Fortissimo Capital / shareholders</t>
        </is>
      </c>
      <c r="H38" s="41" t="inlineStr">
        <is>
          <t>2024-09-18</t>
        </is>
      </c>
      <c r="I38" s="41" t="inlineStr">
        <is>
          <t>2024-11-14</t>
        </is>
      </c>
      <c r="J38" s="42" t="n">
        <v>2024</v>
      </c>
      <c r="K38" s="13" t="inlineStr">
        <is>
          <t>M&amp;A</t>
        </is>
      </c>
      <c r="L38" s="13" t="inlineStr">
        <is>
          <t>MINORITY / controlling 80% stake</t>
        </is>
      </c>
      <c r="M38" s="13" t="inlineStr">
        <is>
          <t>Completed</t>
        </is>
      </c>
      <c r="N38" s="43" t="n">
        <v>324</v>
      </c>
      <c r="O38" s="12" t="inlineStr">
        <is>
          <t>USD</t>
        </is>
      </c>
      <c r="P38" s="13" t="inlineStr">
        <is>
          <t>Hardware</t>
        </is>
      </c>
      <c r="Q38" s="13" t="inlineStr">
        <is>
          <t>Power/Components</t>
        </is>
      </c>
      <c r="R38" s="13" t="inlineStr">
        <is>
          <t>Core A&amp;D</t>
        </is>
      </c>
      <c r="S38" s="13" t="inlineStr">
        <is>
          <t>Enercon designs power conversion/networking solutions for military and aerospace applications; Bel acquired majority stake.</t>
        </is>
      </c>
      <c r="T38" s="12" t="inlineStr">
        <is>
          <t>High</t>
        </is>
      </c>
      <c r="U38" s="13" t="inlineStr">
        <is>
          <t>https://ir.belfuse.com/news-releases/news-release-details/bel-announces-agreement-acquire-enercon-technologies</t>
        </is>
      </c>
      <c r="V38" s="13" t="inlineStr">
        <is>
          <t>Company press release / SEC filing</t>
        </is>
      </c>
      <c r="W38" s="13" t="inlineStr">
        <is>
          <t>Use 80% stake / majority acquisition, not full acquisition.</t>
        </is>
      </c>
      <c r="Z38" s="44" t="n"/>
      <c r="AA38" s="43" t="n"/>
      <c r="AB38" s="44" t="n"/>
      <c r="AC38" s="43" t="n"/>
      <c r="AD38" s="13" t="n"/>
      <c r="AE38" s="43" t="n">
        <v>324</v>
      </c>
      <c r="AF38" s="13" t="inlineStr">
        <is>
          <t>The company was acquired by Bel Fuse (NASDAQ: BELFB) for approximately $324 million on November 14, 2024. The company will receive a contingent payout of $10 million based on earnout payments for the 2025-2026 period. The acquisition will allow Bel Fuse to extend its product portfolio, supporting the aerospace and defense markets.</t>
        </is>
      </c>
      <c r="AG38" s="13" t="inlineStr">
        <is>
          <t>Formerly PE-Backed</t>
        </is>
      </c>
      <c r="AH38" s="13" t="inlineStr">
        <is>
          <t>Generating Revenue</t>
        </is>
      </c>
      <c r="AI38" s="13" t="inlineStr">
        <is>
          <t>Bel Fuse (NAS: BELFB) (Daniel Bernstein)</t>
        </is>
      </c>
      <c r="AJ38" s="13" t="inlineStr">
        <is>
          <t>Aerospace and Defense</t>
        </is>
      </c>
      <c r="AK38" s="13" t="inlineStr">
        <is>
          <t>Manufacturing</t>
        </is>
      </c>
      <c r="AL38" s="13" t="inlineStr">
        <is>
          <t>Manufacturer of power supplies intended to serve the military, civilian aerospace and aircraft markets. The company offers ethernet switches, routers, inverters, storage devices, universal serial bus (USB) hubs and embedded accessories, enabling clients to have customized power supplies produced in accordance with specific requests and constraints.</t>
        </is>
      </c>
      <c r="AM38" s="13" t="inlineStr">
        <is>
          <t>Netanya, Israel</t>
        </is>
      </c>
      <c r="AN38" s="13" t="inlineStr">
        <is>
          <t>www.enercon.co.il</t>
        </is>
      </c>
    </row>
    <row r="39" ht="42" customHeight="1">
      <c r="A39" s="18" t="n"/>
      <c r="B39" s="18" t="inlineStr">
        <is>
          <t>Israel</t>
        </is>
      </c>
      <c r="C39" s="18" t="inlineStr">
        <is>
          <t>Israel</t>
        </is>
      </c>
      <c r="D39" s="19" t="inlineStr">
        <is>
          <t>Israeli Industrial Batteries</t>
        </is>
      </c>
      <c r="E39" s="19" t="inlineStr">
        <is>
          <t>Sunlight Group</t>
        </is>
      </c>
      <c r="F39" s="18" t="inlineStr">
        <is>
          <t>Greece / EU</t>
        </is>
      </c>
      <c r="G39" s="19" t="n"/>
      <c r="H39" s="45" t="inlineStr">
        <is>
          <t>2023-02-14</t>
        </is>
      </c>
      <c r="I39" s="45" t="inlineStr">
        <is>
          <t>2023-02-14</t>
        </is>
      </c>
      <c r="J39" s="46" t="n">
        <v>2023</v>
      </c>
      <c r="K39" s="19" t="inlineStr">
        <is>
          <t>M&amp;A</t>
        </is>
      </c>
      <c r="L39" s="19" t="inlineStr">
        <is>
          <t>MINORITY / 51% stake</t>
        </is>
      </c>
      <c r="M39" s="19" t="inlineStr">
        <is>
          <t>Completed</t>
        </is>
      </c>
      <c r="N39" s="47" t="inlineStr">
        <is>
          <t>Not disclosed</t>
        </is>
      </c>
      <c r="O39" s="18" t="inlineStr">
        <is>
          <t>USD</t>
        </is>
      </c>
      <c r="P39" s="19" t="inlineStr">
        <is>
          <t>Hardware</t>
        </is>
      </c>
      <c r="Q39" s="19" t="inlineStr">
        <is>
          <t>Power/Components</t>
        </is>
      </c>
      <c r="R39" s="19" t="inlineStr">
        <is>
          <t>Defense-adjacent</t>
        </is>
      </c>
      <c r="S39" s="19" t="inlineStr">
        <is>
          <t>Battery company relevant to defense/industrial power supply chain; include only as defense-adjacent, not core platform A&amp;D.</t>
        </is>
      </c>
      <c r="T39" s="18" t="inlineStr">
        <is>
          <t>Medium</t>
        </is>
      </c>
      <c r="U39" s="19" t="inlineStr">
        <is>
          <t>https://www.linkedin.com/posts/sunlight-group-energy-storage-systems_partnership-acquisition-growth-activity-7031232903506255873-khvk</t>
        </is>
      </c>
      <c r="V39" s="19" t="inlineStr">
        <is>
          <t>Company LinkedIn / secondary source</t>
        </is>
      </c>
      <c r="W39" s="19" t="inlineStr">
        <is>
          <t>Source says Sunlight acquired 51% stake; no deal value disclosed.</t>
        </is>
      </c>
      <c r="Z39" s="48" t="n"/>
      <c r="AA39" s="47" t="n"/>
      <c r="AB39" s="48" t="n"/>
      <c r="AC39" s="47" t="n"/>
      <c r="AD39" s="19" t="n"/>
      <c r="AE39" s="47" t="n"/>
      <c r="AF39" s="19" t="inlineStr">
        <is>
          <t>The company was acquired by The Sunlight Group for an undisclosed amount on February 14, 2023. The acquisition will help in The Sunlight Group's objective for global leadership in motive power batteries for the intralogistics sector and energy storage systems for renewables and expands their geographical reach in the MENA region.</t>
        </is>
      </c>
      <c r="AG39" s="19" t="inlineStr">
        <is>
          <t>Corporate Backed or Acquired</t>
        </is>
      </c>
      <c r="AH39" s="19" t="inlineStr">
        <is>
          <t>Generating Revenue</t>
        </is>
      </c>
      <c r="AI39" s="19" t="inlineStr">
        <is>
          <t>Systems Sunlight (Lampros Bisalas)</t>
        </is>
      </c>
      <c r="AJ39" s="19" t="inlineStr">
        <is>
          <t>Electrical Equipment</t>
        </is>
      </c>
      <c r="AK39" s="19" t="inlineStr">
        <is>
          <t>Manufacturing</t>
        </is>
      </c>
      <c r="AL39" s="19" t="inlineStr">
        <is>
          <t>Manufacturer and supplier of industrial batteries catering to telecom, aerospace and defense sectors. The company offers chargers, solar systems, ups, traction, telecom, railway, special and lithium-ion batteries as well as battery room equipment.</t>
        </is>
      </c>
      <c r="AM39" s="19" t="inlineStr">
        <is>
          <t>Nahariya, Israel</t>
        </is>
      </c>
      <c r="AN39" s="19" t="inlineStr">
        <is>
          <t>eng.iib.co.il</t>
        </is>
      </c>
    </row>
    <row r="40" ht="42" customHeight="1">
      <c r="A40" s="12" t="n"/>
      <c r="B40" s="12" t="inlineStr">
        <is>
          <t>Israel</t>
        </is>
      </c>
      <c r="C40" s="12" t="inlineStr">
        <is>
          <t>Israel</t>
        </is>
      </c>
      <c r="D40" s="13" t="inlineStr">
        <is>
          <t>DSIT Solutions</t>
        </is>
      </c>
      <c r="E40" s="13" t="inlineStr">
        <is>
          <t>IPO / Public listing</t>
        </is>
      </c>
      <c r="F40" s="12" t="inlineStr">
        <is>
          <t>Israel</t>
        </is>
      </c>
      <c r="G40" s="13" t="n"/>
      <c r="H40" s="41" t="inlineStr">
        <is>
          <t>2026-03-12</t>
        </is>
      </c>
      <c r="I40" s="41" t="inlineStr">
        <is>
          <t>2026-03-12</t>
        </is>
      </c>
      <c r="J40" s="42" t="n">
        <v>2026</v>
      </c>
      <c r="K40" s="13" t="inlineStr">
        <is>
          <t>IPO</t>
        </is>
      </c>
      <c r="L40" s="13" t="inlineStr">
        <is>
          <t>OTHER</t>
        </is>
      </c>
      <c r="M40" s="13" t="inlineStr">
        <is>
          <t>Completed / listed</t>
        </is>
      </c>
      <c r="N40" s="43" t="inlineStr">
        <is>
          <t>Not disclosed</t>
        </is>
      </c>
      <c r="O40" s="12" t="inlineStr">
        <is>
          <t>USD</t>
        </is>
      </c>
      <c r="P40" s="13" t="inlineStr">
        <is>
          <t>Hardware</t>
        </is>
      </c>
      <c r="Q40" s="13" t="inlineStr">
        <is>
          <t>Maritime Systems</t>
        </is>
      </c>
      <c r="R40" s="13" t="inlineStr">
        <is>
          <t>Core A&amp;D public-market transaction</t>
        </is>
      </c>
      <c r="S40" s="13" t="inlineStr">
        <is>
          <t>Rafael underwater surveillance subsidiary; sonar, diver detection, ASW and underwater security systems.</t>
        </is>
      </c>
      <c r="T40" s="12" t="inlineStr">
        <is>
          <t>Medium-High</t>
        </is>
      </c>
      <c r="U40" s="13" t="inlineStr">
        <is>
          <t>https://www.tradingview.com/symbols/TASE-DSIT/</t>
        </is>
      </c>
      <c r="V40" s="13" t="inlineStr">
        <is>
          <t>Market data / company profile</t>
        </is>
      </c>
      <c r="W40" s="13" t="inlineStr">
        <is>
          <t>IPO/public-market row, not M&amp;A. Deal value from pasted list was blank; fill only from prospectus/TASE if needed.</t>
        </is>
      </c>
      <c r="Z40" s="44" t="n"/>
      <c r="AA40" s="43" t="n"/>
      <c r="AB40" s="44" t="n"/>
      <c r="AC40" s="43" t="n"/>
      <c r="AD40" s="13" t="n"/>
      <c r="AE40" s="43" t="n"/>
      <c r="AF40" s="13" t="inlineStr">
        <is>
          <t>The company completed its initial public offering on the Tel Aviv Stock Exchange under the ticker symbol of DSIT on March 13, 2026.</t>
        </is>
      </c>
      <c r="AG40" s="13" t="inlineStr">
        <is>
          <t>Corporate Backed or Acquired</t>
        </is>
      </c>
      <c r="AH40" s="13" t="inlineStr">
        <is>
          <t>Profitable</t>
        </is>
      </c>
      <c r="AI40" s="13" t="n"/>
      <c r="AJ40" s="13" t="inlineStr">
        <is>
          <t>Aerospace and Defense</t>
        </is>
      </c>
      <c r="AK40" s="13" t="inlineStr">
        <is>
          <t>Industrials</t>
        </is>
      </c>
      <c r="AL40" s="13" t="inlineStr">
        <is>
          <t>DSIT Solutions Ltd is a technological company specializing in underwater technology solutions. It has developed and implemented comprehensive defense and protection solutions against various underwater threats, focusing on six main types of solutions: Underwater Domain Awareness, Underwater Security, Anti-Submarine Warfare (ASW) Systems for Surface Ships, Trainers, PAR &amp; Acoustic Signal Analysis (ASA) Systems, and Underwater Communication Systems.</t>
        </is>
      </c>
      <c r="AM40" s="13" t="inlineStr">
        <is>
          <t>Givat Shmuel, Israel</t>
        </is>
      </c>
      <c r="AN40" s="13" t="inlineStr">
        <is>
          <t>www.dsit.co.il</t>
        </is>
      </c>
    </row>
    <row r="41" ht="42" customHeight="1">
      <c r="A41" s="18" t="n"/>
      <c r="B41" s="18" t="inlineStr">
        <is>
          <t>Israel</t>
        </is>
      </c>
      <c r="C41" s="18" t="inlineStr">
        <is>
          <t>Israel</t>
        </is>
      </c>
      <c r="D41" s="19" t="inlineStr">
        <is>
          <t>Smart Shooter</t>
        </is>
      </c>
      <c r="E41" s="19" t="inlineStr">
        <is>
          <t>IPO / Public listing</t>
        </is>
      </c>
      <c r="F41" s="18" t="inlineStr">
        <is>
          <t>Israel</t>
        </is>
      </c>
      <c r="G41" s="19" t="n"/>
      <c r="H41" s="45" t="inlineStr">
        <is>
          <t>2026-03-02</t>
        </is>
      </c>
      <c r="I41" s="45" t="inlineStr">
        <is>
          <t>2026-03-02</t>
        </is>
      </c>
      <c r="J41" s="46" t="n">
        <v>2026</v>
      </c>
      <c r="K41" s="19" t="inlineStr">
        <is>
          <t>IPO</t>
        </is>
      </c>
      <c r="L41" s="19" t="inlineStr">
        <is>
          <t>OTHER</t>
        </is>
      </c>
      <c r="M41" s="19" t="inlineStr">
        <is>
          <t>Completed / listed</t>
        </is>
      </c>
      <c r="N41" s="47" t="n">
        <v>65</v>
      </c>
      <c r="O41" s="18" t="inlineStr">
        <is>
          <t>USD</t>
        </is>
      </c>
      <c r="P41" s="19" t="inlineStr">
        <is>
          <t>Hardware</t>
        </is>
      </c>
      <c r="Q41" s="19" t="inlineStr">
        <is>
          <t>Weapons/Munitions</t>
        </is>
      </c>
      <c r="R41" s="19" t="inlineStr">
        <is>
          <t>Core A&amp;D public-market transaction</t>
        </is>
      </c>
      <c r="S41" s="19" t="inlineStr">
        <is>
          <t>Israeli defense-tech company developing SMASH electro-optical fire-control systems for small arms and drone threats.</t>
        </is>
      </c>
      <c r="T41" s="18" t="inlineStr">
        <is>
          <t>Medium-High</t>
        </is>
      </c>
      <c r="U41" s="19" t="inlineStr">
        <is>
          <t>https://en.globes.co.il/en/article-smart-shooter-raises-nis-200m-in-tase-ipo-1001536422</t>
        </is>
      </c>
      <c r="V41" s="19" t="inlineStr">
        <is>
          <t>Reputable press</t>
        </is>
      </c>
      <c r="W41" s="19" t="inlineStr">
        <is>
          <t>Public-market pricing/IPO; not M&amp;A. Verify USD conversion/valuation before using in totals.</t>
        </is>
      </c>
      <c r="Z41" s="48" t="n"/>
      <c r="AA41" s="47" t="n"/>
      <c r="AB41" s="48" t="n">
        <v>3.03</v>
      </c>
      <c r="AC41" s="47" t="n">
        <v>27.7</v>
      </c>
      <c r="AD41" s="19" t="n"/>
      <c r="AE41" s="47" t="n">
        <v>290.09</v>
      </c>
      <c r="AF41" s="19" t="inlineStr">
        <is>
          <t>The company raised ILS 260 million in its initial public offering on the Tel Aviv Stock Exchange under the ticker symbol of SMSH on March 5, 2026. After the offering, the company was valued at ILS 900 million. The total proceeds, before expenses, to the company was ILS 200 million and to the selling shareholders was ILS 60 million. In the offering, the company and the selling shareholders sold shares.</t>
        </is>
      </c>
      <c r="AG41" s="19" t="inlineStr">
        <is>
          <t>Formerly VC-backed</t>
        </is>
      </c>
      <c r="AH41" s="19" t="inlineStr">
        <is>
          <t>Generating Revenue</t>
        </is>
      </c>
      <c r="AI41" s="19" t="n"/>
      <c r="AJ41" s="19" t="inlineStr">
        <is>
          <t>Aerospace and Defense</t>
        </is>
      </c>
      <c r="AK41" s="19" t="inlineStr">
        <is>
          <t>Industrials, Manufacturing</t>
        </is>
      </c>
      <c r="AL41" s="19" t="inlineStr">
        <is>
          <t>Smart Shooter Ltd is engaged in the development, production, and sale of electro-optical fire control. It develops Fire Control Systems for small arms that significantly increase weapon accuracy and lethality when engaging static and moving targets, on the ground and in the air, day and night. With effective One Shot - One Hit precision, its product line empowers defense and security forces by maximizing rifle effectiveness against enemy targets while minimizing friendly casualties and collateral damage. Based on Artificial Intelligence, Computer Vision, and Machine Learning technologies, it is also designed to interconnect with other operational resources to form a micro-tactical network. Its systems solutions are SMASH 2000L (3000), SMASH Hopper 5000, and others.</t>
        </is>
      </c>
      <c r="AM41" s="19" t="inlineStr">
        <is>
          <t>Israel</t>
        </is>
      </c>
      <c r="AN41" s="19" t="inlineStr">
        <is>
          <t>www.smart-shooter.com</t>
        </is>
      </c>
    </row>
    <row r="42" ht="42" customHeight="1">
      <c r="A42" s="12" t="inlineStr">
        <is>
          <t>IL-IPO-2025-001</t>
        </is>
      </c>
      <c r="B42" s="12" t="inlineStr">
        <is>
          <t>Israel</t>
        </is>
      </c>
      <c r="C42" s="12" t="inlineStr">
        <is>
          <t>Israel</t>
        </is>
      </c>
      <c r="D42" s="13" t="inlineStr">
        <is>
          <t>Reshef Technologies</t>
        </is>
      </c>
      <c r="E42" s="13" t="inlineStr">
        <is>
          <t>N/A – IPO</t>
        </is>
      </c>
      <c r="F42" s="12" t="inlineStr">
        <is>
          <t>N/A</t>
        </is>
      </c>
      <c r="G42" s="13" t="inlineStr">
        <is>
          <t>Aryt Industries / existing parent</t>
        </is>
      </c>
      <c r="H42" s="41" t="n">
        <v>45994</v>
      </c>
      <c r="I42" s="41" t="n"/>
      <c r="J42" s="42" t="n">
        <v>2025</v>
      </c>
      <c r="K42" s="13" t="inlineStr">
        <is>
          <t>IPO</t>
        </is>
      </c>
      <c r="L42" s="13" t="inlineStr">
        <is>
          <t>IPO / public listing transaction</t>
        </is>
      </c>
      <c r="M42" s="13" t="inlineStr">
        <is>
          <t>Announced / In process</t>
        </is>
      </c>
      <c r="N42" s="43" t="n">
        <v>295.12</v>
      </c>
      <c r="O42" s="12" t="inlineStr">
        <is>
          <t>USD</t>
        </is>
      </c>
      <c r="P42" s="13" t="inlineStr">
        <is>
          <t>Hardware / Defense electronics</t>
        </is>
      </c>
      <c r="Q42" s="13" t="inlineStr">
        <is>
          <t>Weapons/Munitions</t>
        </is>
      </c>
      <c r="R42" s="13" t="inlineStr">
        <is>
          <t>Cybersecurity</t>
        </is>
      </c>
      <c r="S42" s="13" t="inlineStr">
        <is>
          <t>Relevant as an Israeli defense-electronics and munitions company focused on electronic fuzes; not an M&amp;A transaction and has no acquirer.</t>
        </is>
      </c>
      <c r="T42" s="12" t="inlineStr">
        <is>
          <t>Medium – PitchBook screenshot-based; public verification recommended</t>
        </is>
      </c>
      <c r="U42" s="13" t="inlineStr">
        <is>
          <t>PitchBook export / user screenshot</t>
        </is>
      </c>
      <c r="V42" s="13" t="inlineStr">
        <is>
          <t>PitchBook</t>
        </is>
      </c>
      <c r="W42" s="13" t="inlineStr">
        <is>
          <t>No acquirer because this is an IPO/public-listing row, not M&amp;A. Keep only if the database includes IPOs.</t>
        </is>
      </c>
      <c r="Z42" s="44" t="n"/>
      <c r="AA42" s="43" t="n"/>
      <c r="AB42" s="44" t="n"/>
      <c r="AC42" s="43" t="n"/>
      <c r="AD42" s="13" t="n"/>
      <c r="AE42" s="43" t="n"/>
      <c r="AF42" s="13" t="inlineStr">
        <is>
          <t>The company filed to go public on the Tel Aviv Stock Exchange under an undisclosed ticker symbol on December 3, 2025. They intend to sell 102,444,800 shares at a price of ILS 9.38 per share. The expected offering amount is ILS 960.93 million.</t>
        </is>
      </c>
      <c r="AG42" s="13" t="inlineStr">
        <is>
          <t>Corporation</t>
        </is>
      </c>
      <c r="AH42" s="13" t="inlineStr">
        <is>
          <t>Generating Revenue</t>
        </is>
      </c>
      <c r="AI42" s="13" t="n"/>
      <c r="AJ42" s="13" t="inlineStr">
        <is>
          <t>Aerospace and Defense</t>
        </is>
      </c>
      <c r="AK42" s="13" t="inlineStr">
        <is>
          <t>Manufacturing</t>
        </is>
      </c>
      <c r="AL42" s="13" t="inlineStr">
        <is>
          <t>Manufacturer of advanced electronic fuzes based in Or-Yehuda, Israel. The company combines in-house R&amp;D and manufacturing to design next-generation fuzes, employing expertise in electronics, miniaturization, and ruggedized design meeting military standards.</t>
        </is>
      </c>
      <c r="AM42" s="13" t="inlineStr">
        <is>
          <t>Or-Yehuda, Israel</t>
        </is>
      </c>
      <c r="AN42" s="13" t="inlineStr">
        <is>
          <t>www.reshefuzes.com</t>
        </is>
      </c>
    </row>
    <row r="43" ht="42" customHeight="1">
      <c r="A43" s="18" t="inlineStr">
        <is>
          <t>IL-MA-2024-002</t>
        </is>
      </c>
      <c r="B43" s="18" t="inlineStr">
        <is>
          <t>Israel</t>
        </is>
      </c>
      <c r="C43" s="18" t="inlineStr">
        <is>
          <t>Israel</t>
        </is>
      </c>
      <c r="D43" s="19" t="inlineStr">
        <is>
          <t>Avalor</t>
        </is>
      </c>
      <c r="E43" s="19" t="inlineStr">
        <is>
          <t>Zscaler Inc.</t>
        </is>
      </c>
      <c r="F43" s="18" t="inlineStr">
        <is>
          <t>United States</t>
        </is>
      </c>
      <c r="G43" s="19" t="inlineStr">
        <is>
          <t>Avalor shareholders</t>
        </is>
      </c>
      <c r="H43" s="45" t="n">
        <v>45359</v>
      </c>
      <c r="I43" s="45" t="n">
        <v>45359</v>
      </c>
      <c r="J43" s="46" t="n">
        <v>2024</v>
      </c>
      <c r="K43" s="19" t="inlineStr">
        <is>
          <t>M&amp;A</t>
        </is>
      </c>
      <c r="L43" s="19" t="inlineStr">
        <is>
          <t>Acquisition</t>
        </is>
      </c>
      <c r="M43" s="19" t="inlineStr">
        <is>
          <t>Completed</t>
        </is>
      </c>
      <c r="N43" s="47" t="n">
        <v>295</v>
      </c>
      <c r="O43" s="18" t="inlineStr">
        <is>
          <t>USD</t>
        </is>
      </c>
      <c r="P43" s="19" t="inlineStr">
        <is>
          <t>Software / Cybersecurity</t>
        </is>
      </c>
      <c r="Q43" s="19" t="inlineStr">
        <is>
          <t>Cybersecurity</t>
        </is>
      </c>
      <c r="R43" s="19" t="inlineStr">
        <is>
          <t>Tier 2 – cyber / dual-use</t>
        </is>
      </c>
      <c r="S43" s="19" t="inlineStr">
        <is>
          <t>Relevant as an Israeli cybersecurity acquisition with dual-use relevance; deal value shown in PitchBook screenshot.</t>
        </is>
      </c>
      <c r="T43" s="18" t="inlineStr">
        <is>
          <t>High – public source verified</t>
        </is>
      </c>
      <c r="U43" s="19" t="inlineStr">
        <is>
          <t>https://ir.zscaler.com/news-releases/news-release-details/future-security-risk-management-and-operations-data-and-ai</t>
        </is>
      </c>
      <c r="V43" s="19" t="inlineStr">
        <is>
          <t>Company press release + PitchBook</t>
        </is>
      </c>
      <c r="W43" s="19" t="inlineStr">
        <is>
          <t>Public source confirms Zscaler acquired Avalor; acquisition closed on March 13, 2024. PitchBook screenshot shows March 8/2024; keep PitchBook date if using PitchBook as primary.</t>
        </is>
      </c>
      <c r="Z43" s="48" t="n"/>
      <c r="AA43" s="47" t="n"/>
      <c r="AB43" s="48" t="n"/>
      <c r="AC43" s="47" t="n"/>
      <c r="AD43" s="19" t="n"/>
      <c r="AE43" s="47" t="n">
        <v>256.69</v>
      </c>
      <c r="AF43" s="19" t="inlineStr">
        <is>
          <t>The company was acquired by Zscaler (NAS: ZS) for $256.687 million on March 8, 2024. Zscaler plan to integrate this company's technology into our cloud platform.</t>
        </is>
      </c>
      <c r="AG43" s="19" t="inlineStr">
        <is>
          <t>Formerly VC-backed</t>
        </is>
      </c>
      <c r="AH43" s="19" t="inlineStr">
        <is>
          <t>Generating Revenue</t>
        </is>
      </c>
      <c r="AI43" s="19" t="inlineStr">
        <is>
          <t>Zscaler (NAS: ZS)</t>
        </is>
      </c>
      <c r="AJ43" s="19" t="inlineStr">
        <is>
          <t>Network Management Software</t>
        </is>
      </c>
      <c r="AK43" s="19" t="inlineStr">
        <is>
          <t>Cybersecurity</t>
        </is>
      </c>
      <c r="AL43" s="19" t="inlineStr">
        <is>
          <t>Developer of a data security platform designed to act as a source of truth for cybersecurity assets, controls, identities, vulnerabilities, bugs, and other data points. The company's platform can handle data from any source with its vulnerability risk management and prioritization tools and scalability, enabling security teams to aggregate, normalize, de-duplicate, and track risk data from discovery to remediation.</t>
        </is>
      </c>
      <c r="AM43" s="19" t="inlineStr">
        <is>
          <t>Ramat Gan, Israel</t>
        </is>
      </c>
      <c r="AN43" s="19" t="inlineStr">
        <is>
          <t>uvm.zscaler.com</t>
        </is>
      </c>
    </row>
    <row r="44" ht="42" customHeight="1">
      <c r="A44" s="12" t="inlineStr">
        <is>
          <t>IL-IPO-2024-001</t>
        </is>
      </c>
      <c r="B44" s="12" t="inlineStr">
        <is>
          <t>Israel</t>
        </is>
      </c>
      <c r="C44" s="12" t="inlineStr">
        <is>
          <t>Israel</t>
        </is>
      </c>
      <c r="D44" s="13" t="inlineStr">
        <is>
          <t>Gauzy Ltd. (NASDAQ: GAUZ)</t>
        </is>
      </c>
      <c r="E44" s="13" t="inlineStr">
        <is>
          <t>N/A – IPO</t>
        </is>
      </c>
      <c r="F44" s="12" t="inlineStr">
        <is>
          <t>N/A</t>
        </is>
      </c>
      <c r="G44" s="13" t="inlineStr">
        <is>
          <t>N/A</t>
        </is>
      </c>
      <c r="H44" s="41" t="n">
        <v>45450</v>
      </c>
      <c r="I44" s="41" t="n">
        <v>45450</v>
      </c>
      <c r="J44" s="42" t="n">
        <v>2024</v>
      </c>
      <c r="K44" s="13" t="inlineStr">
        <is>
          <t>IPO</t>
        </is>
      </c>
      <c r="L44" s="13" t="inlineStr">
        <is>
          <t>Initial public offering</t>
        </is>
      </c>
      <c r="M44" s="13" t="inlineStr">
        <is>
          <t>Completed</t>
        </is>
      </c>
      <c r="N44" s="43" t="n">
        <v>75</v>
      </c>
      <c r="O44" s="12" t="inlineStr">
        <is>
          <t>USD</t>
        </is>
      </c>
      <c r="P44" s="13" t="inlineStr">
        <is>
          <t>Hardware / Advanced materials / Vision systems</t>
        </is>
      </c>
      <c r="Q44" s="13" t="inlineStr">
        <is>
          <t>Vision Systems / Advanced Materials</t>
        </is>
      </c>
      <c r="R44" s="13" t="inlineStr">
        <is>
          <t>Tier 2 – dual-use adjacent</t>
        </is>
      </c>
      <c r="S44" s="13" t="inlineStr">
        <is>
          <t>Relevant as an Israeli advanced materials and vision-systems IPO with mobility-safety applications; not an M&amp;A transaction and has no acquirer.</t>
        </is>
      </c>
      <c r="T44" s="12" t="inlineStr">
        <is>
          <t>High – public source verified</t>
        </is>
      </c>
      <c r="U44" s="13" t="inlineStr">
        <is>
          <t>https://www.gauzy.com/articles/gauzy-ltd-announces-closing-of-75-million-initial-public-offering/</t>
        </is>
      </c>
      <c r="V44" s="13" t="inlineStr">
        <is>
          <t>Company press release + PitchBook</t>
        </is>
      </c>
      <c r="W44" s="13" t="inlineStr">
        <is>
          <t>No acquirer because this is an IPO row. Company press release confirms $75M IPO.</t>
        </is>
      </c>
      <c r="Z44" s="44" t="n">
        <v>-1.42</v>
      </c>
      <c r="AA44" s="43" t="n">
        <v>-52.9</v>
      </c>
      <c r="AB44" s="44" t="n">
        <v>0.88</v>
      </c>
      <c r="AC44" s="43" t="n">
        <v>85.28</v>
      </c>
      <c r="AD44" s="13" t="n"/>
      <c r="AE44" s="43" t="n">
        <v>323.92</v>
      </c>
      <c r="AF44" s="13" t="inlineStr">
        <is>
          <t>The company raised $75 million in its initial public offering on the Nasdaq stock exchange under the ticker symbol of GAUZ on June 7, 2024. A total of 4,411,765 shares were sold at $17 per share. After the offering, there was a total of 19,054,409 outstanding shares at $17 per share, valuing the company at $323.93 million. The underwriters were granted an option to purchase up to an additional 661,765 shares from the company to cover over-allotments, if any.</t>
        </is>
      </c>
      <c r="AG44" s="13" t="inlineStr">
        <is>
          <t>Formerly PE-Backed</t>
        </is>
      </c>
      <c r="AH44" s="13" t="inlineStr">
        <is>
          <t>Generating Revenue</t>
        </is>
      </c>
      <c r="AI44" s="13" t="n"/>
      <c r="AJ44" s="13" t="inlineStr">
        <is>
          <t>Electrical Equipment</t>
        </is>
      </c>
      <c r="AK44" s="13" t="inlineStr">
        <is>
          <t>Manufacturing, Nanotechnology</t>
        </is>
      </c>
      <c r="AL44" s="13" t="inlineStr">
        <is>
          <t>Gauzy Ltd is a fully integrated light and vision control company. Its products include suspended particle device and liquid crystal materials for smart glass applications and AI-powered driver assistance systems, or ADAS, solutions including camera monitoring systems. The company's operating segments are Architecture, Automotive, Safety tech, and Aeronautics. Maximum revenue is generated from its Safety tech segment, which focuses on sales of driver assistance systems for buses, coaches, recreational vehicles, and specific vehicles, such as camera and motion sensor systems, smart mirrors, and safety doors. Geographically, it derives maximum revenue from other European countries (excluding France), followed by the United States, France, Asia, Israel, and other regions.</t>
        </is>
      </c>
      <c r="AM44" s="13" t="inlineStr">
        <is>
          <t>Tel Aviv, Israel</t>
        </is>
      </c>
      <c r="AN44" s="13" t="inlineStr">
        <is>
          <t>www.gauzy.com</t>
        </is>
      </c>
    </row>
    <row r="45" ht="42" customHeight="1">
      <c r="A45" s="18" t="inlineStr">
        <is>
          <t>IL-MA-2024-003</t>
        </is>
      </c>
      <c r="B45" s="18" t="inlineStr">
        <is>
          <t>Israel</t>
        </is>
      </c>
      <c r="C45" s="18" t="inlineStr">
        <is>
          <t>Israel</t>
        </is>
      </c>
      <c r="D45" s="19" t="inlineStr">
        <is>
          <t>G1 Secure Solutions</t>
        </is>
      </c>
      <c r="E45" s="19" t="inlineStr">
        <is>
          <t>Universal Motors Israel / UMI</t>
        </is>
      </c>
      <c r="F45" s="18" t="inlineStr">
        <is>
          <t>Israel</t>
        </is>
      </c>
      <c r="G45" s="19" t="inlineStr">
        <is>
          <t>FIMI Opportunity Funds</t>
        </is>
      </c>
      <c r="H45" s="45" t="n">
        <v>45295</v>
      </c>
      <c r="I45" s="45" t="n">
        <v>45295</v>
      </c>
      <c r="J45" s="46" t="n">
        <v>2024</v>
      </c>
      <c r="K45" s="19" t="inlineStr">
        <is>
          <t>M&amp;A</t>
        </is>
      </c>
      <c r="L45" s="19" t="inlineStr">
        <is>
          <t>Acquisition</t>
        </is>
      </c>
      <c r="M45" s="19" t="inlineStr">
        <is>
          <t>Completed</t>
        </is>
      </c>
      <c r="N45" s="47" t="n">
        <v>54.01</v>
      </c>
      <c r="O45" s="18" t="inlineStr">
        <is>
          <t>USD</t>
        </is>
      </c>
      <c r="P45" s="19" t="inlineStr">
        <is>
          <t>Services / Security services</t>
        </is>
      </c>
      <c r="Q45" s="19" t="inlineStr">
        <is>
          <t>Security services / homeland security</t>
        </is>
      </c>
      <c r="R45" s="19" t="inlineStr">
        <is>
          <t>Tier 2 – security services</t>
        </is>
      </c>
      <c r="S45" s="19" t="inlineStr">
        <is>
          <t>Relevant as an Israeli security-services acquisition; include only if the database covers broader security and HLS services beyond core defense tech.</t>
        </is>
      </c>
      <c r="T45" s="18" t="inlineStr">
        <is>
          <t>High – public source verified</t>
        </is>
      </c>
      <c r="U45" s="19" t="inlineStr">
        <is>
          <t>https://www.g1-group.com/about-us-en/</t>
        </is>
      </c>
      <c r="V45" s="19" t="inlineStr">
        <is>
          <t>Company website / press coverage + PitchBook</t>
        </is>
      </c>
      <c r="W45" s="19" t="inlineStr">
        <is>
          <t>Public sources indicate G1 was purchased by UMI. Globes/IsraelDesks report FIMI sold its controlling stake to Universal Motors Israel.</t>
        </is>
      </c>
      <c r="X45" s="50" t="n">
        <v>0.22</v>
      </c>
      <c r="Y45" s="50" t="n">
        <v>2.57</v>
      </c>
      <c r="Z45" s="48" t="n">
        <v>2.67</v>
      </c>
      <c r="AA45" s="47" t="n">
        <v>20.25</v>
      </c>
      <c r="AB45" s="48" t="n">
        <v>0.23</v>
      </c>
      <c r="AC45" s="47" t="n">
        <v>237.16</v>
      </c>
      <c r="AD45" s="19" t="n"/>
      <c r="AE45" s="47" t="n">
        <v>54.01</v>
      </c>
      <c r="AF45" s="19" t="inlineStr">
        <is>
          <t>The company was acquired by UMI Service for ILS 200 million on January 4, 2024.</t>
        </is>
      </c>
      <c r="AG45" s="19" t="inlineStr">
        <is>
          <t>Private Equity-Backed</t>
        </is>
      </c>
      <c r="AH45" s="19" t="inlineStr">
        <is>
          <t>Profitable</t>
        </is>
      </c>
      <c r="AI45" s="19" t="inlineStr">
        <is>
          <t>UMI Service</t>
        </is>
      </c>
      <c r="AJ45" s="19" t="inlineStr">
        <is>
          <t>Security Services (B2B)</t>
        </is>
      </c>
      <c r="AK45" s="19" t="n"/>
      <c r="AL45" s="19" t="inlineStr">
        <is>
          <t>G1 Secure Solutions Ltd provides security and safety services. The company offers solutions such as physical security services, electronic security, low voltage systems, structure control, and security technologies among others. It provides its services to financial institutions, residential and office buildings, industry and defense industries, infrastructure and energy, tourism, and public space, among others.</t>
        </is>
      </c>
      <c r="AM45" s="19" t="inlineStr">
        <is>
          <t>Petah Tikva, Israel</t>
        </is>
      </c>
      <c r="AN45" s="19" t="inlineStr">
        <is>
          <t>www.g1-group.com</t>
        </is>
      </c>
    </row>
    <row r="46" ht="42" customHeight="1">
      <c r="A46" s="12" t="inlineStr">
        <is>
          <t>IL-MA-2025-002</t>
        </is>
      </c>
      <c r="B46" s="12" t="inlineStr">
        <is>
          <t>Israel</t>
        </is>
      </c>
      <c r="C46" s="12" t="inlineStr">
        <is>
          <t>Israel</t>
        </is>
      </c>
      <c r="D46" s="13" t="inlineStr">
        <is>
          <t>Solar Drone</t>
        </is>
      </c>
      <c r="E46" s="13" t="inlineStr">
        <is>
          <t>VisionWave Holdings Inc.</t>
        </is>
      </c>
      <c r="F46" s="12" t="inlineStr">
        <is>
          <t>United States</t>
        </is>
      </c>
      <c r="G46" s="13" t="inlineStr">
        <is>
          <t>BladeRanger Ltd.</t>
        </is>
      </c>
      <c r="H46" s="41" t="n">
        <v>46006</v>
      </c>
      <c r="I46" s="41" t="n">
        <v>46006</v>
      </c>
      <c r="J46" s="42" t="n">
        <v>2025</v>
      </c>
      <c r="K46" s="13" t="inlineStr">
        <is>
          <t>M&amp;A</t>
        </is>
      </c>
      <c r="L46" s="13" t="inlineStr">
        <is>
          <t>Corporate divestiture</t>
        </is>
      </c>
      <c r="M46" s="13" t="inlineStr">
        <is>
          <t>Completed</t>
        </is>
      </c>
      <c r="N46" s="43" t="n">
        <v>21.6</v>
      </c>
      <c r="O46" s="12" t="inlineStr">
        <is>
          <t>USD</t>
        </is>
      </c>
      <c r="P46" s="13" t="inlineStr">
        <is>
          <t>Hardware / Drone systems</t>
        </is>
      </c>
      <c r="Q46" s="13" t="inlineStr">
        <is>
          <t>UAVs / Autonomous Systems</t>
        </is>
      </c>
      <c r="R46" s="13" t="inlineStr">
        <is>
          <t>Tier 1 – core defense / dual-use</t>
        </is>
      </c>
      <c r="S46" s="13" t="inlineStr">
        <is>
          <t>Relevant because drone systems are a core defense-tech and dual-use capability area; acquirer not visible in screenshot.</t>
        </is>
      </c>
      <c r="T46" s="12" t="inlineStr">
        <is>
          <t>High – public source verified</t>
        </is>
      </c>
      <c r="U46" s="13" t="inlineStr">
        <is>
          <t>https://www.nasdaq.com/press-release/visionwave-holdings-acquires-solar-drone-ltd-advancing-autonomous-systems-defense-and</t>
        </is>
      </c>
      <c r="V46" s="13" t="inlineStr">
        <is>
          <t>Press release + PitchBook</t>
        </is>
      </c>
      <c r="W46" s="13" t="inlineStr">
        <is>
          <t>Public source confirms VisionWave acquired Solar Drone from BladeRanger. This appears to be a corporate divestiture.</t>
        </is>
      </c>
      <c r="Z46" s="44" t="n"/>
      <c r="AA46" s="43" t="n"/>
      <c r="AB46" s="44" t="n"/>
      <c r="AC46" s="43" t="n"/>
      <c r="AD46" s="13" t="inlineStr">
        <is>
          <t>Corporate Divestiture</t>
        </is>
      </c>
      <c r="AE46" s="43" t="n">
        <v>21.6</v>
      </c>
      <c r="AF46" s="13" t="inlineStr">
        <is>
          <t>The company was acquired by VisionWave Holdings (NAS: VWAV) for $21.6 million on December 15, 2025.</t>
        </is>
      </c>
      <c r="AG46" s="13" t="inlineStr">
        <is>
          <t>Formerly Angel backed</t>
        </is>
      </c>
      <c r="AH46" s="13" t="inlineStr">
        <is>
          <t>Generating Revenue</t>
        </is>
      </c>
      <c r="AI46" s="13" t="inlineStr">
        <is>
          <t>VisionWave Holdings (NAS: VWAV)</t>
        </is>
      </c>
      <c r="AJ46" s="13" t="inlineStr">
        <is>
          <t>Electronic Equipment and Instruments</t>
        </is>
      </c>
      <c r="AK46" s="13" t="inlineStr">
        <is>
          <t>Artificial Intelligence &amp; Machine Learning, Big Data, CleanTech, Climate Tech, CloudTech &amp; DevOps, LOHAS &amp; Wellness, Mobility Tech, Robotics and Drones</t>
        </is>
      </c>
      <c r="AL46" s="13" t="inlineStr">
        <is>
          <t>Developer of an affordable drone-based system designed to offer cloud, AI, and drone-based solar panel cleaning. The company's drone offers features like image generation, artificial intelligence, machine learning, data mining, and real-time analysis, enabling clients to have the ability to plan, monitor, maintain, secure and clean solar panels.</t>
        </is>
      </c>
      <c r="AM46" s="13" t="inlineStr">
        <is>
          <t>Petah Tiqva, Israel</t>
        </is>
      </c>
      <c r="AN46" s="13" t="inlineStr">
        <is>
          <t>www.solardrones.net</t>
        </is>
      </c>
    </row>
    <row r="47" ht="42" customHeight="1">
      <c r="A47" s="18" t="inlineStr">
        <is>
          <t>IL-IPO-2024-002</t>
        </is>
      </c>
      <c r="B47" s="18" t="inlineStr">
        <is>
          <t>Israel</t>
        </is>
      </c>
      <c r="C47" s="18" t="inlineStr">
        <is>
          <t>Israel</t>
        </is>
      </c>
      <c r="D47" s="19" t="inlineStr">
        <is>
          <t>TSG IT Advanced Systems (TAE: TSG)</t>
        </is>
      </c>
      <c r="E47" s="19" t="inlineStr">
        <is>
          <t>N/A – IPO</t>
        </is>
      </c>
      <c r="F47" s="18" t="inlineStr">
        <is>
          <t>N/A</t>
        </is>
      </c>
      <c r="G47" s="19" t="inlineStr">
        <is>
          <t>N/A</t>
        </is>
      </c>
      <c r="H47" s="45" t="n">
        <v>45504</v>
      </c>
      <c r="I47" s="45" t="n">
        <v>45504</v>
      </c>
      <c r="J47" s="46" t="n">
        <v>2024</v>
      </c>
      <c r="K47" s="19" t="inlineStr">
        <is>
          <t>IPO</t>
        </is>
      </c>
      <c r="L47" s="19" t="inlineStr">
        <is>
          <t>IPO / public listing transaction</t>
        </is>
      </c>
      <c r="M47" s="19" t="inlineStr">
        <is>
          <t>Completed</t>
        </is>
      </c>
      <c r="N47" s="47" t="n">
        <v>16.78</v>
      </c>
      <c r="O47" s="18" t="inlineStr">
        <is>
          <t>USD</t>
        </is>
      </c>
      <c r="P47" s="19" t="inlineStr">
        <is>
          <t>Software / IT systems</t>
        </is>
      </c>
      <c r="Q47" s="19" t="inlineStr">
        <is>
          <t>C4I / Mission Systems</t>
        </is>
      </c>
      <c r="R47" s="19" t="inlineStr">
        <is>
          <t>Tier 1 – core defense / defense IT</t>
        </is>
      </c>
      <c r="S47" s="19" t="inlineStr">
        <is>
          <t>Relevant as an Israeli IT and defense-systems public listing; not an M&amp;A transaction and has no acquirer.</t>
        </is>
      </c>
      <c r="T47" s="18" t="inlineStr">
        <is>
          <t>High – public source verified</t>
        </is>
      </c>
      <c r="U47" s="19" t="inlineStr">
        <is>
          <t>https://en.globes.co.il/en/article-defense-it-co-tsg-raises-nis-62m-in-tase-ipo-1001485608</t>
        </is>
      </c>
      <c r="V47" s="19" t="inlineStr">
        <is>
          <t>Press coverage + PitchBook</t>
        </is>
      </c>
      <c r="W47" s="19" t="inlineStr">
        <is>
          <t>No acquirer because this is an IPO/public-listing row. Public source reports TSG raised NIS 62M in a TASE IPO.</t>
        </is>
      </c>
      <c r="Z47" s="48" t="n">
        <v>1.38</v>
      </c>
      <c r="AA47" s="47" t="n">
        <v>12.13</v>
      </c>
      <c r="AB47" s="48" t="n">
        <v>0.21</v>
      </c>
      <c r="AC47" s="47" t="n">
        <v>78.84999999999999</v>
      </c>
      <c r="AD47" s="19" t="n"/>
      <c r="AE47" s="47" t="n">
        <v>125.01</v>
      </c>
      <c r="AF47" s="19" t="inlineStr">
        <is>
          <t>The company raised NIS 62 million in its initial public offering under an undisclosed symbol on the Tel Aviv Stock Exchange on July 31, 2024.</t>
        </is>
      </c>
      <c r="AG47" s="19" t="inlineStr">
        <is>
          <t>Corporation</t>
        </is>
      </c>
      <c r="AH47" s="19" t="inlineStr">
        <is>
          <t>Generating Revenue</t>
        </is>
      </c>
      <c r="AI47" s="19" t="n"/>
      <c r="AJ47" s="19" t="inlineStr">
        <is>
          <t>Business/Productivity Software</t>
        </is>
      </c>
      <c r="AK47" s="19" t="inlineStr">
        <is>
          <t>Industrials, TMT</t>
        </is>
      </c>
      <c r="AL47" s="19" t="inlineStr">
        <is>
          <t>TSG IT Advanced Systems Ltd is a provider of C4ISTAR, Intelligence, HLS, and Cyber Security solutions that develop, integrate, and deliver mission-critical, turnkey solutions to various military forces, governmental agencies, and corporations. Its line of business are Command &amp; Control, Intelligence, IT Systems &amp; Telecom, Cyber Security, and Homeland Security.</t>
        </is>
      </c>
      <c r="AM47" s="19" t="inlineStr">
        <is>
          <t>Or Yehuda, Israel</t>
        </is>
      </c>
      <c r="AN47" s="19" t="inlineStr">
        <is>
          <t>www.tsgitsystems.com</t>
        </is>
      </c>
    </row>
    <row r="48" ht="42" customHeight="1">
      <c r="A48" s="12" t="inlineStr">
        <is>
          <t>IL-MA-2025-003</t>
        </is>
      </c>
      <c r="B48" s="12" t="inlineStr">
        <is>
          <t>Israel</t>
        </is>
      </c>
      <c r="C48" s="12" t="inlineStr">
        <is>
          <t>Israel</t>
        </is>
      </c>
      <c r="D48" s="13" t="inlineStr">
        <is>
          <t>Tiltan Software Engineering</t>
        </is>
      </c>
      <c r="E48" s="13" t="inlineStr">
        <is>
          <t>Nukkleus Inc.</t>
        </is>
      </c>
      <c r="F48" s="12" t="inlineStr">
        <is>
          <t>United States</t>
        </is>
      </c>
      <c r="G48" s="13" t="inlineStr">
        <is>
          <t>Tiltan shareholders</t>
        </is>
      </c>
      <c r="H48" s="41" t="n">
        <v>46021</v>
      </c>
      <c r="I48" s="41" t="n">
        <v>46021</v>
      </c>
      <c r="J48" s="42" t="n">
        <v>2025</v>
      </c>
      <c r="K48" s="13" t="inlineStr">
        <is>
          <t>M&amp;A</t>
        </is>
      </c>
      <c r="L48" s="13" t="inlineStr">
        <is>
          <t>Acquisition</t>
        </is>
      </c>
      <c r="M48" s="13" t="inlineStr">
        <is>
          <t>Completed</t>
        </is>
      </c>
      <c r="N48" s="43" t="n">
        <v>14</v>
      </c>
      <c r="O48" s="12" t="inlineStr">
        <is>
          <t>USD</t>
        </is>
      </c>
      <c r="P48" s="13" t="inlineStr">
        <is>
          <t>Software / Engineering software</t>
        </is>
      </c>
      <c r="Q48" s="13" t="inlineStr">
        <is>
          <t>C4I / Mission Systems</t>
        </is>
      </c>
      <c r="R48" s="13" t="inlineStr">
        <is>
          <t>Tier 1 – core defense / dual-use</t>
        </is>
      </c>
      <c r="S48" s="13" t="inlineStr">
        <is>
          <t>Relevant as a software-engineering transaction with potential defense mapping, simulation, or operational-software relevance; verify exact domain.</t>
        </is>
      </c>
      <c r="T48" s="12" t="inlineStr">
        <is>
          <t>High – public source verified</t>
        </is>
      </c>
      <c r="U48" s="13" t="inlineStr">
        <is>
          <t>https://www.sec.gov/Archives/edgar/data/1787518/000121390025126417/ea027122001ex99-3_nukkleus.htm</t>
        </is>
      </c>
      <c r="V48" s="13" t="inlineStr">
        <is>
          <t>SEC filing / company press release + PitchBook</t>
        </is>
      </c>
      <c r="W48" s="13" t="inlineStr">
        <is>
          <t>Public SEC filing confirms Nukkleus completed the acquisition of Tiltan Software Engineering for approximately $14M.</t>
        </is>
      </c>
      <c r="Z48" s="44" t="n"/>
      <c r="AA48" s="43" t="n"/>
      <c r="AB48" s="44" t="n"/>
      <c r="AC48" s="43" t="n"/>
      <c r="AD48" s="13" t="n"/>
      <c r="AE48" s="43" t="n">
        <v>14</v>
      </c>
      <c r="AF48" s="13" t="inlineStr">
        <is>
          <t>The company was acquired by Nukkleus (NAS: NUKK) for approximately $14 million on December 30, 2025. The acquisition gives Nukkleus a position in defense technology's fastest-growing segments.</t>
        </is>
      </c>
      <c r="AG48" s="13" t="inlineStr">
        <is>
          <t>Corporate Backed or Acquired</t>
        </is>
      </c>
      <c r="AH48" s="13" t="inlineStr">
        <is>
          <t>Generating Revenue</t>
        </is>
      </c>
      <c r="AI48" s="13" t="inlineStr">
        <is>
          <t>T3 Defense (NAS: DFNS)</t>
        </is>
      </c>
      <c r="AJ48" s="13" t="inlineStr">
        <is>
          <t>Software Development Applications</t>
        </is>
      </c>
      <c r="AK48" s="13" t="inlineStr">
        <is>
          <t>Artificial Intelligence &amp; Machine Learning</t>
        </is>
      </c>
      <c r="AL48" s="13" t="inlineStr">
        <is>
          <t>Developer of simulation, 3D engine, generative AI, GIS, and content production solutions intended for global clients requiring advanced visualization, training, and geo-systems. The company offers tools, such as simulation platforms, automated geo-mapping, synthetic data generation, situational awareness engines, and aerial autonomy systems, supporting defense, training, and geospatial industries.</t>
        </is>
      </c>
      <c r="AM48" s="13" t="inlineStr">
        <is>
          <t>Petach Tikva, Israel</t>
        </is>
      </c>
      <c r="AN48" s="13" t="inlineStr">
        <is>
          <t>www.tiltan-se.com</t>
        </is>
      </c>
    </row>
    <row r="49" ht="42" customHeight="1">
      <c r="A49" s="18" t="inlineStr">
        <is>
          <t>IL-MA-2025-004</t>
        </is>
      </c>
      <c r="B49" s="18" t="inlineStr">
        <is>
          <t>Israel</t>
        </is>
      </c>
      <c r="C49" s="18" t="inlineStr">
        <is>
          <t>Israel</t>
        </is>
      </c>
      <c r="D49" s="19" t="inlineStr">
        <is>
          <t>Apeiro Motion</t>
        </is>
      </c>
      <c r="E49" s="19" t="inlineStr">
        <is>
          <t>Ondas Holdings Inc.</t>
        </is>
      </c>
      <c r="F49" s="18" t="inlineStr">
        <is>
          <t>United States</t>
        </is>
      </c>
      <c r="G49" s="19" t="inlineStr">
        <is>
          <t>Apeiro shareholders</t>
        </is>
      </c>
      <c r="H49" s="45" t="n">
        <v>45900</v>
      </c>
      <c r="I49" s="45" t="n">
        <v>45900</v>
      </c>
      <c r="J49" s="46" t="n">
        <v>2025</v>
      </c>
      <c r="K49" s="19" t="inlineStr">
        <is>
          <t>M&amp;A</t>
        </is>
      </c>
      <c r="L49" s="19" t="inlineStr">
        <is>
          <t>Acquisition</t>
        </is>
      </c>
      <c r="M49" s="19" t="inlineStr">
        <is>
          <t>Completed</t>
        </is>
      </c>
      <c r="N49" s="47" t="n">
        <v>12</v>
      </c>
      <c r="O49" s="18" t="inlineStr">
        <is>
          <t>USD</t>
        </is>
      </c>
      <c r="P49" s="19" t="inlineStr">
        <is>
          <t>Hardware / Motion technology</t>
        </is>
      </c>
      <c r="Q49" s="19" t="inlineStr">
        <is>
          <t>Ground / Robotic Systems</t>
        </is>
      </c>
      <c r="R49" s="19" t="inlineStr">
        <is>
          <t>Tier 2 – dual-use adjacent</t>
        </is>
      </c>
      <c r="S49" s="19" t="inlineStr">
        <is>
          <t>Potentially relevant as motion technology can support robotics, autonomous systems, and defense-adjacent applications; verify exact defense relevance.</t>
        </is>
      </c>
      <c r="T49" s="18" t="inlineStr">
        <is>
          <t>High – public source verified</t>
        </is>
      </c>
      <c r="U49" s="19" t="inlineStr">
        <is>
          <t>https://www.sec.gov/Archives/edgar/data/1646188/000121390025084734/ea0256166-8k_ondas.htm</t>
        </is>
      </c>
      <c r="V49" s="19" t="inlineStr">
        <is>
          <t>SEC filing + PitchBook</t>
        </is>
      </c>
      <c r="W49" s="19" t="inlineStr">
        <is>
          <t>Public SEC filing confirms Ondas completed the acquisition of Apeiro Motion Ltd. on August 31, 2025.</t>
        </is>
      </c>
      <c r="X49" s="50" t="n">
        <v>1</v>
      </c>
      <c r="Z49" s="48" t="n"/>
      <c r="AA49" s="47" t="n"/>
      <c r="AB49" s="48" t="n">
        <v>1</v>
      </c>
      <c r="AC49" s="47" t="n">
        <v>12</v>
      </c>
      <c r="AD49" s="19" t="n"/>
      <c r="AE49" s="47" t="n">
        <v>12</v>
      </c>
      <c r="AF49" s="19" t="inlineStr">
        <is>
          <t>The company was acquired by Ondas (NAS: ONDS) for approximately $12 million on August 31, 2025. The acquisition demonstrates Ondas commitment to leveraging its global operating platform to deliver a portfolio of advanced, AI-enabled capabilities to critical defense and security customers.</t>
        </is>
      </c>
      <c r="AG49" s="19" t="inlineStr">
        <is>
          <t>Corporate Backed or Acquired</t>
        </is>
      </c>
      <c r="AH49" s="19" t="inlineStr">
        <is>
          <t>Generating Revenue</t>
        </is>
      </c>
      <c r="AI49" s="19" t="inlineStr">
        <is>
          <t>Ondas (NAS: ONDS) (Eric Brock)</t>
        </is>
      </c>
      <c r="AJ49" s="19" t="inlineStr">
        <is>
          <t>Aerospace and Defense</t>
        </is>
      </c>
      <c r="AK49" s="19" t="inlineStr">
        <is>
          <t>Manufacturing, Robotics and Drones</t>
        </is>
      </c>
      <c r="AL49" s="19" t="inlineStr">
        <is>
          <t>Manufacturer of robot based in Israel. The company provides products like fiber optic spools, spyder, EZAP and scout.</t>
        </is>
      </c>
      <c r="AM49" s="19" t="inlineStr">
        <is>
          <t>Tel Aviv, Israel</t>
        </is>
      </c>
      <c r="AN49" s="19" t="inlineStr">
        <is>
          <t>www.apeiro-motion.com</t>
        </is>
      </c>
    </row>
    <row r="50" ht="42" customHeight="1">
      <c r="A50" s="12" t="inlineStr">
        <is>
          <t>IL-MA-2025-005</t>
        </is>
      </c>
      <c r="B50" s="12" t="inlineStr">
        <is>
          <t>Israel</t>
        </is>
      </c>
      <c r="C50" s="12" t="inlineStr">
        <is>
          <t>Israel</t>
        </is>
      </c>
      <c r="D50" s="13" t="inlineStr">
        <is>
          <t>4M Defense</t>
        </is>
      </c>
      <c r="E50" s="13" t="inlineStr">
        <is>
          <t>Ondas Holdings Inc.</t>
        </is>
      </c>
      <c r="F50" s="12" t="inlineStr">
        <is>
          <t>United States</t>
        </is>
      </c>
      <c r="G50" s="13" t="inlineStr">
        <is>
          <t>4M Defense / HoldCo shareholders</t>
        </is>
      </c>
      <c r="H50" s="41" t="n">
        <v>45959</v>
      </c>
      <c r="I50" s="41" t="n">
        <v>45959</v>
      </c>
      <c r="J50" s="42" t="n">
        <v>2025</v>
      </c>
      <c r="K50" s="13" t="inlineStr">
        <is>
          <t>M&amp;A</t>
        </is>
      </c>
      <c r="L50" s="13" t="inlineStr">
        <is>
          <t>Acquisition</t>
        </is>
      </c>
      <c r="M50" s="13" t="inlineStr">
        <is>
          <t>Completed</t>
        </is>
      </c>
      <c r="N50" s="43" t="n">
        <v>10.7</v>
      </c>
      <c r="O50" s="12" t="inlineStr">
        <is>
          <t>USD</t>
        </is>
      </c>
      <c r="P50" s="13" t="inlineStr">
        <is>
          <t>Hardware / Defense systems</t>
        </is>
      </c>
      <c r="Q50" s="13" t="inlineStr">
        <is>
          <t>Ground / Robotic Systems</t>
        </is>
      </c>
      <c r="R50" s="13" t="inlineStr">
        <is>
          <t>Tier 1 – core defense</t>
        </is>
      </c>
      <c r="S50" s="13" t="inlineStr">
        <is>
          <t>Relevant as a core defense company transaction; exact acquirer and specialization should be verified in PitchBook.</t>
        </is>
      </c>
      <c r="T50" s="12" t="inlineStr">
        <is>
          <t>High – public source verified</t>
        </is>
      </c>
      <c r="U50" s="13" t="inlineStr">
        <is>
          <t>https://www.sec.gov/Archives/edgar/data/1646188/000121390025102609/ea026245201ex99-2_ondas.htm</t>
        </is>
      </c>
      <c r="V50" s="13" t="inlineStr">
        <is>
          <t>SEC filing / company press release + PitchBook</t>
        </is>
      </c>
      <c r="W50" s="13" t="inlineStr">
        <is>
          <t>Public sources confirm Ondas acquired a controlling interest in 4M Defense. PitchBook value should be kept as PitchBook-based unless reconciled with the public cash/equity consideration.</t>
        </is>
      </c>
      <c r="Z50" s="44" t="n"/>
      <c r="AA50" s="43" t="n"/>
      <c r="AB50" s="44" t="n"/>
      <c r="AC50" s="43" t="n"/>
      <c r="AD50" s="13" t="n"/>
      <c r="AE50" s="43" t="n">
        <v>15.29</v>
      </c>
      <c r="AF50" s="13" t="inlineStr">
        <is>
          <t>The company was acquired by Ondas (NAS: ONDS) for $10.7 million on October 29, 2025.</t>
        </is>
      </c>
      <c r="AG50" s="13" t="inlineStr">
        <is>
          <t>Corporate Backed or Acquired</t>
        </is>
      </c>
      <c r="AH50" s="13" t="inlineStr">
        <is>
          <t>Generating Revenue</t>
        </is>
      </c>
      <c r="AI50" s="13" t="inlineStr">
        <is>
          <t>Ondas (NAS: ONDS) (Oshri Lugassy)</t>
        </is>
      </c>
      <c r="AJ50" s="13" t="inlineStr">
        <is>
          <t>Aerospace and Defense</t>
        </is>
      </c>
      <c r="AK50" s="13" t="inlineStr">
        <is>
          <t>Robotics and Drones</t>
        </is>
      </c>
      <c r="AL50" s="13" t="inlineStr">
        <is>
          <t>Provider of landmine and unexploded ordnance intelligence and clearance services intended to serve government, humanitarian and commercial stakeholders worldwide. The company offers geospatial data analysis, satellite imagery, drone surveys, historical threat data and field operations expertise to assess risk, plan clearance activities and support land release decisions, thereby enabling safer prioritization, reduced operational uncertainty and more efficient use of clearance resources.</t>
        </is>
      </c>
      <c r="AM50" s="13" t="inlineStr">
        <is>
          <t>Tel Aviv, Israel</t>
        </is>
      </c>
      <c r="AN50" s="13" t="inlineStr">
        <is>
          <t>www.4-mine.com</t>
        </is>
      </c>
    </row>
    <row r="51" ht="42" customHeight="1">
      <c r="A51" s="18" t="inlineStr">
        <is>
          <t>IL-MA-2025-006</t>
        </is>
      </c>
      <c r="B51" s="18" t="inlineStr">
        <is>
          <t>Israel</t>
        </is>
      </c>
      <c r="C51" s="18" t="inlineStr">
        <is>
          <t>Israel</t>
        </is>
      </c>
      <c r="D51" s="19" t="inlineStr">
        <is>
          <t>NSO Group</t>
        </is>
      </c>
      <c r="E51" s="19" t="inlineStr">
        <is>
          <t>U.S. investor group led by Robert Simonds</t>
        </is>
      </c>
      <c r="F51" s="18" t="inlineStr">
        <is>
          <t>United States</t>
        </is>
      </c>
      <c r="G51" s="19" t="inlineStr">
        <is>
          <t>NSO controlling shareholders / Omri Lavie-related ownership</t>
        </is>
      </c>
      <c r="H51" s="45" t="n">
        <v>45970</v>
      </c>
      <c r="I51" s="45" t="n">
        <v>45970</v>
      </c>
      <c r="J51" s="46" t="n">
        <v>2025</v>
      </c>
      <c r="K51" s="19" t="inlineStr">
        <is>
          <t>M&amp;A</t>
        </is>
      </c>
      <c r="L51" s="19" t="inlineStr">
        <is>
          <t>Acquisition</t>
        </is>
      </c>
      <c r="M51" s="19" t="inlineStr">
        <is>
          <t>Completed</t>
        </is>
      </c>
      <c r="N51" s="47" t="n">
        <v>10</v>
      </c>
      <c r="O51" s="18" t="inlineStr">
        <is>
          <t>USD</t>
        </is>
      </c>
      <c r="P51" s="19" t="inlineStr">
        <is>
          <t>Software / Cyber intelligence</t>
        </is>
      </c>
      <c r="Q51" s="19" t="inlineStr">
        <is>
          <t>Cyber Intelligence</t>
        </is>
      </c>
      <c r="R51" s="19" t="inlineStr">
        <is>
          <t>Tier 1 – cyber / sensitive defense tech</t>
        </is>
      </c>
      <c r="S51" s="19" t="inlineStr">
        <is>
          <t>Relevant as a cyber-intelligence transaction, but highly sensitive and should be checked carefully before inclusion.</t>
        </is>
      </c>
      <c r="T51" s="18" t="inlineStr">
        <is>
          <t>Medium – public reporting verified; sensitive deal, verify in PitchBook</t>
        </is>
      </c>
      <c r="U51" s="19" t="inlineStr">
        <is>
          <t>https://www.calcalistech.com/ctechnews/article/s1jgvmitgx</t>
        </is>
      </c>
      <c r="V51" s="19" t="inlineStr">
        <is>
          <t>Press reporting + PitchBook</t>
        </is>
      </c>
      <c r="W51" s="19" t="inlineStr">
        <is>
          <t>Public reports say a U.S. investor group led by Robert Simonds acquired/was set to acquire control of NSO. Sensitive transaction; verify completion status and regulatory approvals before publication.</t>
        </is>
      </c>
      <c r="Z51" s="48" t="n"/>
      <c r="AA51" s="47" t="n"/>
      <c r="AB51" s="48" t="n"/>
      <c r="AC51" s="47" t="n"/>
      <c r="AD51" s="19" t="n"/>
      <c r="AE51" s="47" t="n">
        <v>10</v>
      </c>
      <c r="AF51" s="19" t="inlineStr">
        <is>
          <t>The company was acquired by Mr. Robert Simonds and other investors for $10 million on November 9, 2025.</t>
        </is>
      </c>
      <c r="AG51" s="19" t="inlineStr">
        <is>
          <t>Formerly PE-Backed</t>
        </is>
      </c>
      <c r="AH51" s="19" t="inlineStr">
        <is>
          <t>Profitable</t>
        </is>
      </c>
      <c r="AI51" s="19" t="n"/>
      <c r="AJ51" s="19" t="inlineStr">
        <is>
          <t>Network Management Software</t>
        </is>
      </c>
      <c r="AK51" s="19" t="inlineStr">
        <is>
          <t>Cybersecurity, Mobile, TMT</t>
        </is>
      </c>
      <c r="AL51" s="19" t="inlineStr">
        <is>
          <t>Developer of surveillance and security research software intended to help governments protect their people from terror and crime. The company's cybersecurity platform provides data intelligence, acquisition and analysis techniques that equip government intelligence agencies and law enforcement organizations around the world with strategic, tactical and analytical technological capabilities, ensuring the success of their operations in fighting crime and terrorism.</t>
        </is>
      </c>
      <c r="AM51" s="19" t="inlineStr">
        <is>
          <t>Herzliya, Israel</t>
        </is>
      </c>
      <c r="AN51" s="19" t="inlineStr">
        <is>
          <t>www.nsogroup.com</t>
        </is>
      </c>
    </row>
    <row r="52" ht="42" customHeight="1">
      <c r="A52" s="12" t="inlineStr">
        <is>
          <t>IL-IPO-2023-001</t>
        </is>
      </c>
      <c r="B52" s="12" t="inlineStr">
        <is>
          <t>Israel</t>
        </is>
      </c>
      <c r="C52" s="12" t="inlineStr">
        <is>
          <t>Israel</t>
        </is>
      </c>
      <c r="D52" s="13" t="inlineStr">
        <is>
          <t>ParaZero Technologies (NASDAQ: PRZO)</t>
        </is>
      </c>
      <c r="E52" s="13" t="inlineStr">
        <is>
          <t>N/A – IPO</t>
        </is>
      </c>
      <c r="F52" s="12" t="inlineStr">
        <is>
          <t>N/A</t>
        </is>
      </c>
      <c r="G52" s="13" t="inlineStr">
        <is>
          <t>N/A</t>
        </is>
      </c>
      <c r="H52" s="41" t="n">
        <v>45134</v>
      </c>
      <c r="I52" s="41" t="n">
        <v>45134</v>
      </c>
      <c r="J52" s="42" t="n">
        <v>2023</v>
      </c>
      <c r="K52" s="13" t="inlineStr">
        <is>
          <t>IPO</t>
        </is>
      </c>
      <c r="L52" s="13" t="inlineStr">
        <is>
          <t>IPO / public listing transaction</t>
        </is>
      </c>
      <c r="M52" s="13" t="inlineStr">
        <is>
          <t>Completed</t>
        </is>
      </c>
      <c r="N52" s="43" t="n">
        <v>9.75</v>
      </c>
      <c r="O52" s="12" t="inlineStr">
        <is>
          <t>USD</t>
        </is>
      </c>
      <c r="P52" s="13" t="inlineStr">
        <is>
          <t>Hardware / Drone safety systems</t>
        </is>
      </c>
      <c r="Q52" s="13" t="inlineStr">
        <is>
          <t>UAVs / Autonomous Systems</t>
        </is>
      </c>
      <c r="R52" s="13" t="inlineStr">
        <is>
          <t>Tier 1 – core defense / dual-use</t>
        </is>
      </c>
      <c r="S52" s="13" t="inlineStr">
        <is>
          <t>Relevant as an Israeli drone-safety and unmanned-systems IPO; not an M&amp;A transaction and has no acquirer.</t>
        </is>
      </c>
      <c r="T52" s="12" t="inlineStr">
        <is>
          <t>High – public source verified</t>
        </is>
      </c>
      <c r="U52" s="13" t="inlineStr">
        <is>
          <t>https://www.nasdaq.com/press-release/parazero-technologies-ltd.-announces-pricing-of-%247.8-million-initial-public-offering</t>
        </is>
      </c>
      <c r="V52" s="13" t="inlineStr">
        <is>
          <t>Company press release / Nasdaq + PitchBook</t>
        </is>
      </c>
      <c r="W52" s="13" t="inlineStr">
        <is>
          <t>No acquirer because this is an IPO row. Public source confirms ParaZero priced its Nasdaq IPO in July 2023.</t>
        </is>
      </c>
      <c r="Z52" s="44" t="n">
        <v>-9.49</v>
      </c>
      <c r="AA52" s="43" t="n">
        <v>-1.03</v>
      </c>
      <c r="AB52" s="44" t="n">
        <v>12.83</v>
      </c>
      <c r="AC52" s="43" t="n">
        <v>0.76</v>
      </c>
      <c r="AD52" s="13" t="n"/>
      <c r="AE52" s="43" t="n">
        <v>21.79</v>
      </c>
      <c r="AF52" s="13" t="inlineStr">
        <is>
          <t>The company raised $9.75 million in its initial public offering on the Nasdaq stock exchange under the ticker symbol of PRZO on July 27, 2023. A total of 1,950,000 shares were sold at $4 per share. After the offering, there was a total of 6,052,418 outstanding shares (excluding the over-allotment option) at $4 per share, valuing the company at $21.79 million. The underwriters were granted an option to purchase up to an additional 292,500 shares from the company to cover over-allotments, if any.</t>
        </is>
      </c>
      <c r="AG52" s="13" t="inlineStr">
        <is>
          <t>Formerly VC-backed</t>
        </is>
      </c>
      <c r="AH52" s="13" t="inlineStr">
        <is>
          <t>Generating Revenue</t>
        </is>
      </c>
      <c r="AI52" s="13" t="n"/>
      <c r="AJ52" s="13" t="inlineStr">
        <is>
          <t>Other Hardware</t>
        </is>
      </c>
      <c r="AK52" s="13" t="inlineStr">
        <is>
          <t>Industrials, Manufacturing, Robotics and Drones</t>
        </is>
      </c>
      <c r="AL52" s="13" t="inlineStr">
        <is>
          <t>ParaZero Technologies Ltd operates as an aerospace defense company focused on the development of smart, autonomous solutions for the manned and unmanned aerial systems (UAS) industry. The Company develops, manufactures, markets, and sells counter-UAS net-launching platforms designed to protect against hostile drones in both battlefield and urban environments, precision aerial delivery systems for military applications, and smart, autonomous parachute safety systems designed to enable safe flight operations over populated areas and beyond visual line-of-sight. The Company sells its products internationally.</t>
        </is>
      </c>
      <c r="AM52" s="13" t="inlineStr">
        <is>
          <t>Kfar Saba, Israel</t>
        </is>
      </c>
      <c r="AN52" s="13" t="inlineStr">
        <is>
          <t>www.parazero.com</t>
        </is>
      </c>
    </row>
    <row r="53" ht="42" customHeight="1">
      <c r="A53" s="18" t="inlineStr">
        <is>
          <t>IL-MA-2023-001</t>
        </is>
      </c>
      <c r="B53" s="18" t="inlineStr">
        <is>
          <t>Israel</t>
        </is>
      </c>
      <c r="C53" s="18" t="inlineStr">
        <is>
          <t>Israel</t>
        </is>
      </c>
      <c r="D53" s="19" t="inlineStr">
        <is>
          <t>Airobotics</t>
        </is>
      </c>
      <c r="E53" s="19" t="inlineStr">
        <is>
          <t>Ondas Holdings Inc.</t>
        </is>
      </c>
      <c r="F53" s="18" t="inlineStr">
        <is>
          <t>United States</t>
        </is>
      </c>
      <c r="G53" s="19" t="inlineStr">
        <is>
          <t>Airobotics shareholders</t>
        </is>
      </c>
      <c r="H53" s="45" t="n">
        <v>44949</v>
      </c>
      <c r="I53" s="45" t="n">
        <v>44949</v>
      </c>
      <c r="J53" s="46" t="n">
        <v>2023</v>
      </c>
      <c r="K53" s="19" t="inlineStr">
        <is>
          <t>M&amp;A</t>
        </is>
      </c>
      <c r="L53" s="19" t="inlineStr">
        <is>
          <t>Acquisition</t>
        </is>
      </c>
      <c r="M53" s="19" t="inlineStr">
        <is>
          <t>Completed</t>
        </is>
      </c>
      <c r="N53" s="47" t="n">
        <v>5.96</v>
      </c>
      <c r="O53" s="18" t="inlineStr">
        <is>
          <t>USD</t>
        </is>
      </c>
      <c r="P53" s="19" t="inlineStr">
        <is>
          <t>Hardware / Software / Drone systems</t>
        </is>
      </c>
      <c r="Q53" s="19" t="inlineStr">
        <is>
          <t>UAVs / Autonomous Systems</t>
        </is>
      </c>
      <c r="R53" s="19" t="inlineStr">
        <is>
          <t>Tier 1 – core defense / dual-use</t>
        </is>
      </c>
      <c r="S53" s="19" t="inlineStr">
        <is>
          <t>Relevant as an Israeli autonomous-drone transaction with direct dual-use and security relevance.</t>
        </is>
      </c>
      <c r="T53" s="18" t="inlineStr">
        <is>
          <t>High – public source verified</t>
        </is>
      </c>
      <c r="U53" s="19" t="inlineStr">
        <is>
          <t>https://ir.ondas.com/press-releases/detail/108/ondas-holdings-completes-acquisition-of-airobotics</t>
        </is>
      </c>
      <c r="V53" s="19" t="inlineStr">
        <is>
          <t>Company press release + PitchBook</t>
        </is>
      </c>
      <c r="W53" s="19" t="inlineStr">
        <is>
          <t>Public source confirms Ondas completed the acquisition of Airobotics on January 23, 2023.</t>
        </is>
      </c>
      <c r="Z53" s="48" t="n"/>
      <c r="AA53" s="47" t="n"/>
      <c r="AB53" s="48" t="n"/>
      <c r="AC53" s="47" t="n"/>
      <c r="AD53" s="19" t="n"/>
      <c r="AE53" s="47" t="n">
        <v>5.96</v>
      </c>
      <c r="AF53" s="19" t="inlineStr">
        <is>
          <t>The company was acquired by Ondas Holdings (NAS: ONDS) for $5.96 million on January 23, 2023. The acquisition enables Ondas Networks to strengthens its position in the drone market with the capabilities to design, develop, and market commercial drone solutions via the Scout System™ and Optimus System™.</t>
        </is>
      </c>
      <c r="AG53" s="19" t="inlineStr">
        <is>
          <t>Formerly VC-backed</t>
        </is>
      </c>
      <c r="AH53" s="19" t="inlineStr">
        <is>
          <t>Generating Revenue</t>
        </is>
      </c>
      <c r="AI53" s="19" t="inlineStr">
        <is>
          <t>Ondas (NAS: ONDS) (Eric Brock)</t>
        </is>
      </c>
      <c r="AJ53" s="19" t="inlineStr">
        <is>
          <t>Other Hardware</t>
        </is>
      </c>
      <c r="AK53" s="19" t="inlineStr">
        <is>
          <t>Manufacturing, Robotics and Drones</t>
        </is>
      </c>
      <c r="AL53" s="19" t="inlineStr">
        <is>
          <t>Manufacturer of autonomous unmanned aerial drones and technology solutions intended to serve government, industrial and commercial industries. The company specializes in automated data capture and analysis, real-time videos, disaster and scene assessment, compliance audits, land investigations, inspections, surveillance, progress monitoring and survey services.</t>
        </is>
      </c>
      <c r="AM53" s="19" t="inlineStr">
        <is>
          <t>Petah Tikva, Israel</t>
        </is>
      </c>
      <c r="AN53" s="19" t="inlineStr">
        <is>
          <t>www.airoboticsdrones.com</t>
        </is>
      </c>
    </row>
    <row r="54" ht="42" customHeight="1">
      <c r="A54" s="12" t="inlineStr">
        <is>
          <t>IL-IPO-2024-002</t>
        </is>
      </c>
      <c r="B54" s="12" t="inlineStr">
        <is>
          <t>Israel</t>
        </is>
      </c>
      <c r="C54" s="12" t="inlineStr">
        <is>
          <t>Israel</t>
        </is>
      </c>
      <c r="D54" s="13" t="inlineStr">
        <is>
          <t>Silynx Communications</t>
        </is>
      </c>
      <c r="E54" s="13" t="inlineStr">
        <is>
          <t>N/A – IPO</t>
        </is>
      </c>
      <c r="F54" s="12" t="inlineStr">
        <is>
          <t>N/A</t>
        </is>
      </c>
      <c r="G54" s="13" t="inlineStr">
        <is>
          <t>Existing shareholders</t>
        </is>
      </c>
      <c r="H54" s="41" t="n">
        <v>45303</v>
      </c>
      <c r="I54" s="41" t="n">
        <v>45308</v>
      </c>
      <c r="J54" s="42" t="n">
        <v>2024</v>
      </c>
      <c r="K54" s="13" t="inlineStr">
        <is>
          <t>IPO</t>
        </is>
      </c>
      <c r="L54" s="13" t="inlineStr">
        <is>
          <t>IPO / public listing transaction</t>
        </is>
      </c>
      <c r="M54" s="13" t="inlineStr">
        <is>
          <t>Completed</t>
        </is>
      </c>
      <c r="N54" s="43" t="n">
        <v>5</v>
      </c>
      <c r="O54" s="12" t="inlineStr">
        <is>
          <t>USD</t>
        </is>
      </c>
      <c r="P54" s="13" t="inlineStr">
        <is>
          <t>Hardware / Tactical communications</t>
        </is>
      </c>
      <c r="Q54" s="13" t="inlineStr">
        <is>
          <t>C4I / Mission Systems</t>
        </is>
      </c>
      <c r="R54" s="13" t="inlineStr">
        <is>
          <t>Tier 1 – core defense</t>
        </is>
      </c>
      <c r="S54" s="13" t="inlineStr">
        <is>
          <t>Relevant as an Israeli defense communications company IPO; no acquirer because this is an IPO.</t>
        </is>
      </c>
      <c r="T54" s="12" t="inlineStr">
        <is>
          <t>High – company IPO release verified</t>
        </is>
      </c>
      <c r="U54" s="13" t="inlineStr">
        <is>
          <t>https://silynxcom.com/silynxcom-ltd-announces-pricing-of-initial-public-offering/</t>
        </is>
      </c>
      <c r="V54" s="13" t="inlineStr">
        <is>
          <t>Company press release</t>
        </is>
      </c>
      <c r="W54" s="13" t="inlineStr">
        <is>
          <t>PitchBook screenshot also showed adjacent valuation figure of 21.00.</t>
        </is>
      </c>
      <c r="Z54" s="44" t="n">
        <v>-1.88</v>
      </c>
      <c r="AA54" s="43" t="n">
        <v>-2.66</v>
      </c>
      <c r="AB54" s="44" t="n">
        <v>0.66</v>
      </c>
      <c r="AC54" s="43" t="n">
        <v>7.63</v>
      </c>
      <c r="AD54" s="13" t="n"/>
      <c r="AE54" s="43" t="n">
        <v>21</v>
      </c>
      <c r="AF54" s="13" t="inlineStr">
        <is>
          <t>The company raised $5 million in its initial public offering on the NYSE MKT LLC stock exchange under the ticker symbol of SYNX on January 12, 2024. A total of 1,250,000 shares were sold at $4 per share. After the offering, there was a total of 5,250,000 outstanding shares at $4 per share, valuing the company at $21 million. The underwriters were granted an option to purchase up to an additional 187,500 shares from the company to cover over-allotments, if any.</t>
        </is>
      </c>
      <c r="AG54" s="13" t="inlineStr">
        <is>
          <t>Corporation</t>
        </is>
      </c>
      <c r="AH54" s="13" t="inlineStr">
        <is>
          <t>Profitable</t>
        </is>
      </c>
      <c r="AI54" s="13" t="n"/>
      <c r="AJ54" s="13" t="inlineStr">
        <is>
          <t>Aerospace and Defense</t>
        </is>
      </c>
      <c r="AK54" s="13" t="inlineStr">
        <is>
          <t>Industrials, Manufacturing</t>
        </is>
      </c>
      <c r="AL54" s="13" t="inlineStr">
        <is>
          <t>Silynxcom Ltd is engaged in developing, manufacturing, marketing, and selling ruggedized Personal Headset Devices as well as other communications accessories, all of which have been battlefield-tested and combat proved. It specializes in developing the In-Ear Headset device, a subsegment of the Personal Headset Device market. The In-Ear Headset device is used in both training and operations by the military, law enforcement, and disaster recovery industry professionals. It also develops, markets, and sells push-to-talk devices, communication controllers, and communication device cables and connectors. Geographically, it generates the majority of its revenue from Israel.</t>
        </is>
      </c>
      <c r="AM54" s="13" t="inlineStr">
        <is>
          <t>Netanya, Israel</t>
        </is>
      </c>
      <c r="AN54" s="13" t="inlineStr">
        <is>
          <t>www.silynxcom.com</t>
        </is>
      </c>
    </row>
    <row r="55" ht="42" customHeight="1">
      <c r="A55" s="18" t="inlineStr">
        <is>
          <t>IL-MA-2025-015</t>
        </is>
      </c>
      <c r="B55" s="18" t="inlineStr">
        <is>
          <t>Israel</t>
        </is>
      </c>
      <c r="C55" s="18" t="inlineStr">
        <is>
          <t>Israel</t>
        </is>
      </c>
      <c r="D55" s="19" t="inlineStr">
        <is>
          <t>Aerospace Insurance Brokers</t>
        </is>
      </c>
      <c r="E55" s="19" t="inlineStr">
        <is>
          <t>Howden Israel</t>
        </is>
      </c>
      <c r="F55" s="18" t="inlineStr">
        <is>
          <t>Israel</t>
        </is>
      </c>
      <c r="G55" s="19" t="inlineStr">
        <is>
          <t>Aerospace Insurance Brokers shareholders</t>
        </is>
      </c>
      <c r="H55" s="45" t="n">
        <v>45901</v>
      </c>
      <c r="I55" s="45" t="n">
        <v>45901</v>
      </c>
      <c r="J55" s="46" t="n">
        <v>2025</v>
      </c>
      <c r="K55" s="19" t="inlineStr">
        <is>
          <t>M&amp;A</t>
        </is>
      </c>
      <c r="L55" s="19" t="inlineStr">
        <is>
          <t>Acquisition</t>
        </is>
      </c>
      <c r="M55" s="19" t="inlineStr">
        <is>
          <t>Completed</t>
        </is>
      </c>
      <c r="N55" s="47" t="inlineStr">
        <is>
          <t>Not disclosed</t>
        </is>
      </c>
      <c r="O55" s="18" t="inlineStr">
        <is>
          <t>USD</t>
        </is>
      </c>
      <c r="P55" s="19" t="inlineStr">
        <is>
          <t>Services / Insurance brokerage</t>
        </is>
      </c>
      <c r="Q55" s="19" t="inlineStr">
        <is>
          <t>Insurance Services</t>
        </is>
      </c>
      <c r="R55" s="19" t="inlineStr">
        <is>
          <t>Tier 3 – adjacent aerospace services</t>
        </is>
      </c>
      <c r="S55" s="19" t="inlineStr">
        <is>
          <t>Relevant as aviation/aerospace insurance services rather than core defense technology; keep only if services are included.</t>
        </is>
      </c>
      <c r="T55" s="18" t="inlineStr">
        <is>
          <t>Medium – public transaction listing verified; limited details</t>
        </is>
      </c>
      <c r="U55" s="19" t="inlineStr">
        <is>
          <t>https://globalscopepartners.com/all-transactions/howde-aerospace-insurance-broker/</t>
        </is>
      </c>
      <c r="V55" s="19" t="inlineStr">
        <is>
          <t>Transaction listing</t>
        </is>
      </c>
      <c r="W55" s="19" t="inlineStr">
        <is>
          <t>No deal value visible in screenshot.</t>
        </is>
      </c>
      <c r="Z55" s="48" t="n"/>
      <c r="AA55" s="47" t="n"/>
      <c r="AB55" s="48" t="n"/>
      <c r="AC55" s="47" t="n"/>
      <c r="AD55" s="19" t="n"/>
      <c r="AE55" s="47" t="n"/>
      <c r="AF55" s="19" t="inlineStr">
        <is>
          <t>The company was acquired by Howden Broking Group, a subsidiary of Howden Group Holdings, for an undisclosed amount on September 1, 2025.</t>
        </is>
      </c>
      <c r="AG55" s="19" t="inlineStr">
        <is>
          <t>Corporate Backed or Acquired</t>
        </is>
      </c>
      <c r="AH55" s="19" t="inlineStr">
        <is>
          <t>Generating Revenue</t>
        </is>
      </c>
      <c r="AI55" s="19" t="inlineStr">
        <is>
          <t>Howden Broking Group</t>
        </is>
      </c>
      <c r="AJ55" s="19" t="inlineStr">
        <is>
          <t>Insurance Brokers</t>
        </is>
      </c>
      <c r="AK55" s="19" t="n"/>
      <c r="AL55" s="19" t="inlineStr">
        <is>
          <t>Provider of aviation insurance brokerage services intended to serve commercial airlines, airports, defense contractors, and aerospace companies across Israel and international markets. The company offers tailored risk management solutions for drones, satellites, and pilot coverage through boutique expertise and multilingual claims handling, thereby ensuring high-quality protection and global service reliability.</t>
        </is>
      </c>
      <c r="AM55" s="19" t="inlineStr">
        <is>
          <t>Herzliya, Israel</t>
        </is>
      </c>
      <c r="AN55" s="19" t="inlineStr">
        <is>
          <t>www.aerospace.co.il</t>
        </is>
      </c>
    </row>
    <row r="56" ht="42" customHeight="1">
      <c r="A56" s="12" t="inlineStr">
        <is>
          <t>IL-MA-2025-016</t>
        </is>
      </c>
      <c r="B56" s="12" t="inlineStr">
        <is>
          <t>Israel</t>
        </is>
      </c>
      <c r="C56" s="12" t="inlineStr">
        <is>
          <t>Israel</t>
        </is>
      </c>
      <c r="D56" s="13" t="inlineStr">
        <is>
          <t>Caja Robotics</t>
        </is>
      </c>
      <c r="E56" s="13" t="inlineStr">
        <is>
          <t>Fives Group</t>
        </is>
      </c>
      <c r="F56" s="12" t="inlineStr">
        <is>
          <t>France</t>
        </is>
      </c>
      <c r="G56" s="13" t="inlineStr">
        <is>
          <t>Caja Robotics shareholders</t>
        </is>
      </c>
      <c r="H56" s="41" t="n">
        <v>45925</v>
      </c>
      <c r="I56" s="41" t="n">
        <v>45925</v>
      </c>
      <c r="J56" s="42" t="n">
        <v>2025</v>
      </c>
      <c r="K56" s="13" t="inlineStr">
        <is>
          <t>M&amp;A</t>
        </is>
      </c>
      <c r="L56" s="13" t="inlineStr">
        <is>
          <t>Acquisition</t>
        </is>
      </c>
      <c r="M56" s="13" t="inlineStr">
        <is>
          <t>Completed</t>
        </is>
      </c>
      <c r="N56" s="43" t="inlineStr">
        <is>
          <t>Not disclosed</t>
        </is>
      </c>
      <c r="O56" s="12" t="inlineStr">
        <is>
          <t>USD</t>
        </is>
      </c>
      <c r="P56" s="13" t="inlineStr">
        <is>
          <t>Hardware / Software / Warehouse robotics</t>
        </is>
      </c>
      <c r="Q56" s="13" t="inlineStr">
        <is>
          <t>Warehouse Robotics</t>
        </is>
      </c>
      <c r="R56" s="13" t="inlineStr">
        <is>
          <t>Tier 2 – dual-use robotics</t>
        </is>
      </c>
      <c r="S56" s="13" t="inlineStr">
        <is>
          <t>Relevant as Israeli robotics and automation technology; adjacent/dual-use rather than strictly defense.</t>
        </is>
      </c>
      <c r="T56" s="12" t="inlineStr">
        <is>
          <t>High – company/investor source verified</t>
        </is>
      </c>
      <c r="U56" s="13" t="inlineStr">
        <is>
          <t>https://www.fivesgroup.com/ru/newspress/detail-view/fives-reinforces-its-solution-portfolio-in-intralogistics-with-caja-robotics-technologies</t>
        </is>
      </c>
      <c r="V56" s="13" t="inlineStr">
        <is>
          <t>Company press release</t>
        </is>
      </c>
      <c r="W56" s="13" t="inlineStr">
        <is>
          <t>No deal value visible in screenshot.</t>
        </is>
      </c>
      <c r="Z56" s="44" t="n"/>
      <c r="AA56" s="43" t="n"/>
      <c r="AB56" s="44" t="n"/>
      <c r="AC56" s="43" t="n"/>
      <c r="AD56" s="13" t="n"/>
      <c r="AE56" s="43" t="n"/>
      <c r="AF56" s="13" t="inlineStr">
        <is>
          <t>The company was acquired for an undisclosed amount on September 25, 2025.</t>
        </is>
      </c>
      <c r="AG56" s="13" t="inlineStr">
        <is>
          <t>Formerly VC-backed</t>
        </is>
      </c>
      <c r="AH56" s="13" t="inlineStr">
        <is>
          <t>Generating Revenue</t>
        </is>
      </c>
      <c r="AI56" s="13" t="inlineStr">
        <is>
          <t>Fives</t>
        </is>
      </c>
      <c r="AJ56" s="13" t="inlineStr">
        <is>
          <t>Logistics</t>
        </is>
      </c>
      <c r="AK56" s="13" t="inlineStr">
        <is>
          <t>Advanced Manufacturing, Artificial Intelligence &amp; Machine Learning, Big Data, Internet of Things, Manufacturing, Robotics and Drones, Supply Chain Tech</t>
        </is>
      </c>
      <c r="AL56" s="13" t="inlineStr">
        <is>
          <t>Developer of an order fulfillment technology intended to facilitate the transition to automated warehouses with systems and flexible robotics. The company's technology improves the efficiency of e-commerce retailers who require delivery and do not require any preliminary infrastructure, enabling clients to increase order picking efficiency and storage capacity of warehouses, whilst improving the work environment of warehouse employees.</t>
        </is>
      </c>
      <c r="AM56" s="13" t="inlineStr">
        <is>
          <t>Binyamina, Israel</t>
        </is>
      </c>
      <c r="AN56" s="13" t="inlineStr">
        <is>
          <t>www.cajarobotics.com</t>
        </is>
      </c>
    </row>
    <row r="57" ht="42" customHeight="1">
      <c r="A57" s="18" t="inlineStr">
        <is>
          <t>IL-MA-2025-017</t>
        </is>
      </c>
      <c r="B57" s="18" t="inlineStr">
        <is>
          <t>Israel</t>
        </is>
      </c>
      <c r="C57" s="18" t="inlineStr">
        <is>
          <t>Israel</t>
        </is>
      </c>
      <c r="D57" s="19" t="inlineStr">
        <is>
          <t>Camel Grinding Wheels</t>
        </is>
      </c>
      <c r="E57" s="19" t="inlineStr">
        <is>
          <t>ATLANTIC GmbH Bonn</t>
        </is>
      </c>
      <c r="F57" s="18" t="inlineStr">
        <is>
          <t>Germany</t>
        </is>
      </c>
      <c r="G57" s="19" t="inlineStr">
        <is>
          <t>Camel Grinding Wheels / CGW shareholders</t>
        </is>
      </c>
      <c r="H57" s="45" t="n">
        <v>45905</v>
      </c>
      <c r="I57" s="45" t="n">
        <v>45905</v>
      </c>
      <c r="J57" s="46" t="n">
        <v>2025</v>
      </c>
      <c r="K57" s="19" t="inlineStr">
        <is>
          <t>M&amp;A</t>
        </is>
      </c>
      <c r="L57" s="19" t="inlineStr">
        <is>
          <t>Merger / acquisition of vitrified-bonded grinding wheel operations</t>
        </is>
      </c>
      <c r="M57" s="19" t="inlineStr">
        <is>
          <t>Completed</t>
        </is>
      </c>
      <c r="N57" s="47" t="inlineStr">
        <is>
          <t>Not disclosed</t>
        </is>
      </c>
      <c r="O57" s="18" t="inlineStr">
        <is>
          <t>USD</t>
        </is>
      </c>
      <c r="P57" s="19" t="inlineStr">
        <is>
          <t>Hardware / Manufacturing / Abrasives</t>
        </is>
      </c>
      <c r="Q57" s="19" t="inlineStr">
        <is>
          <t>Industrial Supply Chain</t>
        </is>
      </c>
      <c r="R57" s="19" t="inlineStr">
        <is>
          <t>Tier 3 – aerospace/industrial adjacency</t>
        </is>
      </c>
      <c r="S57" s="19" t="inlineStr">
        <is>
          <t>Relevant as aerospace/turbine/industrial manufacturing supply-chain exposure, but not a pure defense-tech transaction.</t>
        </is>
      </c>
      <c r="T57" s="18" t="inlineStr">
        <is>
          <t>Medium – public source verified; structure should be checked in PitchBook</t>
        </is>
      </c>
      <c r="U57" s="19" t="inlineStr">
        <is>
          <t>https://www.prnewswire.com/news-releases/atlantic-expands-global-capabilities-through-strategic-integration-with-cgw-302549591.html</t>
        </is>
      </c>
      <c r="V57" s="19" t="inlineStr">
        <is>
          <t>Company press release</t>
        </is>
      </c>
      <c r="W57" s="19" t="inlineStr">
        <is>
          <t>No deal value visible in screenshot.</t>
        </is>
      </c>
      <c r="Z57" s="48" t="n"/>
      <c r="AA57" s="47" t="n"/>
      <c r="AB57" s="48" t="n"/>
      <c r="AC57" s="47" t="n"/>
      <c r="AD57" s="19" t="n"/>
      <c r="AE57" s="47" t="n"/>
      <c r="AF57" s="19" t="inlineStr">
        <is>
          <t>The company was acquired by ATLANTIC GmbH Bonn for an undisclosed amount on September 5, 2025. The combination creates a premier manufacturer of bonded abrasive products serving industry through its global sales and marketing teams.</t>
        </is>
      </c>
      <c r="AG57" s="19" t="inlineStr">
        <is>
          <t>Corporate Backed or Acquired</t>
        </is>
      </c>
      <c r="AH57" s="19" t="inlineStr">
        <is>
          <t>Generating Revenue</t>
        </is>
      </c>
      <c r="AI57" s="19" t="inlineStr">
        <is>
          <t>ATLANTIC GmbH Bonn (Marco Weber)</t>
        </is>
      </c>
      <c r="AJ57" s="19" t="inlineStr">
        <is>
          <t>Industrial Supplies and Parts</t>
        </is>
      </c>
      <c r="AK57" s="19" t="inlineStr">
        <is>
          <t>Manufacturing</t>
        </is>
      </c>
      <c r="AL57" s="19" t="inlineStr">
        <is>
          <t>Manufacturer and supplier of grinding wheels and abrasive products for aerospace, automotive, gas turbine, construction, and other industries. The company's range of grinding wheel products include vitrified, cylindrical, toolroom, mounted points, cut off wheels, grinding and flap discs, and other related products for precision grinding of ferrous and non-ferrous metals, glass, ceramics, stone, marble, steel, wood, and other materials.</t>
        </is>
      </c>
      <c r="AM57" s="19" t="inlineStr">
        <is>
          <t>Israel</t>
        </is>
      </c>
      <c r="AN57" s="19" t="inlineStr">
        <is>
          <t>www.cgwheels.com</t>
        </is>
      </c>
    </row>
    <row r="58" ht="42" customHeight="1">
      <c r="A58" s="12" t="inlineStr">
        <is>
          <t>IL-MA-2023-004</t>
        </is>
      </c>
      <c r="B58" s="12" t="inlineStr">
        <is>
          <t>Israel</t>
        </is>
      </c>
      <c r="C58" s="12" t="inlineStr">
        <is>
          <t>Israel</t>
        </is>
      </c>
      <c r="D58" s="13" t="inlineStr">
        <is>
          <t>General Robotics</t>
        </is>
      </c>
      <c r="E58" s="13" t="inlineStr">
        <is>
          <t>SIG Sauer Inc.</t>
        </is>
      </c>
      <c r="F58" s="12" t="inlineStr">
        <is>
          <t>United States</t>
        </is>
      </c>
      <c r="G58" s="13" t="inlineStr">
        <is>
          <t>General Robotics shareholders</t>
        </is>
      </c>
      <c r="H58" s="41" t="n">
        <v>44986</v>
      </c>
      <c r="I58" s="41" t="n">
        <v>45001</v>
      </c>
      <c r="J58" s="42" t="n">
        <v>2023</v>
      </c>
      <c r="K58" s="13" t="inlineStr">
        <is>
          <t>M&amp;A</t>
        </is>
      </c>
      <c r="L58" s="13" t="inlineStr">
        <is>
          <t>Acquisition</t>
        </is>
      </c>
      <c r="M58" s="13" t="inlineStr">
        <is>
          <t>Completed</t>
        </is>
      </c>
      <c r="N58" s="43" t="inlineStr">
        <is>
          <t>Not disclosed</t>
        </is>
      </c>
      <c r="O58" s="12" t="inlineStr">
        <is>
          <t>USD</t>
        </is>
      </c>
      <c r="P58" s="13" t="inlineStr">
        <is>
          <t>Hardware / Robotics / Remote weapon stations</t>
        </is>
      </c>
      <c r="Q58" s="13" t="inlineStr">
        <is>
          <t>Ground / Robotic Systems</t>
        </is>
      </c>
      <c r="R58" s="13" t="inlineStr">
        <is>
          <t>Tier 1 – core defense</t>
        </is>
      </c>
      <c r="S58" s="13" t="inlineStr">
        <is>
          <t>Relevant as an Israeli tactical robotics and remote weapon station acquisition by a global defense manufacturer.</t>
        </is>
      </c>
      <c r="T58" s="12" t="inlineStr">
        <is>
          <t>High – company source verified</t>
        </is>
      </c>
      <c r="U58" s="13" t="inlineStr">
        <is>
          <t>https://www.sigsauer.com/blog/sig-sauer-acquires-general-robotics</t>
        </is>
      </c>
      <c r="V58" s="13" t="inlineStr">
        <is>
          <t>Company press release</t>
        </is>
      </c>
      <c r="W58" s="13" t="inlineStr">
        <is>
          <t>PitchBook screenshot showed 01-Mar-2023; SIG Sauer announced the acquisition on Mar. 16, 2023.</t>
        </is>
      </c>
      <c r="Z58" s="44" t="n"/>
      <c r="AA58" s="43" t="n"/>
      <c r="AB58" s="44" t="n"/>
      <c r="AC58" s="43" t="n"/>
      <c r="AD58" s="13" t="n"/>
      <c r="AE58" s="43" t="n"/>
      <c r="AF58" s="13" t="inlineStr">
        <is>
          <t>The company was acquired by Sig Sauer for an undisclosed amount in March 2023.</t>
        </is>
      </c>
      <c r="AG58" s="13" t="inlineStr">
        <is>
          <t>Formerly VC-backed</t>
        </is>
      </c>
      <c r="AH58" s="13" t="inlineStr">
        <is>
          <t>Generating Revenue</t>
        </is>
      </c>
      <c r="AI58" s="13" t="inlineStr">
        <is>
          <t>Sig Sauer</t>
        </is>
      </c>
      <c r="AJ58" s="13" t="inlineStr">
        <is>
          <t>Aerospace and Defense</t>
        </is>
      </c>
      <c r="AK58" s="13" t="inlineStr">
        <is>
          <t>Industrials, Manufacturing, Robotics and Drones</t>
        </is>
      </c>
      <c r="AL58" s="13" t="inlineStr">
        <is>
          <t>Developer of robotic systems designed to offer current and future operational needs in defense and homeland security. The company's robotic systems offer mobile robots that are used for military counter-terrorism operations, with the help of video data collected from most remote places, secret shelters, and bunkers, enabling security markets to avail enhanced robots to quality fight the enemy.</t>
        </is>
      </c>
      <c r="AM58" s="13" t="inlineStr">
        <is>
          <t>Beit Nehemia, Israel</t>
        </is>
      </c>
      <c r="AN58" s="13" t="inlineStr">
        <is>
          <t>www.glrobotics.com</t>
        </is>
      </c>
    </row>
    <row r="59" ht="42" customHeight="1">
      <c r="A59" s="18" t="inlineStr">
        <is>
          <t>IL-MA-2024-010</t>
        </is>
      </c>
      <c r="B59" s="18" t="inlineStr">
        <is>
          <t>Israel</t>
        </is>
      </c>
      <c r="C59" s="18" t="inlineStr">
        <is>
          <t>Israel</t>
        </is>
      </c>
      <c r="D59" s="19" t="inlineStr">
        <is>
          <t>Get SAT</t>
        </is>
      </c>
      <c r="E59" s="19" t="inlineStr">
        <is>
          <t>Thales</t>
        </is>
      </c>
      <c r="F59" s="18" t="inlineStr">
        <is>
          <t>France</t>
        </is>
      </c>
      <c r="G59" s="19" t="inlineStr">
        <is>
          <t>Get SAT shareholders</t>
        </is>
      </c>
      <c r="H59" s="45" t="n">
        <v>45413</v>
      </c>
      <c r="I59" s="45" t="n">
        <v>45437</v>
      </c>
      <c r="J59" s="46" t="n">
        <v>2024</v>
      </c>
      <c r="K59" s="19" t="inlineStr">
        <is>
          <t>M&amp;A</t>
        </is>
      </c>
      <c r="L59" s="19" t="inlineStr">
        <is>
          <t>Acquisition</t>
        </is>
      </c>
      <c r="M59" s="19" t="inlineStr">
        <is>
          <t>Completed</t>
        </is>
      </c>
      <c r="N59" s="47" t="inlineStr">
        <is>
          <t>Not disclosed</t>
        </is>
      </c>
      <c r="O59" s="18" t="inlineStr">
        <is>
          <t>USD</t>
        </is>
      </c>
      <c r="P59" s="19" t="inlineStr">
        <is>
          <t>Hardware / Satellite communications</t>
        </is>
      </c>
      <c r="Q59" s="19" t="inlineStr">
        <is>
          <t>Satellite / Space</t>
        </is>
      </c>
      <c r="R59" s="19" t="inlineStr">
        <is>
          <t>Tier 1 – core defense / aerospace</t>
        </is>
      </c>
      <c r="S59" s="19" t="inlineStr">
        <is>
          <t>Relevant as an Israeli satellite communications acquisition by a major defense and aerospace group.</t>
        </is>
      </c>
      <c r="T59" s="18" t="inlineStr">
        <is>
          <t>High – public source verified</t>
        </is>
      </c>
      <c r="U59" s="19" t="inlineStr">
        <is>
          <t>https://runwaygirlnetwork.com/2024/05/thales-acquires-get-sat/</t>
        </is>
      </c>
      <c r="V59" s="19" t="inlineStr">
        <is>
          <t>News / company-confirmed report</t>
        </is>
      </c>
      <c r="W59" s="19" t="inlineStr">
        <is>
          <t>No deal value visible in screenshot.</t>
        </is>
      </c>
      <c r="Z59" s="48" t="n"/>
      <c r="AA59" s="47" t="n"/>
      <c r="AB59" s="48" t="n"/>
      <c r="AC59" s="47" t="n"/>
      <c r="AD59" s="19" t="n"/>
      <c r="AE59" s="47" t="n"/>
      <c r="AF59" s="19" t="inlineStr">
        <is>
          <t>The company was acquired by Thales Group (PAR: HO) for an undisclosed amount on May 1, 2024.</t>
        </is>
      </c>
      <c r="AG59" s="19" t="inlineStr">
        <is>
          <t>Formerly VC-backed</t>
        </is>
      </c>
      <c r="AH59" s="19" t="inlineStr">
        <is>
          <t>Generating Revenue</t>
        </is>
      </c>
      <c r="AI59" s="19" t="inlineStr">
        <is>
          <t>Thales (Aerospace and Defence) (PAR: HO)</t>
        </is>
      </c>
      <c r="AJ59" s="19" t="inlineStr">
        <is>
          <t>Wireless Communications Equipment</t>
        </is>
      </c>
      <c r="AK59" s="19" t="inlineStr">
        <is>
          <t>Manufacturing</t>
        </is>
      </c>
      <c r="AL59" s="19" t="inlineStr">
        <is>
          <t>Developer of micronized satellite terminals designed to provide satellite communication for ground, air, and maritime applications. The company's micronized satellite terminals provide high-efficiency performance, control, and tracking mechanisms and are powerful and fully contained satellite terminal systems, enabling defense, commercial, and technology companies to get portable, full-duplex, wide-band satellite communications.</t>
        </is>
      </c>
      <c r="AM59" s="19" t="inlineStr">
        <is>
          <t>Rehovot, Israel</t>
        </is>
      </c>
      <c r="AN59" s="19" t="inlineStr">
        <is>
          <t>www.getsat.com</t>
        </is>
      </c>
    </row>
    <row r="60" ht="42" customHeight="1">
      <c r="A60" s="12" t="inlineStr">
        <is>
          <t>IL-MA-2023-007</t>
        </is>
      </c>
      <c r="B60" s="12" t="inlineStr">
        <is>
          <t>Israel</t>
        </is>
      </c>
      <c r="C60" s="12" t="inlineStr">
        <is>
          <t>Israel</t>
        </is>
      </c>
      <c r="D60" s="13" t="inlineStr">
        <is>
          <t>KOI Products Solutions</t>
        </is>
      </c>
      <c r="E60" s="13" t="inlineStr">
        <is>
          <t>IMCD N.V.</t>
        </is>
      </c>
      <c r="F60" s="12" t="inlineStr">
        <is>
          <t>Netherlands</t>
        </is>
      </c>
      <c r="G60" s="13" t="inlineStr">
        <is>
          <t>KOI Products Solutions shareholders</t>
        </is>
      </c>
      <c r="H60" s="41" t="n">
        <v>45084</v>
      </c>
      <c r="I60" s="41" t="n">
        <v>45084</v>
      </c>
      <c r="J60" s="42" t="n">
        <v>2023</v>
      </c>
      <c r="K60" s="13" t="inlineStr">
        <is>
          <t>M&amp;A</t>
        </is>
      </c>
      <c r="L60" s="13" t="inlineStr">
        <is>
          <t>Acquisition of 100% of shares</t>
        </is>
      </c>
      <c r="M60" s="13" t="inlineStr">
        <is>
          <t>Completed</t>
        </is>
      </c>
      <c r="N60" s="43" t="inlineStr">
        <is>
          <t>Not disclosed</t>
        </is>
      </c>
      <c r="O60" s="12" t="inlineStr">
        <is>
          <t>USD</t>
        </is>
      </c>
      <c r="P60" s="13" t="inlineStr">
        <is>
          <t>Services / Materials distribution / Composites</t>
        </is>
      </c>
      <c r="Q60" s="13" t="inlineStr">
        <is>
          <t>Industrial Supply Chain</t>
        </is>
      </c>
      <c r="R60" s="13" t="inlineStr">
        <is>
          <t>Tier 3 – materials / industrial adjacency</t>
        </is>
      </c>
      <c r="S60" s="13" t="inlineStr">
        <is>
          <t>Relevant only if composite/materials supply-chain transactions are included; not a core defense technology target.</t>
        </is>
      </c>
      <c r="T60" s="12" t="inlineStr">
        <is>
          <t>High – company source verified</t>
        </is>
      </c>
      <c r="U60" s="13" t="inlineStr">
        <is>
          <t>https://www.imcdgroup.com/media-centre/press-releases/imcd-enters-israeli-industrial-market-with-the-acquisition-of-koi-pro-MC32PCX2I5YNA55LQN6NJEFHRWMQ</t>
        </is>
      </c>
      <c r="V60" s="13" t="inlineStr">
        <is>
          <t>Company press release</t>
        </is>
      </c>
      <c r="W60" s="13" t="inlineStr">
        <is>
          <t>No deal value visible in screenshot.</t>
        </is>
      </c>
      <c r="Z60" s="44" t="n"/>
      <c r="AA60" s="43" t="n"/>
      <c r="AB60" s="44" t="n"/>
      <c r="AC60" s="43" t="n">
        <v>8.41</v>
      </c>
      <c r="AD60" s="13" t="n"/>
      <c r="AE60" s="43" t="n"/>
      <c r="AF60" s="13" t="inlineStr">
        <is>
          <t>The company was acquired by IMCD (AMS: IMCD) for an undisclosed amount on June 7, 2023. The acquisition represents another important step into the expansion of IMCD (AMS: IMCD)'s industrial business in Israel.</t>
        </is>
      </c>
      <c r="AG60" s="13" t="inlineStr">
        <is>
          <t>Corporate Backed or Acquired</t>
        </is>
      </c>
      <c r="AH60" s="13" t="inlineStr">
        <is>
          <t>Generating Revenue</t>
        </is>
      </c>
      <c r="AI60" s="13" t="inlineStr">
        <is>
          <t>IMCD (AMS: IMCD) (Frank Schneider)</t>
        </is>
      </c>
      <c r="AJ60" s="13" t="inlineStr">
        <is>
          <t>Industrial Supplies and Parts</t>
        </is>
      </c>
      <c r="AK60" s="13" t="inlineStr">
        <is>
          <t>Manufacturing</t>
        </is>
      </c>
      <c r="AL60" s="13" t="inlineStr">
        <is>
          <t>Manufacturer of raw materials intended to offer materials that can be recycled and promote environmental value. The company's products include pigments, composite materials, adhesives, aerospace and aviation materials, enabling industries to get a wide range of raw materials.</t>
        </is>
      </c>
      <c r="AM60" s="13" t="inlineStr">
        <is>
          <t>Petah Tikva, Israel</t>
        </is>
      </c>
      <c r="AN60" s="13" t="inlineStr">
        <is>
          <t>www.koi.co.il</t>
        </is>
      </c>
    </row>
    <row r="61" ht="42" customHeight="1">
      <c r="A61" s="18" t="inlineStr">
        <is>
          <t>IL-MA-2025-018</t>
        </is>
      </c>
      <c r="B61" s="18" t="inlineStr">
        <is>
          <t>Israel</t>
        </is>
      </c>
      <c r="C61" s="18" t="inlineStr">
        <is>
          <t>Israel</t>
        </is>
      </c>
      <c r="D61" s="19" t="inlineStr">
        <is>
          <t>Light &amp; Strong</t>
        </is>
      </c>
      <c r="E61" s="19" t="inlineStr">
        <is>
          <t>Polyrit</t>
        </is>
      </c>
      <c r="F61" s="18" t="inlineStr">
        <is>
          <t>Israel</t>
        </is>
      </c>
      <c r="G61" s="19" t="inlineStr">
        <is>
          <t>Light &amp; Strong shareholders</t>
        </is>
      </c>
      <c r="H61" s="45" t="n">
        <v>45912</v>
      </c>
      <c r="I61" s="45" t="n">
        <v>46000</v>
      </c>
      <c r="J61" s="46" t="n">
        <v>2025</v>
      </c>
      <c r="K61" s="19" t="inlineStr">
        <is>
          <t>Merger/Acquisition</t>
        </is>
      </c>
      <c r="L61" s="19" t="inlineStr">
        <is>
          <t>Corporate divestiture / acquisition</t>
        </is>
      </c>
      <c r="M61" s="19" t="inlineStr">
        <is>
          <t>Completed</t>
        </is>
      </c>
      <c r="N61" s="47" t="inlineStr">
        <is>
          <t>Not disclosed</t>
        </is>
      </c>
      <c r="O61" s="18" t="inlineStr">
        <is>
          <t>USD</t>
        </is>
      </c>
      <c r="P61" s="19" t="inlineStr">
        <is>
          <t>Hardware / Advanced composites</t>
        </is>
      </c>
      <c r="Q61" s="19" t="inlineStr">
        <is>
          <t>Industrial Supply Chain</t>
        </is>
      </c>
      <c r="R61" s="19" t="inlineStr">
        <is>
          <t>Tier 1 – core defense / aerospace materials</t>
        </is>
      </c>
      <c r="S61" s="19" t="inlineStr">
        <is>
          <t>Relevant as an Israeli advanced-composites company serving defense/aerospace applications.</t>
        </is>
      </c>
      <c r="T61" s="18" t="inlineStr">
        <is>
          <t>Medium – source verified, date discrepancy vs screenshot</t>
        </is>
      </c>
      <c r="U61" s="19" t="inlineStr">
        <is>
          <t>https://www.israeldefense.co.il/en/node/67107</t>
        </is>
      </c>
      <c r="V61" s="19" t="inlineStr">
        <is>
          <t>News / industry report</t>
        </is>
      </c>
      <c r="W61" s="19" t="inlineStr">
        <is>
          <t>PitchBook screenshot showed 12-Sep-2025; public source reported completion in Dec. 2025.</t>
        </is>
      </c>
      <c r="Z61" s="48" t="n"/>
      <c r="AA61" s="47" t="n"/>
      <c r="AB61" s="48" t="n"/>
      <c r="AC61" s="47" t="n"/>
      <c r="AD61" s="19" t="inlineStr">
        <is>
          <t>Corporate Divestiture</t>
        </is>
      </c>
      <c r="AE61" s="47" t="n"/>
      <c r="AF61" s="19" t="inlineStr">
        <is>
          <t>The company, a subsidiary of Lohia Group, was acquired by Polyrit for an undisclosed amount on September 12, 2025. The acquisition represents a significant step in Polyrit's growth strategy and marks its deeper expansion into the defense and aerospace sectors.</t>
        </is>
      </c>
      <c r="AG61" s="19" t="inlineStr">
        <is>
          <t>Corporate Backed or Acquired</t>
        </is>
      </c>
      <c r="AH61" s="19" t="inlineStr">
        <is>
          <t>Generating Revenue</t>
        </is>
      </c>
      <c r="AI61" s="19" t="inlineStr">
        <is>
          <t>Polyrit (Patricia Grumberg)</t>
        </is>
      </c>
      <c r="AJ61" s="19" t="inlineStr">
        <is>
          <t>Aerospace and Defense</t>
        </is>
      </c>
      <c r="AK61" s="19" t="inlineStr">
        <is>
          <t>Manufacturing</t>
        </is>
      </c>
      <c r="AL61" s="19" t="inlineStr">
        <is>
          <t>Manufacturer of composite material components intended for the aerospace and defense industries. The company specializes in aerospace and military carbon fiber and glass fiber composite components production, providing its clients with low-cost solutions for the production of small amounts of products.</t>
        </is>
      </c>
      <c r="AM61" s="19" t="inlineStr">
        <is>
          <t>Gedera, Israel</t>
        </is>
      </c>
      <c r="AN61" s="19" t="inlineStr">
        <is>
          <t>www.light-and-strong.com</t>
        </is>
      </c>
    </row>
    <row r="62" ht="42" customHeight="1">
      <c r="A62" s="12" t="inlineStr">
        <is>
          <t>IL-MA-2023-008</t>
        </is>
      </c>
      <c r="B62" s="12" t="inlineStr">
        <is>
          <t>Israel</t>
        </is>
      </c>
      <c r="C62" s="12" t="inlineStr">
        <is>
          <t>Israel</t>
        </is>
      </c>
      <c r="D62" s="13" t="inlineStr">
        <is>
          <t>NSO Group</t>
        </is>
      </c>
      <c r="E62" s="13" t="inlineStr">
        <is>
          <t>Omri Lavie / founder-controlled holding company</t>
        </is>
      </c>
      <c r="F62" s="12" t="inlineStr">
        <is>
          <t>Luxembourg / Israel</t>
        </is>
      </c>
      <c r="G62" s="13" t="inlineStr">
        <is>
          <t>Lender syndicate / prior ownership structure</t>
        </is>
      </c>
      <c r="H62" s="41" t="n">
        <v>44986</v>
      </c>
      <c r="I62" s="41" t="n">
        <v>44986</v>
      </c>
      <c r="J62" s="42" t="n">
        <v>2023</v>
      </c>
      <c r="K62" s="13" t="inlineStr">
        <is>
          <t>Merger/Acquisition</t>
        </is>
      </c>
      <c r="L62" s="13" t="inlineStr">
        <is>
          <t>Restructuring / ownership transfer</t>
        </is>
      </c>
      <c r="M62" s="13" t="inlineStr">
        <is>
          <t>Completed</t>
        </is>
      </c>
      <c r="N62" s="43" t="inlineStr">
        <is>
          <t>Not disclosed</t>
        </is>
      </c>
      <c r="O62" s="12" t="inlineStr">
        <is>
          <t>USD</t>
        </is>
      </c>
      <c r="P62" s="13" t="inlineStr">
        <is>
          <t>Software / Cyber intelligence</t>
        </is>
      </c>
      <c r="Q62" s="13" t="inlineStr">
        <is>
          <t>Cyber Intelligence</t>
        </is>
      </c>
      <c r="R62" s="13" t="inlineStr">
        <is>
          <t>Tier 2 – cyber / sensitive dual-use</t>
        </is>
      </c>
      <c r="S62" s="13" t="inlineStr">
        <is>
          <t>Relevant as a cyber-intelligence ownership change; sensitive and not a standard strategic acquisition.</t>
        </is>
      </c>
      <c r="T62" s="12" t="inlineStr">
        <is>
          <t>Medium – public reporting verified; structure complex</t>
        </is>
      </c>
      <c r="U62" s="13" t="inlineStr">
        <is>
          <t>https://www.theguardian.com/technology/2023/mar/01/one-of-nso-groups-founders-emerges-as-new-majority-owner</t>
        </is>
      </c>
      <c r="V62" s="13" t="inlineStr">
        <is>
          <t>News report</t>
        </is>
      </c>
      <c r="W62" s="13" t="inlineStr">
        <is>
          <t>Separate from the 2025 NSO acquisition row already in the file.</t>
        </is>
      </c>
      <c r="Z62" s="44" t="n"/>
      <c r="AA62" s="43" t="n"/>
      <c r="AB62" s="44" t="n"/>
      <c r="AC62" s="43" t="n">
        <v>150</v>
      </c>
      <c r="AD62" s="13" t="n"/>
      <c r="AE62" s="43" t="n"/>
      <c r="AF62" s="13" t="inlineStr">
        <is>
          <t>The company was acquired by Mr. Omri Lavie for an undisclosed amount in March 2023.</t>
        </is>
      </c>
      <c r="AG62" s="13" t="inlineStr">
        <is>
          <t>Formerly PE-Backed</t>
        </is>
      </c>
      <c r="AH62" s="13" t="inlineStr">
        <is>
          <t>Profitable</t>
        </is>
      </c>
      <c r="AI62" s="13" t="n"/>
      <c r="AJ62" s="13" t="inlineStr">
        <is>
          <t>Network Management Software</t>
        </is>
      </c>
      <c r="AK62" s="13" t="inlineStr">
        <is>
          <t>Cybersecurity, Mobile, TMT</t>
        </is>
      </c>
      <c r="AL62" s="13" t="inlineStr">
        <is>
          <t>Developer of surveillance and security research software intended to help governments protect their people from terror and crime. The company's cybersecurity platform provides data intelligence, acquisition and analysis techniques that equip government intelligence agencies and law enforcement organizations around the world with strategic, tactical and analytical technological capabilities, ensuring the success of their operations in fighting crime and terrorism.</t>
        </is>
      </c>
      <c r="AM62" s="13" t="inlineStr">
        <is>
          <t>Herzliya, Israel</t>
        </is>
      </c>
      <c r="AN62" s="13" t="inlineStr">
        <is>
          <t>www.nsogroup.com</t>
        </is>
      </c>
    </row>
    <row r="63" ht="42" customHeight="1">
      <c r="A63" s="18" t="inlineStr">
        <is>
          <t>IL-IPO-2025-002</t>
        </is>
      </c>
      <c r="B63" s="18" t="inlineStr">
        <is>
          <t>Israel</t>
        </is>
      </c>
      <c r="C63" s="18" t="inlineStr">
        <is>
          <t>Israel</t>
        </is>
      </c>
      <c r="D63" s="19" t="inlineStr">
        <is>
          <t>RP Optical Lab</t>
        </is>
      </c>
      <c r="E63" s="19" t="inlineStr">
        <is>
          <t>N/A – IPO</t>
        </is>
      </c>
      <c r="F63" s="18" t="inlineStr">
        <is>
          <t>N/A</t>
        </is>
      </c>
      <c r="G63" s="19" t="inlineStr">
        <is>
          <t>Existing shareholders / founders</t>
        </is>
      </c>
      <c r="H63" s="45" t="n">
        <v>45812</v>
      </c>
      <c r="I63" s="45" t="n">
        <v>45812</v>
      </c>
      <c r="J63" s="46" t="n">
        <v>2025</v>
      </c>
      <c r="K63" s="19" t="inlineStr">
        <is>
          <t>IPO</t>
        </is>
      </c>
      <c r="L63" s="19" t="inlineStr">
        <is>
          <t>IPO / public listing transaction</t>
        </is>
      </c>
      <c r="M63" s="19" t="inlineStr">
        <is>
          <t>Completed</t>
        </is>
      </c>
      <c r="N63" s="47" t="inlineStr">
        <is>
          <t>Not disclosed</t>
        </is>
      </c>
      <c r="O63" s="18" t="inlineStr">
        <is>
          <t>USD</t>
        </is>
      </c>
      <c r="P63" s="19" t="inlineStr">
        <is>
          <t>Hardware / Electro-optics</t>
        </is>
      </c>
      <c r="Q63" s="19" t="inlineStr">
        <is>
          <t>Defense Electronics / Sensors</t>
        </is>
      </c>
      <c r="R63" s="19" t="inlineStr">
        <is>
          <t>Tier 1 – core defense / HLS</t>
        </is>
      </c>
      <c r="S63" s="19" t="inlineStr">
        <is>
          <t>Relevant as Israeli electro-optical/thermal-imaging IPO; no acquirer because this is an IPO.</t>
        </is>
      </c>
      <c r="T63" s="18" t="inlineStr">
        <is>
          <t>High – public/TASE IPO source verified</t>
        </is>
      </c>
      <c r="U63" s="19" t="inlineStr">
        <is>
          <t>https://shimonov.com/category/prospectuses-ipos/</t>
        </is>
      </c>
      <c r="V63" s="19" t="inlineStr">
        <is>
          <t>Legal adviser / IPO note</t>
        </is>
      </c>
      <c r="W63" s="19" t="inlineStr">
        <is>
          <t>PitchBook screenshot did not show the deal value column for this row; public source says approximately NIS 150m raised.</t>
        </is>
      </c>
      <c r="Z63" s="48" t="n"/>
      <c r="AA63" s="47" t="n">
        <v>6.78</v>
      </c>
      <c r="AB63" s="48" t="n"/>
      <c r="AC63" s="47" t="n">
        <v>33.47</v>
      </c>
      <c r="AD63" s="19" t="n"/>
      <c r="AE63" s="47" t="n"/>
      <c r="AF63" s="19" t="inlineStr">
        <is>
          <t>The company completed its initial public offering on the Tel Aviv Stock Exchange under the ticker symbol of RPOL on June 4, 2025.</t>
        </is>
      </c>
      <c r="AG63" s="19" t="inlineStr">
        <is>
          <t>Formerly PE-Backed</t>
        </is>
      </c>
      <c r="AH63" s="19" t="inlineStr">
        <is>
          <t>Generating Revenue</t>
        </is>
      </c>
      <c r="AI63" s="19" t="n"/>
      <c r="AJ63" s="19" t="inlineStr">
        <is>
          <t>Electronic Equipment and Instruments</t>
        </is>
      </c>
      <c r="AK63" s="19" t="inlineStr">
        <is>
          <t>Manufacturing</t>
        </is>
      </c>
      <c r="AL63" s="19" t="inlineStr">
        <is>
          <t>RP Optical Lab Ltd is engaged in developing and producing Electro-Optical modules. It is in the field of thermal imaging and is involved in the defense, homeland security, medical, and commercial markets. Its products and services are Opto-Mechanical Design, Lenses, Video Engine, Cameras &amp; Cores, and Multi-Sensor Systems.</t>
        </is>
      </c>
      <c r="AM63" s="19" t="inlineStr">
        <is>
          <t>Petah Tikva, Israel</t>
        </is>
      </c>
      <c r="AN63" s="19" t="inlineStr">
        <is>
          <t>www.rp-optical-lab.com</t>
        </is>
      </c>
    </row>
    <row r="64" ht="42" customHeight="1">
      <c r="A64" s="12" t="inlineStr">
        <is>
          <t>IL-MA-2024-012</t>
        </is>
      </c>
      <c r="B64" s="12" t="inlineStr">
        <is>
          <t>Israel</t>
        </is>
      </c>
      <c r="C64" s="12" t="inlineStr">
        <is>
          <t>Israel</t>
        </is>
      </c>
      <c r="D64" s="13" t="inlineStr">
        <is>
          <t>Sital Technology</t>
        </is>
      </c>
      <c r="E64" s="13" t="inlineStr">
        <is>
          <t>Not verified in public sources</t>
        </is>
      </c>
      <c r="F64" s="12" t="inlineStr">
        <is>
          <t>Not verified</t>
        </is>
      </c>
      <c r="G64" s="13" t="inlineStr">
        <is>
          <t>Sital Technology shareholders</t>
        </is>
      </c>
      <c r="H64" s="41" t="n">
        <v>45413</v>
      </c>
      <c r="I64" s="41" t="n">
        <v>45413</v>
      </c>
      <c r="J64" s="42" t="n">
        <v>2024</v>
      </c>
      <c r="K64" s="13" t="inlineStr">
        <is>
          <t>Merger/Acquisition</t>
        </is>
      </c>
      <c r="L64" s="13" t="inlineStr">
        <is>
          <t>Acquisition</t>
        </is>
      </c>
      <c r="M64" s="13" t="inlineStr">
        <is>
          <t>Completed</t>
        </is>
      </c>
      <c r="N64" s="43" t="inlineStr">
        <is>
          <t>Not disclosed</t>
        </is>
      </c>
      <c r="O64" s="12" t="inlineStr">
        <is>
          <t>USD</t>
        </is>
      </c>
      <c r="P64" s="13" t="inlineStr">
        <is>
          <t>Hardware / Semiconductor IP / Avionics bus</t>
        </is>
      </c>
      <c r="Q64" s="13" t="inlineStr">
        <is>
          <t>Defense Electronics / Sensors</t>
        </is>
      </c>
      <c r="R64" s="13" t="inlineStr">
        <is>
          <t>Tier 1 – core aerospace electronics</t>
        </is>
      </c>
      <c r="S64" s="13" t="inlineStr">
        <is>
          <t>Relevant as avionics/defense electronics technology, but acquirer could not be verified publicly.</t>
        </is>
      </c>
      <c r="T64" s="12" t="inlineStr">
        <is>
          <t>Low – PitchBook screenshot only; public acquirer not verified</t>
        </is>
      </c>
      <c r="U64" s="13" t="inlineStr">
        <is>
          <t>PitchBook export / user screenshot</t>
        </is>
      </c>
      <c r="V64" s="13" t="inlineStr">
        <is>
          <t>PitchBook screenshot</t>
        </is>
      </c>
      <c r="W64" s="13" t="inlineStr">
        <is>
          <t>Public search found a 2024 Micross partnership, not an acquisition; verify acquirer in PitchBook.</t>
        </is>
      </c>
      <c r="Z64" s="44" t="n"/>
      <c r="AA64" s="43" t="n"/>
      <c r="AB64" s="44" t="n"/>
      <c r="AC64" s="43" t="n"/>
      <c r="AD64" s="13" t="n"/>
      <c r="AE64" s="43" t="n"/>
      <c r="AF64" s="13" t="inlineStr">
        <is>
          <t>The company was acquired for an undisclosed amount approximately in May 2024.</t>
        </is>
      </c>
      <c r="AG64" s="13" t="inlineStr">
        <is>
          <t>Formerly PE-Backed</t>
        </is>
      </c>
      <c r="AH64" s="13" t="inlineStr">
        <is>
          <t>Generating Revenue</t>
        </is>
      </c>
      <c r="AI64" s="13" t="n"/>
      <c r="AJ64" s="13" t="inlineStr">
        <is>
          <t>Aerospace and Defense</t>
        </is>
      </c>
      <c r="AK64" s="13" t="n"/>
      <c r="AL64" s="13" t="inlineStr">
        <is>
          <t>Provider of hardware and software solutions intended to serve the aerospace, defense, and space companies. The company offers solutions and services like predictive maintenance, airworthiness and mission readiness based on wiring fault detection, enabling clients to get affordable solutions for their technical tasks.</t>
        </is>
      </c>
      <c r="AM64" s="13" t="inlineStr">
        <is>
          <t>Kfar-Saba, Israel</t>
        </is>
      </c>
      <c r="AN64" s="13" t="inlineStr">
        <is>
          <t>www.sitaltech.com</t>
        </is>
      </c>
    </row>
    <row r="65" ht="42" customHeight="1">
      <c r="A65" s="18" t="inlineStr">
        <is>
          <t>IL-MA-2025-023</t>
        </is>
      </c>
      <c r="B65" s="18" t="inlineStr">
        <is>
          <t>Israel</t>
        </is>
      </c>
      <c r="C65" s="18" t="inlineStr">
        <is>
          <t>Israel</t>
        </is>
      </c>
      <c r="D65" s="19" t="inlineStr">
        <is>
          <t>Starlight Technologies</t>
        </is>
      </c>
      <c r="E65" s="19" t="inlineStr">
        <is>
          <t>Accel Solutions Ltd.</t>
        </is>
      </c>
      <c r="F65" s="18" t="inlineStr">
        <is>
          <t>Israel</t>
        </is>
      </c>
      <c r="G65" s="19" t="inlineStr">
        <is>
          <t>Starlight Technologies shareholders</t>
        </is>
      </c>
      <c r="H65" s="45" t="n">
        <v>46002</v>
      </c>
      <c r="I65" s="45" t="n"/>
      <c r="J65" s="46" t="n">
        <v>2025</v>
      </c>
      <c r="K65" s="19" t="inlineStr">
        <is>
          <t>Merger/Acquisition</t>
        </is>
      </c>
      <c r="L65" s="19" t="inlineStr">
        <is>
          <t>Acquisition</t>
        </is>
      </c>
      <c r="M65" s="19" t="inlineStr">
        <is>
          <t>Announced / In process</t>
        </is>
      </c>
      <c r="N65" s="47" t="inlineStr">
        <is>
          <t>Not disclosed</t>
        </is>
      </c>
      <c r="O65" s="18" t="inlineStr">
        <is>
          <t>USD</t>
        </is>
      </c>
      <c r="P65" s="19" t="inlineStr">
        <is>
          <t>Hardware / RF &amp; microwave representative services</t>
        </is>
      </c>
      <c r="Q65" s="19" t="inlineStr">
        <is>
          <t>Defense Electronics / Sensors</t>
        </is>
      </c>
      <c r="R65" s="19" t="inlineStr">
        <is>
          <t>Tier 2 – defense-electronics adjacency</t>
        </is>
      </c>
      <c r="S65" s="19" t="inlineStr">
        <is>
          <t>Relevant as Israeli RF/microwave supplier/representative organization supporting military and commercial electronics customers.</t>
        </is>
      </c>
      <c r="T65" s="18" t="inlineStr">
        <is>
          <t>Medium – public reporting verified; completion not confirmed</t>
        </is>
      </c>
      <c r="U65" s="19" t="inlineStr">
        <is>
          <t>https://en.globes.co.il/en/article-accel-solutions-buys-starlight-and-nextwave-for-nis-90m-1001528932</t>
        </is>
      </c>
      <c r="V65" s="19" t="inlineStr">
        <is>
          <t>News report</t>
        </is>
      </c>
      <c r="W65" s="19" t="inlineStr">
        <is>
          <t>PitchBook screenshot shows pending/announced; public source says Accel is acquiring Starlight and Nextwave for up to NIS 90m.</t>
        </is>
      </c>
      <c r="Z65" s="48" t="n"/>
      <c r="AA65" s="47" t="n"/>
      <c r="AB65" s="48" t="n"/>
      <c r="AC65" s="47" t="n"/>
      <c r="AD65" s="19" t="n"/>
      <c r="AE65" s="47" t="n"/>
      <c r="AF65" s="19" t="inlineStr">
        <is>
          <t>The company reached a definitive agreement to be acquired by Accel Solutions (TAE: ACCL) for an undisclosed amount on December 11, 2025.</t>
        </is>
      </c>
      <c r="AG65" s="19" t="inlineStr">
        <is>
          <t>Pending Transaction (M&amp;A)</t>
        </is>
      </c>
      <c r="AH65" s="19" t="inlineStr">
        <is>
          <t>Generating Revenue</t>
        </is>
      </c>
      <c r="AI65" s="19" t="inlineStr">
        <is>
          <t>Accel Solutions (TAE: ACCL) (Ronen Shor)</t>
        </is>
      </c>
      <c r="AJ65" s="19" t="inlineStr">
        <is>
          <t>Aerospace and Defense</t>
        </is>
      </c>
      <c r="AK65" s="19" t="n"/>
      <c r="AL65" s="19" t="inlineStr">
        <is>
          <t>Provider of radio frequency and microwave components and systems for the military and commercial industry in Israel. The company collaborates with various suppliers to offer standard and custom products such as security applications, remote control applications, data acquisition, an integrated data link system, video and telemetry transmitters, and more.</t>
        </is>
      </c>
      <c r="AM65" s="19" t="inlineStr">
        <is>
          <t>Tel Aviv, Israel</t>
        </is>
      </c>
      <c r="AN65" s="19" t="inlineStr">
        <is>
          <t>www.starlight.co.il</t>
        </is>
      </c>
    </row>
    <row r="66" ht="42" customHeight="1">
      <c r="A66" s="12" t="inlineStr">
        <is>
          <t>IL-MA-2025-024</t>
        </is>
      </c>
      <c r="B66" s="12" t="inlineStr">
        <is>
          <t>Israel</t>
        </is>
      </c>
      <c r="C66" s="12" t="inlineStr">
        <is>
          <t>Israel</t>
        </is>
      </c>
      <c r="D66" s="13" t="inlineStr">
        <is>
          <t>Trim Robotics</t>
        </is>
      </c>
      <c r="E66" s="13" t="inlineStr">
        <is>
          <t>UVision USA</t>
        </is>
      </c>
      <c r="F66" s="12" t="inlineStr">
        <is>
          <t>United States</t>
        </is>
      </c>
      <c r="G66" s="13" t="inlineStr">
        <is>
          <t>Trim Robotics shareholders</t>
        </is>
      </c>
      <c r="H66" s="41" t="n">
        <v>45754</v>
      </c>
      <c r="I66" s="41" t="n">
        <v>45754</v>
      </c>
      <c r="J66" s="42" t="n">
        <v>2025</v>
      </c>
      <c r="K66" s="13" t="inlineStr">
        <is>
          <t>Merger/Acquisition</t>
        </is>
      </c>
      <c r="L66" s="13" t="inlineStr">
        <is>
          <t>Acquisition</t>
        </is>
      </c>
      <c r="M66" s="13" t="inlineStr">
        <is>
          <t>Completed</t>
        </is>
      </c>
      <c r="N66" s="43" t="inlineStr">
        <is>
          <t>Not disclosed</t>
        </is>
      </c>
      <c r="O66" s="12" t="inlineStr">
        <is>
          <t>USD</t>
        </is>
      </c>
      <c r="P66" s="13" t="inlineStr">
        <is>
          <t>Hardware / Software / Loitering munitions</t>
        </is>
      </c>
      <c r="Q66" s="13" t="inlineStr">
        <is>
          <t>UAVs / Autonomous Systems</t>
        </is>
      </c>
      <c r="R66" s="13" t="inlineStr">
        <is>
          <t>Tier 1 – core defense</t>
        </is>
      </c>
      <c r="S66" s="13" t="inlineStr">
        <is>
          <t>Relevant as an Israeli loitering-munition / UAV transaction, expanding UVision's portfolio with Trim Robotics' QuadiKaze rotary-wing loitering munition capability.</t>
        </is>
      </c>
      <c r="T66" s="12" t="inlineStr">
        <is>
          <t>High – company source verified</t>
        </is>
      </c>
      <c r="U66" s="13" t="inlineStr">
        <is>
          <t>https://uvisionuav.com/uvision-acquires-trim-robotics-expanding-its-loitering-munition-capabilities/</t>
        </is>
      </c>
      <c r="V66" s="13" t="inlineStr">
        <is>
          <t>Company press release + PitchBook screenshot</t>
        </is>
      </c>
      <c r="W66" s="13" t="inlineStr">
        <is>
          <t>PitchBook screenshot shows 07-Apr-2025 and completed status; public source confirms UVision USA announced the acquisition of Trim Robotics on April 7, 2025.</t>
        </is>
      </c>
      <c r="Z66" s="44" t="n"/>
      <c r="AA66" s="43" t="n"/>
      <c r="AB66" s="44" t="n"/>
      <c r="AC66" s="43" t="n"/>
      <c r="AD66" s="13" t="n"/>
      <c r="AE66" s="43" t="n"/>
      <c r="AF66" s="13" t="inlineStr">
        <is>
          <t>The company was acquired by UVision USA for an undisclosed amount on April 7, 2025. This strategic acquisition strengthens UVision's operational portfolio by integrating the HERO series with Trim's innovative Quadikaze missile, creating a more versatile and synergized loitering munition portfolio.</t>
        </is>
      </c>
      <c r="AG66" s="13" t="inlineStr">
        <is>
          <t>Corporate Backed or Acquired</t>
        </is>
      </c>
      <c r="AH66" s="13" t="inlineStr">
        <is>
          <t>Generating Revenue</t>
        </is>
      </c>
      <c r="AI66" s="13" t="inlineStr">
        <is>
          <t>UVision-USA (Ran Gozali)</t>
        </is>
      </c>
      <c r="AJ66" s="13" t="inlineStr">
        <is>
          <t>Aerospace and Defense</t>
        </is>
      </c>
      <c r="AK66" s="13" t="inlineStr">
        <is>
          <t>Robotics and Drones</t>
        </is>
      </c>
      <c r="AL66" s="13" t="inlineStr">
        <is>
          <t>Developer of advanced unmanned systems designed for enhancing tactical operations and precision strikes. The company offers products such as rotary-wing loitering munitions, dual-fuselage designs, and autonomous target identification systems, enabling defense forces to achieve superior maneuverability, extended mission durations, and rapid engagement capabilities in complex operational environments.</t>
        </is>
      </c>
      <c r="AM66" s="13" t="inlineStr">
        <is>
          <t>Yaqum, Israel</t>
        </is>
      </c>
      <c r="AN66" s="13" t="inlineStr">
        <is>
          <t>www.trim-robotics.com</t>
        </is>
      </c>
    </row>
    <row r="67" ht="42" customHeight="1">
      <c r="A67" s="18" t="inlineStr">
        <is>
          <t>IL-MA-2025-025</t>
        </is>
      </c>
      <c r="B67" s="18" t="inlineStr">
        <is>
          <t>Israel</t>
        </is>
      </c>
      <c r="C67" s="18" t="inlineStr">
        <is>
          <t>Israel</t>
        </is>
      </c>
      <c r="D67" s="19" t="inlineStr">
        <is>
          <t>Zickel Engineering</t>
        </is>
      </c>
      <c r="E67" s="19" t="inlineStr">
        <is>
          <t>Ondas Holdings Inc.</t>
        </is>
      </c>
      <c r="F67" s="18" t="inlineStr">
        <is>
          <t>United States</t>
        </is>
      </c>
      <c r="G67" s="19" t="inlineStr">
        <is>
          <t>Zickel Engineering shareholders</t>
        </is>
      </c>
      <c r="H67" s="45" t="n">
        <v>45839</v>
      </c>
      <c r="I67" s="45" t="n">
        <v>45839</v>
      </c>
      <c r="J67" s="46" t="n">
        <v>2025</v>
      </c>
      <c r="K67" s="19" t="inlineStr">
        <is>
          <t>Merger/Acquisition</t>
        </is>
      </c>
      <c r="L67" s="19" t="inlineStr">
        <is>
          <t>Acquisition</t>
        </is>
      </c>
      <c r="M67" s="19" t="inlineStr">
        <is>
          <t>Completed</t>
        </is>
      </c>
      <c r="N67" s="47" t="inlineStr">
        <is>
          <t>Not disclosed</t>
        </is>
      </c>
      <c r="O67" s="18" t="inlineStr">
        <is>
          <t>USD</t>
        </is>
      </c>
      <c r="P67" s="19" t="inlineStr">
        <is>
          <t>Services / Engineering / Aeronautics</t>
        </is>
      </c>
      <c r="Q67" s="19" t="inlineStr">
        <is>
          <t>Defense Engineering Services</t>
        </is>
      </c>
      <c r="R67" s="19" t="inlineStr">
        <is>
          <t>Tier 1 – core defense engineering</t>
        </is>
      </c>
      <c r="S67" s="19" t="inlineStr">
        <is>
          <t>Relevant as an Israeli defense/aeronautics engineering acquisition; Ondas described Zickel as adding an elite engineering team and expanding capabilities for defense systems.</t>
        </is>
      </c>
      <c r="T67" s="18" t="inlineStr">
        <is>
          <t>Medium-high – public source verified; deal value not visible</t>
        </is>
      </c>
      <c r="U67" s="19" t="inlineStr">
        <is>
          <t>https://ir.ondas.com/all-sec-filings/content/0001213900-25-074654/ea025264901ex99-2_ondas.htm ; https://pitchbook.com/profiles/company/144481-15</t>
        </is>
      </c>
      <c r="V67" s="19" t="inlineStr">
        <is>
          <t>Ondas investor filing + PitchBook screenshot/profile</t>
        </is>
      </c>
      <c r="W67" s="19" t="inlineStr">
        <is>
          <t>PitchBook screenshot shows 01-Jul-2025 and completed status; Ondas public investor filing confirms Zickel was acquired in July 2025.</t>
        </is>
      </c>
      <c r="Z67" s="48" t="n"/>
      <c r="AA67" s="47" t="n"/>
      <c r="AB67" s="48" t="n"/>
      <c r="AC67" s="47" t="n"/>
      <c r="AD67" s="19" t="n"/>
      <c r="AE67" s="47" t="n"/>
      <c r="AF67" s="19" t="inlineStr">
        <is>
          <t>The company was acquired by Ondas Holdings (NAS: ONDS) for an undisclosed amount on July 1, 2025.</t>
        </is>
      </c>
      <c r="AG67" s="19" t="inlineStr">
        <is>
          <t>Corporate Backed or Acquired</t>
        </is>
      </c>
      <c r="AH67" s="19" t="inlineStr">
        <is>
          <t>Generating Revenue</t>
        </is>
      </c>
      <c r="AI67" s="19" t="inlineStr">
        <is>
          <t>Ondas (NAS: ONDS)</t>
        </is>
      </c>
      <c r="AJ67" s="19" t="inlineStr">
        <is>
          <t>Construction and Engineering</t>
        </is>
      </c>
      <c r="AK67" s="19" t="n"/>
      <c r="AL67" s="19" t="inlineStr">
        <is>
          <t>Provider of multidisciplinary engineering services intended to serve aerospace, defense, and industrial technology markets. The company develops advanced drones, navigation systems, and remote-operated vehicles while integrating hardware, software, and algorithms into turnkey services, thereby enabling clients to ramp up a project with minimal risk.</t>
        </is>
      </c>
      <c r="AM67" s="19" t="inlineStr">
        <is>
          <t>Haifa, Israel</t>
        </is>
      </c>
      <c r="AN67" s="19" t="inlineStr">
        <is>
          <t>www.zickel.net</t>
        </is>
      </c>
    </row>
    <row r="68" ht="42" customHeight="1">
      <c r="A68" s="12" t="n"/>
      <c r="B68" s="12" t="inlineStr">
        <is>
          <t>Israel</t>
        </is>
      </c>
      <c r="C68" s="12" t="inlineStr">
        <is>
          <t>Israel</t>
        </is>
      </c>
      <c r="D68" s="13" t="inlineStr">
        <is>
          <t>D-Fend Solutions</t>
        </is>
      </c>
      <c r="E68" s="13" t="inlineStr">
        <is>
          <t>Motorola Solutions</t>
        </is>
      </c>
      <c r="F68" s="12" t="inlineStr">
        <is>
          <t>United States</t>
        </is>
      </c>
      <c r="G68" s="13" t="inlineStr">
        <is>
          <t>Not disclosed</t>
        </is>
      </c>
      <c r="H68" s="41" t="n">
        <v>46174</v>
      </c>
      <c r="I68" s="41" t="n"/>
      <c r="J68" s="42" t="n">
        <v>2026</v>
      </c>
      <c r="K68" s="13" t="inlineStr">
        <is>
          <t>M&amp;A</t>
        </is>
      </c>
      <c r="L68" s="13" t="inlineStr">
        <is>
          <t>Definitive agreement to acquire</t>
        </is>
      </c>
      <c r="M68" s="13" t="inlineStr">
        <is>
          <t>Announced / Pending completion</t>
        </is>
      </c>
      <c r="N68" s="43" t="n">
        <v>1500</v>
      </c>
      <c r="O68" s="12" t="inlineStr">
        <is>
          <t>USD</t>
        </is>
      </c>
      <c r="P68" s="13" t="inlineStr">
        <is>
          <t>Hardware &amp; Software</t>
        </is>
      </c>
      <c r="Q68" s="13" t="inlineStr">
        <is>
          <t>Counter-UAS / Drone Defense</t>
        </is>
      </c>
      <c r="R68" s="13" t="inlineStr">
        <is>
          <t>Tier 1</t>
        </is>
      </c>
      <c r="S68" s="13" t="inlineStr">
        <is>
          <t>Major strategic acquisition of an Israeli counter-UAS company with non-kinetic RF cyber-takeover technology, reflecting demand for multilayered drone-defense solutions.</t>
        </is>
      </c>
      <c r="T68" s="12" t="inlineStr">
        <is>
          <t>High</t>
        </is>
      </c>
      <c r="U68" s="13" t="inlineStr">
        <is>
          <t>https://www.motorolasolutions.com/newsroom/press-releases/motorola-solutions-to-acquire-dfend-solutions.html</t>
        </is>
      </c>
      <c r="V68" s="13" t="inlineStr">
        <is>
          <t>Official company press release</t>
        </is>
      </c>
      <c r="W68" s="13" t="inlineStr">
        <is>
          <t>Purchase price of $1.5B. Transaction subject to required regulatory approvals and customary closing conditions; expected to close in Q4 2026.</t>
        </is>
      </c>
      <c r="Z68" s="44" t="n"/>
      <c r="AA68" s="43" t="n"/>
      <c r="AB68" s="44" t="n"/>
      <c r="AC68" s="43" t="n"/>
      <c r="AD68" s="13" t="n"/>
      <c r="AE68" s="43" t="n"/>
      <c r="AF68" s="13" t="n"/>
      <c r="AG68" s="13" t="n"/>
      <c r="AH68" s="13" t="n"/>
      <c r="AI68" s="13" t="n"/>
      <c r="AJ68" s="13" t="n"/>
      <c r="AK68" s="13" t="n"/>
      <c r="AL68" s="13" t="n"/>
      <c r="AM68" s="13" t="n"/>
      <c r="AN68" s="13" t="n"/>
    </row>
    <row r="69" ht="42" customHeight="1">
      <c r="A69" s="18" t="n"/>
      <c r="B69" s="18" t="inlineStr">
        <is>
          <t>Israel</t>
        </is>
      </c>
      <c r="C69" s="18" t="inlineStr">
        <is>
          <t>Israel</t>
        </is>
      </c>
      <c r="D69" s="19" t="inlineStr">
        <is>
          <t>Mentee Robotics</t>
        </is>
      </c>
      <c r="E69" s="19" t="inlineStr">
        <is>
          <t>Mobileye Global (NAS: MBLY)</t>
        </is>
      </c>
      <c r="F69" s="18" t="inlineStr">
        <is>
          <t>Israel / USA</t>
        </is>
      </c>
      <c r="G69" s="19" t="n"/>
      <c r="H69" s="45" t="n">
        <v>46059</v>
      </c>
      <c r="I69" s="45" t="n">
        <v>46059</v>
      </c>
      <c r="J69" s="46" t="n">
        <v>2026</v>
      </c>
      <c r="K69" s="19" t="inlineStr">
        <is>
          <t>M&amp;A</t>
        </is>
      </c>
      <c r="L69" s="19" t="inlineStr">
        <is>
          <t>Full acquisition</t>
        </is>
      </c>
      <c r="M69" s="19" t="inlineStr">
        <is>
          <t>Completed</t>
        </is>
      </c>
      <c r="N69" s="47" t="n">
        <v>900</v>
      </c>
      <c r="O69" s="18" t="inlineStr">
        <is>
          <t>USD</t>
        </is>
      </c>
      <c r="P69" s="19" t="inlineStr">
        <is>
          <t>Hardware</t>
        </is>
      </c>
      <c r="Q69" s="19" t="inlineStr">
        <is>
          <t>Ground/Robotic Systems</t>
        </is>
      </c>
      <c r="R69" s="19" t="inlineStr">
        <is>
          <t>Core A&amp;D</t>
        </is>
      </c>
      <c r="S69" s="19" t="inlineStr">
        <is>
          <t>Developer of AI-powered humanoid robots for autonomous automation; acquired by Mobileye for advanced robotics and AI capabilities.</t>
        </is>
      </c>
      <c r="T69" s="18" t="inlineStr">
        <is>
          <t>High</t>
        </is>
      </c>
      <c r="U69" s="19" t="n"/>
      <c r="V69" s="19" t="inlineStr">
        <is>
          <t>Company / reputable press</t>
        </is>
      </c>
      <c r="W69" s="19" t="n"/>
      <c r="Z69" s="48" t="n"/>
      <c r="AA69" s="47" t="n"/>
      <c r="AB69" s="48" t="n"/>
      <c r="AC69" s="47" t="n"/>
      <c r="AD69" s="19" t="n"/>
      <c r="AE69" s="47" t="n">
        <v>900</v>
      </c>
      <c r="AF69" s="19" t="inlineStr">
        <is>
          <t>The company was acquired by Mobileye Global (NAS: MBLY), a subsidiary of Intel (NAS: INTC), for $900 million on February 6, 2026.</t>
        </is>
      </c>
      <c r="AG69" s="19" t="inlineStr">
        <is>
          <t>Formerly VC-backed</t>
        </is>
      </c>
      <c r="AH69" s="19" t="inlineStr">
        <is>
          <t>Generating Revenue</t>
        </is>
      </c>
      <c r="AI69" s="19" t="inlineStr">
        <is>
          <t>Mobileye Global (NAS: MBLY) (Amnon Shashua)</t>
        </is>
      </c>
      <c r="AJ69" s="19" t="inlineStr">
        <is>
          <t>Other Hardware</t>
        </is>
      </c>
      <c r="AK69" s="19" t="inlineStr">
        <is>
          <t>Advanced Manufacturing, Artificial Intelligence &amp; Machine Learning, Robotics and Drones</t>
        </is>
      </c>
      <c r="AL69" s="19" t="inlineStr">
        <is>
          <t>Developer of AI-powered humanoid robots designed to redefine humanoid automation by delivering highly adaptable, autonomous robots. The company integrates robotics, sensing and artificial intelligence into a humanoid robot with human-like dexterity and perception, enhancing productivity and daily operations, enabling businesses with warehouses to automate tasks such as lifting and carrying heavy objects, organizing and packing.</t>
        </is>
      </c>
      <c r="AM69" s="19" t="inlineStr">
        <is>
          <t>Herzliya, Israel</t>
        </is>
      </c>
      <c r="AN69" s="19" t="inlineStr">
        <is>
          <t>www.menteebot.com</t>
        </is>
      </c>
    </row>
    <row r="70" ht="42" customHeight="1">
      <c r="A70" s="12" t="n"/>
      <c r="B70" s="12" t="inlineStr">
        <is>
          <t>Israel</t>
        </is>
      </c>
      <c r="C70" s="12" t="inlineStr">
        <is>
          <t>Israel</t>
        </is>
      </c>
      <c r="D70" s="13" t="inlineStr">
        <is>
          <t>KOI</t>
        </is>
      </c>
      <c r="E70" s="13" t="inlineStr">
        <is>
          <t>Palo Alto Networks (NAS: PANW)</t>
        </is>
      </c>
      <c r="F70" s="12" t="inlineStr">
        <is>
          <t>USA</t>
        </is>
      </c>
      <c r="G70" s="13" t="n"/>
      <c r="H70" s="41" t="n">
        <v>46126</v>
      </c>
      <c r="I70" s="41" t="n">
        <v>46126</v>
      </c>
      <c r="J70" s="42" t="n">
        <v>2026</v>
      </c>
      <c r="K70" s="13" t="inlineStr">
        <is>
          <t>M&amp;A</t>
        </is>
      </c>
      <c r="L70" s="13" t="inlineStr">
        <is>
          <t>Full acquisition</t>
        </is>
      </c>
      <c r="M70" s="13" t="inlineStr">
        <is>
          <t>Completed</t>
        </is>
      </c>
      <c r="N70" s="43" t="n">
        <v>300</v>
      </c>
      <c r="O70" s="12" t="inlineStr">
        <is>
          <t>USD</t>
        </is>
      </c>
      <c r="P70" s="13" t="inlineStr">
        <is>
          <t>Software</t>
        </is>
      </c>
      <c r="Q70" s="13" t="inlineStr">
        <is>
          <t>Cybersecurity</t>
        </is>
      </c>
      <c r="R70" s="13" t="inlineStr">
        <is>
          <t>Adjacent cyber-security</t>
        </is>
      </c>
      <c r="S70" s="13" t="inlineStr">
        <is>
          <t>Developer of suspicious IDE extension analysis platform for securing software supply chain from malicious VSCode extensions.</t>
        </is>
      </c>
      <c r="T70" s="12" t="inlineStr">
        <is>
          <t>High</t>
        </is>
      </c>
      <c r="U70" s="13" t="n"/>
      <c r="V70" s="13" t="inlineStr">
        <is>
          <t>Company / reputable press</t>
        </is>
      </c>
      <c r="W70" s="13" t="n"/>
      <c r="Z70" s="44" t="n"/>
      <c r="AA70" s="43" t="n"/>
      <c r="AB70" s="44" t="n"/>
      <c r="AC70" s="43" t="n"/>
      <c r="AD70" s="13" t="n"/>
      <c r="AE70" s="43" t="n">
        <v>300</v>
      </c>
      <c r="AF70" s="13" t="inlineStr">
        <is>
          <t>The company was acquired by Palo Alto Networks (NAS: PANW) for $300 million on April 14, 2026.</t>
        </is>
      </c>
      <c r="AG70" s="13" t="inlineStr">
        <is>
          <t>Formerly VC-backed</t>
        </is>
      </c>
      <c r="AH70" s="13" t="inlineStr">
        <is>
          <t>Generating Revenue</t>
        </is>
      </c>
      <c r="AI70" s="13" t="inlineStr">
        <is>
          <t>Palo Alto Networks (NAS: PANW) (Lee Klarich)</t>
        </is>
      </c>
      <c r="AJ70" s="13" t="inlineStr">
        <is>
          <t>Network Management Software</t>
        </is>
      </c>
      <c r="AK70" s="13" t="inlineStr">
        <is>
          <t>Artificial Intelligence &amp; Machine Learning, Cybersecurity, SaaS, Supply Chain Tech</t>
        </is>
      </c>
      <c r="AL70" s="13" t="inlineStr">
        <is>
          <t>Developer of a suspicious IDE extension analysis platform designed to secure the software supply chain from malicious and risky VSCode extensions. The company's platform continuously analyzes extensions listed on the Visual Studio Code marketplace to detect malicious, risky, or vulnerable third-party extensions quickly and automates it with API access, enabling clients with cyber risk and vulnerability detection.</t>
        </is>
      </c>
      <c r="AM70" s="13" t="inlineStr">
        <is>
          <t>Tel Aviv, Israel</t>
        </is>
      </c>
      <c r="AN70" s="13" t="inlineStr">
        <is>
          <t>www.koi.ai</t>
        </is>
      </c>
    </row>
    <row r="71" ht="42" customHeight="1">
      <c r="A71" s="18" t="n"/>
      <c r="B71" s="18" t="inlineStr">
        <is>
          <t>Israel</t>
        </is>
      </c>
      <c r="C71" s="18" t="inlineStr">
        <is>
          <t>Israel</t>
        </is>
      </c>
      <c r="D71" s="19" t="inlineStr">
        <is>
          <t>DFSL</t>
        </is>
      </c>
      <c r="E71" s="19" t="inlineStr">
        <is>
          <t>BiomX (ASE: PHGE)</t>
        </is>
      </c>
      <c r="F71" s="18" t="inlineStr">
        <is>
          <t>Israel / USA</t>
        </is>
      </c>
      <c r="G71" s="19" t="n"/>
      <c r="H71" s="45" t="n">
        <v>46125</v>
      </c>
      <c r="I71" s="45" t="n"/>
      <c r="J71" s="46" t="n">
        <v>2026</v>
      </c>
      <c r="K71" s="19" t="inlineStr">
        <is>
          <t>M&amp;A</t>
        </is>
      </c>
      <c r="L71" s="19" t="inlineStr">
        <is>
          <t>Acquisition</t>
        </is>
      </c>
      <c r="M71" s="19" t="inlineStr">
        <is>
          <t>Announced / In Progress</t>
        </is>
      </c>
      <c r="N71" s="47" t="n">
        <v>9.289999999999999</v>
      </c>
      <c r="O71" s="18" t="inlineStr">
        <is>
          <t>USD</t>
        </is>
      </c>
      <c r="P71" s="19" t="inlineStr">
        <is>
          <t>Hardware</t>
        </is>
      </c>
      <c r="Q71" s="19" t="inlineStr">
        <is>
          <t>Defense Electronics/Sensors</t>
        </is>
      </c>
      <c r="R71" s="19" t="inlineStr">
        <is>
          <t>Core A&amp;D</t>
        </is>
      </c>
      <c r="S71" s="19" t="inlineStr">
        <is>
          <t>Manufacturer of precision detection technologies for defense applications; advanced sensing systems and analytical tools.</t>
        </is>
      </c>
      <c r="T71" s="18" t="inlineStr">
        <is>
          <t>Medium-High</t>
        </is>
      </c>
      <c r="U71" s="19" t="n"/>
      <c r="V71" s="19" t="inlineStr">
        <is>
          <t>Company / reputable press</t>
        </is>
      </c>
      <c r="W71" s="19" t="inlineStr">
        <is>
          <t>Pending / announced as definitive agreement.</t>
        </is>
      </c>
      <c r="Z71" s="48" t="n"/>
      <c r="AA71" s="47" t="n"/>
      <c r="AB71" s="48" t="n"/>
      <c r="AC71" s="47" t="n"/>
      <c r="AD71" s="19" t="n"/>
      <c r="AE71" s="47" t="n">
        <v>15.48</v>
      </c>
      <c r="AF71" s="19" t="inlineStr">
        <is>
          <t>The company reached a definitive agreement to be acquired by BiomX (ASE: PHGE) for $9.29 million on April 13, 2026. The acquisition expands BiomX's defense portfolio with aligned capabilities designed to integrate across detection, analysis, and response, reinforcing its position in artificial intelligence enabled security systems.</t>
        </is>
      </c>
      <c r="AG71" s="19" t="inlineStr">
        <is>
          <t>Pending Transaction (M&amp;A)</t>
        </is>
      </c>
      <c r="AH71" s="19" t="inlineStr">
        <is>
          <t>Generating Revenue</t>
        </is>
      </c>
      <c r="AI71" s="19" t="inlineStr">
        <is>
          <t>BiomX (ASE: PHGE) (Michael Oster)</t>
        </is>
      </c>
      <c r="AJ71" s="19" t="inlineStr">
        <is>
          <t>Aerospace and Defense</t>
        </is>
      </c>
      <c r="AK71" s="19" t="inlineStr">
        <is>
          <t>Manufacturing</t>
        </is>
      </c>
      <c r="AL71" s="19" t="inlineStr">
        <is>
          <t>Manufacturer of precision detection technologies intended for defense applications. The company offers advanced sensing systems, analytical tools, and data-driven detection capabilities.</t>
        </is>
      </c>
      <c r="AM71" s="19" t="inlineStr">
        <is>
          <t>Akko, Israel</t>
        </is>
      </c>
      <c r="AN71" s="19" t="inlineStr">
        <is>
          <t>www.dfs-ltd.com</t>
        </is>
      </c>
    </row>
    <row r="72" ht="42" customHeight="1">
      <c r="A72" s="12" t="n"/>
      <c r="B72" s="12" t="inlineStr">
        <is>
          <t>Israel</t>
        </is>
      </c>
      <c r="C72" s="12" t="inlineStr">
        <is>
          <t>Israel</t>
        </is>
      </c>
      <c r="D72" s="13" t="inlineStr">
        <is>
          <t>Cyclops Security</t>
        </is>
      </c>
      <c r="E72" s="13" t="inlineStr">
        <is>
          <t>Check Point Software Technologies (NAS: CHKP)</t>
        </is>
      </c>
      <c r="F72" s="12" t="inlineStr">
        <is>
          <t>Israel</t>
        </is>
      </c>
      <c r="G72" s="13" t="n"/>
      <c r="H72" s="41" t="n">
        <v>46065</v>
      </c>
      <c r="I72" s="41" t="n">
        <v>46065</v>
      </c>
      <c r="J72" s="42" t="n">
        <v>2026</v>
      </c>
      <c r="K72" s="13" t="inlineStr">
        <is>
          <t>M&amp;A</t>
        </is>
      </c>
      <c r="L72" s="13" t="inlineStr">
        <is>
          <t>Full acquisition</t>
        </is>
      </c>
      <c r="M72" s="13" t="inlineStr">
        <is>
          <t>Completed</t>
        </is>
      </c>
      <c r="N72" s="43" t="n"/>
      <c r="O72" s="12" t="inlineStr">
        <is>
          <t>USD</t>
        </is>
      </c>
      <c r="P72" s="13" t="inlineStr">
        <is>
          <t>Software</t>
        </is>
      </c>
      <c r="Q72" s="13" t="inlineStr">
        <is>
          <t>Cybersecurity</t>
        </is>
      </c>
      <c r="R72" s="13" t="inlineStr">
        <is>
          <t>Adjacent cyber-security</t>
        </is>
      </c>
      <c r="S72" s="13" t="inlineStr">
        <is>
          <t>Israeli cybersecurity company acquired by Check Point; cyber risk and exposure management platform.</t>
        </is>
      </c>
      <c r="T72" s="12" t="inlineStr">
        <is>
          <t>High</t>
        </is>
      </c>
      <c r="U72" s="13" t="n"/>
      <c r="V72" s="13" t="inlineStr">
        <is>
          <t>Company / reputable press</t>
        </is>
      </c>
      <c r="W72" s="13" t="inlineStr">
        <is>
          <t>Deal value not disclosed.</t>
        </is>
      </c>
      <c r="Z72" s="44" t="n"/>
      <c r="AA72" s="43" t="n"/>
      <c r="AB72" s="44" t="n"/>
      <c r="AC72" s="43" t="n"/>
      <c r="AD72" s="13" t="n"/>
      <c r="AE72" s="43" t="n"/>
      <c r="AF72" s="13" t="inlineStr">
        <is>
          <t>The company was acquired by Check Point Software Technologies for an undisclosed amount on February 12, 2026.</t>
        </is>
      </c>
      <c r="AG72" s="13" t="inlineStr">
        <is>
          <t>Formerly VC-backed</t>
        </is>
      </c>
      <c r="AH72" s="13" t="inlineStr">
        <is>
          <t>Generating Revenue</t>
        </is>
      </c>
      <c r="AI72" s="13" t="inlineStr">
        <is>
          <t>Check Point Software Technologies (NAS: CHKP)</t>
        </is>
      </c>
      <c r="AJ72" s="13" t="inlineStr">
        <is>
          <t>Network Management Software</t>
        </is>
      </c>
      <c r="AK72" s="13" t="inlineStr">
        <is>
          <t>Artificial Intelligence &amp; Machine Learning, Cybersecurity</t>
        </is>
      </c>
      <c r="AL72" s="13" t="inlineStr">
        <is>
          <t>Operator of a cybersecurity platform intended to fortify an organization's cybersecurity defenses, safeguarding valuable and sensitive assets. The company's platform collects metadata from the cybersecurity stack and develops artificial intelligence algorithms that enhance agility and facilitate getting context on every entity in the organization, enabling security practitioners and security teams to reduce their mean time to detect and time to repair and focus on their critical cyber risk.</t>
        </is>
      </c>
      <c r="AM72" s="13" t="inlineStr">
        <is>
          <t>Tel Aviv, Israel</t>
        </is>
      </c>
      <c r="AN72" s="13" t="inlineStr">
        <is>
          <t>www.cyclops.security</t>
        </is>
      </c>
    </row>
    <row r="73" ht="42" customHeight="1">
      <c r="A73" s="18" t="n"/>
      <c r="B73" s="18" t="inlineStr">
        <is>
          <t>Israel</t>
        </is>
      </c>
      <c r="C73" s="18" t="inlineStr">
        <is>
          <t>Israel</t>
        </is>
      </c>
      <c r="D73" s="19" t="inlineStr">
        <is>
          <t>C.M. Composite Materials</t>
        </is>
      </c>
      <c r="E73" s="19" t="inlineStr">
        <is>
          <t>VisionWave Holdings (NAS: VWAV)</t>
        </is>
      </c>
      <c r="F73" s="18" t="inlineStr">
        <is>
          <t>USA</t>
        </is>
      </c>
      <c r="G73" s="19" t="n"/>
      <c r="H73" s="45" t="n">
        <v>46073</v>
      </c>
      <c r="I73" s="45" t="n"/>
      <c r="J73" s="46" t="n">
        <v>2026</v>
      </c>
      <c r="K73" s="19" t="inlineStr">
        <is>
          <t>M&amp;A</t>
        </is>
      </c>
      <c r="L73" s="19" t="inlineStr">
        <is>
          <t>Acquisition</t>
        </is>
      </c>
      <c r="M73" s="19" t="inlineStr">
        <is>
          <t>Announced / In Progress</t>
        </is>
      </c>
      <c r="N73" s="47" t="n">
        <v>2.5</v>
      </c>
      <c r="O73" s="18" t="inlineStr">
        <is>
          <t>USD</t>
        </is>
      </c>
      <c r="P73" s="19" t="inlineStr">
        <is>
          <t>Hardware</t>
        </is>
      </c>
      <c r="Q73" s="19" t="inlineStr">
        <is>
          <t>Manufacturing</t>
        </is>
      </c>
      <c r="R73" s="19" t="inlineStr">
        <is>
          <t>Adjacent A&amp;D</t>
        </is>
      </c>
      <c r="S73" s="19" t="inlineStr">
        <is>
          <t>Israeli composite materials manufacturer; acquisition adds advanced materials capabilities to VisionWave portfolio.</t>
        </is>
      </c>
      <c r="T73" s="18" t="inlineStr">
        <is>
          <t>Medium</t>
        </is>
      </c>
      <c r="U73" s="19" t="n"/>
      <c r="V73" s="19" t="inlineStr">
        <is>
          <t>Company / reputable press</t>
        </is>
      </c>
      <c r="W73" s="19" t="n"/>
      <c r="X73" s="50" t="n">
        <v>0.28</v>
      </c>
      <c r="Z73" s="48" t="n"/>
      <c r="AA73" s="47" t="n"/>
      <c r="AB73" s="48" t="n">
        <v>0.14</v>
      </c>
      <c r="AC73" s="47" t="n">
        <v>17.3</v>
      </c>
      <c r="AD73" s="19" t="n"/>
      <c r="AE73" s="47" t="n">
        <v>4.9</v>
      </c>
      <c r="AF73" s="19" t="inlineStr">
        <is>
          <t>The company reached a definitive agreement to be acquired by VisionWave Holdings (NAS: VWAV) for $2.5 million on February 20, 2026.</t>
        </is>
      </c>
      <c r="AG73" s="19" t="inlineStr">
        <is>
          <t>Pending Transaction (M&amp;A)</t>
        </is>
      </c>
      <c r="AH73" s="19" t="inlineStr">
        <is>
          <t>Generating Revenue</t>
        </is>
      </c>
      <c r="AI73" s="19" t="inlineStr">
        <is>
          <t>VisionWave Holdings (NAS: VWAV) (Doug Davis)</t>
        </is>
      </c>
      <c r="AJ73" s="19" t="inlineStr">
        <is>
          <t>Aerospace and Defense</t>
        </is>
      </c>
      <c r="AK73" s="19" t="inlineStr">
        <is>
          <t>Manufacturing, Robotics and Drones</t>
        </is>
      </c>
      <c r="AL73" s="19" t="inlineStr">
        <is>
          <t>Manufacturer of composite parts and assemblies intended for aerospace, civil, and defense applications. The company offers UAVs, drones, radomes, tooling, and parts for its customers, thereby helping them to maintain structural strength and performance requirements.</t>
        </is>
      </c>
      <c r="AM73" s="19" t="inlineStr">
        <is>
          <t>Modiin, Israel</t>
        </is>
      </c>
      <c r="AN73" s="19" t="inlineStr">
        <is>
          <t>www.c-mltd.com</t>
        </is>
      </c>
    </row>
    <row r="74" ht="42" customHeight="1">
      <c r="A74" s="12" t="n"/>
      <c r="B74" s="12" t="inlineStr">
        <is>
          <t>Israel</t>
        </is>
      </c>
      <c r="C74" s="12" t="inlineStr">
        <is>
          <t>Israel</t>
        </is>
      </c>
      <c r="D74" s="13" t="inlineStr">
        <is>
          <t>Maradin</t>
        </is>
      </c>
      <c r="E74" s="13" t="inlineStr">
        <is>
          <t>Energy Technologies (ASX: EGY)</t>
        </is>
      </c>
      <c r="F74" s="12" t="inlineStr">
        <is>
          <t>Australia</t>
        </is>
      </c>
      <c r="G74" s="13" t="n"/>
      <c r="H74" s="41" t="n">
        <v>46104</v>
      </c>
      <c r="I74" s="41" t="n">
        <v>46104</v>
      </c>
      <c r="J74" s="42" t="n">
        <v>2026</v>
      </c>
      <c r="K74" s="13" t="inlineStr">
        <is>
          <t>M&amp;A</t>
        </is>
      </c>
      <c r="L74" s="13" t="inlineStr">
        <is>
          <t>Full acquisition</t>
        </is>
      </c>
      <c r="M74" s="13" t="inlineStr">
        <is>
          <t>Completed</t>
        </is>
      </c>
      <c r="N74" s="43" t="n"/>
      <c r="O74" s="12" t="inlineStr">
        <is>
          <t>USD</t>
        </is>
      </c>
      <c r="P74" s="13" t="inlineStr">
        <is>
          <t>Hardware</t>
        </is>
      </c>
      <c r="Q74" s="13" t="inlineStr">
        <is>
          <t>Defense Electronics/Sensors</t>
        </is>
      </c>
      <c r="R74" s="13" t="inlineStr">
        <is>
          <t>Adjacent A&amp;D</t>
        </is>
      </c>
      <c r="S74" s="13" t="inlineStr">
        <is>
          <t>Israeli technology company acquired by Australian Energy Technologies.</t>
        </is>
      </c>
      <c r="T74" s="12" t="inlineStr">
        <is>
          <t>Medium</t>
        </is>
      </c>
      <c r="U74" s="13" t="n"/>
      <c r="V74" s="13" t="inlineStr">
        <is>
          <t>Company / reputable press</t>
        </is>
      </c>
      <c r="W74" s="13" t="inlineStr">
        <is>
          <t>Deal value not disclosed.</t>
        </is>
      </c>
      <c r="Z74" s="44" t="n"/>
      <c r="AA74" s="43" t="n"/>
      <c r="AB74" s="44" t="n"/>
      <c r="AC74" s="43" t="n"/>
      <c r="AD74" s="13" t="n"/>
      <c r="AE74" s="43" t="n"/>
      <c r="AF74" s="13" t="inlineStr">
        <is>
          <t>The company was acquired by Energy Technologies (ASX: EGY) for an undisclosed amount on March 23, 2026. The acquisition positions Cogenic as a developer of full laser projection optical engineering, with applications ranging from ultra-near eye and direct retina displays to defence, aerospace, virtual reality (VR), augmented reality (AR), and lifestyle markets.</t>
        </is>
      </c>
      <c r="AG74" s="13" t="inlineStr">
        <is>
          <t>Corporate Backed or Acquired</t>
        </is>
      </c>
      <c r="AH74" s="13" t="inlineStr">
        <is>
          <t>Generating Revenue</t>
        </is>
      </c>
      <c r="AI74" s="13" t="inlineStr">
        <is>
          <t>Energy Technologies (Australia) (ASX: EGY)</t>
        </is>
      </c>
      <c r="AJ74" s="13" t="inlineStr">
        <is>
          <t>Electrical Equipment</t>
        </is>
      </c>
      <c r="AK74" s="13" t="inlineStr">
        <is>
          <t>Industrials, Manufacturing, TMT</t>
        </is>
      </c>
      <c r="AL74" s="13" t="inlineStr">
        <is>
          <t>Manufacturer of miniature laser scanning projectors intended to serve automotive, consumer electronics, and sensor markets worldwide. The company offers various products, including MEMS mirrors, mirror-to-laser synchronization chips, and scanning mirror controllers to the medical and defense industries.</t>
        </is>
      </c>
      <c r="AM74" s="13" t="inlineStr">
        <is>
          <t>Yokneam, Israel</t>
        </is>
      </c>
      <c r="AN74" s="13" t="inlineStr">
        <is>
          <t>www.maradin.co.il</t>
        </is>
      </c>
    </row>
    <row r="75" ht="42" customHeight="1">
      <c r="A75" s="18" t="n"/>
      <c r="B75" s="18" t="inlineStr">
        <is>
          <t>Israel</t>
        </is>
      </c>
      <c r="C75" s="18" t="inlineStr">
        <is>
          <t>Israel</t>
        </is>
      </c>
      <c r="D75" s="19" t="inlineStr">
        <is>
          <t>Visual Layer</t>
        </is>
      </c>
      <c r="E75" s="19" t="inlineStr">
        <is>
          <t>Camtek (NAS: CAMT)</t>
        </is>
      </c>
      <c r="F75" s="18" t="inlineStr">
        <is>
          <t>Israel</t>
        </is>
      </c>
      <c r="G75" s="19" t="n"/>
      <c r="H75" s="45" t="n">
        <v>46126</v>
      </c>
      <c r="I75" s="45" t="n"/>
      <c r="J75" s="46" t="n">
        <v>2026</v>
      </c>
      <c r="K75" s="19" t="inlineStr">
        <is>
          <t>M&amp;A</t>
        </is>
      </c>
      <c r="L75" s="19" t="inlineStr">
        <is>
          <t>Acquisition</t>
        </is>
      </c>
      <c r="M75" s="19" t="inlineStr">
        <is>
          <t>Announced / In Progress</t>
        </is>
      </c>
      <c r="N75" s="47" t="n"/>
      <c r="O75" s="18" t="inlineStr">
        <is>
          <t>USD</t>
        </is>
      </c>
      <c r="P75" s="19" t="inlineStr">
        <is>
          <t>Software</t>
        </is>
      </c>
      <c r="Q75" s="19" t="inlineStr">
        <is>
          <t>Defense Electronics/Sensors</t>
        </is>
      </c>
      <c r="R75" s="19" t="inlineStr">
        <is>
          <t>Adjacent A&amp;D</t>
        </is>
      </c>
      <c r="S75" s="19" t="inlineStr">
        <is>
          <t>Israeli AI-powered visual data platform acquired by Camtek; machine vision and imaging capabilities.</t>
        </is>
      </c>
      <c r="T75" s="18" t="inlineStr">
        <is>
          <t>Medium</t>
        </is>
      </c>
      <c r="U75" s="19" t="n"/>
      <c r="V75" s="19" t="inlineStr">
        <is>
          <t>Company / reputable press</t>
        </is>
      </c>
      <c r="W75" s="19" t="inlineStr">
        <is>
          <t>Deal value not disclosed.</t>
        </is>
      </c>
      <c r="Z75" s="48" t="n"/>
      <c r="AA75" s="47" t="n"/>
      <c r="AB75" s="48" t="n"/>
      <c r="AC75" s="47" t="n"/>
      <c r="AD75" s="19" t="n"/>
      <c r="AE75" s="47" t="n"/>
      <c r="AF75" s="19" t="inlineStr">
        <is>
          <t>The company reached a definitive agreement to be acquired by Camtek (NAS: CAMT) for an undisclosed amount on April 14, 2026. The acquisition will help the company to marks a significant step up in the depth and pace of its development.</t>
        </is>
      </c>
      <c r="AG75" s="19" t="inlineStr">
        <is>
          <t>Pending Transaction (M&amp;A)</t>
        </is>
      </c>
      <c r="AH75" s="19" t="inlineStr">
        <is>
          <t>Generating Revenue</t>
        </is>
      </c>
      <c r="AI75" s="19" t="inlineStr">
        <is>
          <t>Camtek (NAS: CAMT) (Rafi Amit)</t>
        </is>
      </c>
      <c r="AJ75" s="19" t="inlineStr">
        <is>
          <t>Media and Information Services (B2B)</t>
        </is>
      </c>
      <c r="AK75" s="19" t="inlineStr">
        <is>
          <t>Artificial Intelligence &amp; Machine Learning, Big Data, SaaS</t>
        </is>
      </c>
      <c r="AL75" s="19" t="inlineStr">
        <is>
          <t>Developer of a visual intelligence platform intended to support forensic search and investigation across video and imagery. The company's platform offers multimodal search, graph-based correlation, and traceable audit-ready outputs, enabling investigators and analysts to connect entities and scenes across secure deployments with defensible results.</t>
        </is>
      </c>
      <c r="AM75" s="19" t="inlineStr">
        <is>
          <t>Tel Aviv, Israel</t>
        </is>
      </c>
      <c r="AN75" s="19" t="inlineStr">
        <is>
          <t>www.visual-layer.com</t>
        </is>
      </c>
    </row>
    <row r="76" ht="42" customHeight="1">
      <c r="A76" s="18" t="n"/>
      <c r="B76" s="18" t="inlineStr">
        <is>
          <t>Israel</t>
        </is>
      </c>
      <c r="C76" s="18" t="inlineStr">
        <is>
          <t>Israel</t>
        </is>
      </c>
      <c r="D76" s="19" t="inlineStr">
        <is>
          <t>Advanced Real-Time Systems</t>
        </is>
      </c>
      <c r="E76" s="19" t="inlineStr">
        <is>
          <t>TSG IT Advanced Systems (TAE: TSG)</t>
        </is>
      </c>
      <c r="F76" s="18" t="inlineStr">
        <is>
          <t>Israel</t>
        </is>
      </c>
      <c r="G76" s="19" t="n"/>
      <c r="H76" s="45" t="n">
        <v>45292</v>
      </c>
      <c r="I76" s="45" t="n">
        <v>45292</v>
      </c>
      <c r="J76" s="46" t="n">
        <v>2024</v>
      </c>
      <c r="K76" s="19" t="inlineStr">
        <is>
          <t>M&amp;A</t>
        </is>
      </c>
      <c r="L76" s="19" t="inlineStr">
        <is>
          <t>Full acquisition</t>
        </is>
      </c>
      <c r="M76" s="19" t="inlineStr">
        <is>
          <t>Completed</t>
        </is>
      </c>
      <c r="N76" s="47" t="n"/>
      <c r="O76" s="18" t="inlineStr">
        <is>
          <t>USD</t>
        </is>
      </c>
      <c r="P76" s="19" t="inlineStr">
        <is>
          <t>Software / Hardware</t>
        </is>
      </c>
      <c r="Q76" s="19" t="inlineStr">
        <is>
          <t>C4I/Mission Software</t>
        </is>
      </c>
      <c r="R76" s="19" t="inlineStr">
        <is>
          <t>Core A&amp;D</t>
        </is>
      </c>
      <c r="S76" s="19" t="inlineStr">
        <is>
          <t>Israeli advanced real-time systems company acquired by TSG IT; strengthens C4ISTAR and defense systems integration capabilities.</t>
        </is>
      </c>
      <c r="T76" s="18" t="inlineStr">
        <is>
          <t>Medium-High</t>
        </is>
      </c>
      <c r="U76" s="19" t="n"/>
      <c r="V76" s="19" t="inlineStr">
        <is>
          <t>Company / reputable press</t>
        </is>
      </c>
      <c r="W76" s="19" t="inlineStr">
        <is>
          <t>Deal value not disclosed.</t>
        </is>
      </c>
      <c r="Z76" s="48" t="n"/>
      <c r="AA76" s="47" t="n"/>
      <c r="AB76" s="48" t="n"/>
      <c r="AC76" s="47" t="n"/>
      <c r="AD76" s="19" t="n"/>
      <c r="AE76" s="47" t="n"/>
      <c r="AF76" s="19" t="inlineStr">
        <is>
          <t>The company was acquired by TSG IT Advanced Systems (TAE: TSG) for an undisclosed amount approximately in 2024.</t>
        </is>
      </c>
      <c r="AG76" s="19" t="inlineStr">
        <is>
          <t>Corporate Backed or Acquired</t>
        </is>
      </c>
      <c r="AH76" s="19" t="inlineStr">
        <is>
          <t>Generating Revenue</t>
        </is>
      </c>
      <c r="AI76" s="19" t="inlineStr">
        <is>
          <t>TSG IT Advanced Systems (TAE: TSG)</t>
        </is>
      </c>
      <c r="AJ76" s="19" t="inlineStr">
        <is>
          <t>Electrical Equipment</t>
        </is>
      </c>
      <c r="AK76" s="19" t="inlineStr">
        <is>
          <t>Manufacturing</t>
        </is>
      </c>
      <c r="AL76" s="19" t="inlineStr">
        <is>
          <t>Manufacturer of real-time electronic monitoring systems intended to support mission-critical surveillance and operational readiness. The company specializes in defense-related hardware and software such as testers, computers, isolators, splitters, and voltage filters, thereby enabling enhanced situational awareness, threat detection, and decision-making.</t>
        </is>
      </c>
      <c r="AM76" s="19" t="inlineStr">
        <is>
          <t>Yavne, Israel</t>
        </is>
      </c>
      <c r="AN76" s="19" t="inlineStr">
        <is>
          <t>www.arts.co.il</t>
        </is>
      </c>
    </row>
    <row r="77" ht="42" customHeight="1">
      <c r="A77" s="12" t="n"/>
      <c r="B77" s="12" t="inlineStr">
        <is>
          <t>Israel</t>
        </is>
      </c>
      <c r="C77" s="12" t="inlineStr">
        <is>
          <t>Israel</t>
        </is>
      </c>
      <c r="D77" s="13" t="inlineStr">
        <is>
          <t>Solar Drone</t>
        </is>
      </c>
      <c r="E77" s="13" t="inlineStr">
        <is>
          <t>BladeRanger (TAE: BLRN)</t>
        </is>
      </c>
      <c r="F77" s="12" t="inlineStr">
        <is>
          <t>Israel</t>
        </is>
      </c>
      <c r="G77" s="13" t="n"/>
      <c r="H77" s="41" t="n">
        <v>45470</v>
      </c>
      <c r="I77" s="41" t="n">
        <v>45470</v>
      </c>
      <c r="J77" s="42" t="n">
        <v>2024</v>
      </c>
      <c r="K77" s="13" t="inlineStr">
        <is>
          <t>M&amp;A</t>
        </is>
      </c>
      <c r="L77" s="13" t="inlineStr">
        <is>
          <t>Full acquisition</t>
        </is>
      </c>
      <c r="M77" s="13" t="inlineStr">
        <is>
          <t>Completed</t>
        </is>
      </c>
      <c r="N77" s="43" t="n"/>
      <c r="O77" s="12" t="inlineStr">
        <is>
          <t>USD</t>
        </is>
      </c>
      <c r="P77" s="13" t="inlineStr">
        <is>
          <t>Hardware</t>
        </is>
      </c>
      <c r="Q77" s="13" t="inlineStr">
        <is>
          <t>UAVs/Autonomous Systems</t>
        </is>
      </c>
      <c r="R77" s="13" t="inlineStr">
        <is>
          <t>Adjacent dual-use</t>
        </is>
      </c>
      <c r="S77" s="13" t="inlineStr">
        <is>
          <t>Drone-based solar panel cleaning system acquired by BladeRanger; subsequently divested to VisionWave Holdings in 2025.</t>
        </is>
      </c>
      <c r="T77" s="12" t="inlineStr">
        <is>
          <t>Medium</t>
        </is>
      </c>
      <c r="U77" s="13" t="n"/>
      <c r="V77" s="13" t="inlineStr">
        <is>
          <t>Company / reputable press</t>
        </is>
      </c>
      <c r="W77" s="13" t="inlineStr">
        <is>
          <t>Deal value undisclosed. Company later re-acquired by VisionWave (Dec 2025).</t>
        </is>
      </c>
      <c r="Z77" s="44" t="n"/>
      <c r="AA77" s="43" t="n"/>
      <c r="AB77" s="44" t="n"/>
      <c r="AC77" s="43" t="n"/>
      <c r="AD77" s="13" t="n"/>
      <c r="AE77" s="43" t="n"/>
      <c r="AF77" s="13" t="inlineStr">
        <is>
          <t>The company was acquired by BladeRanger (TAE: BLRN) for an undisclosed amount on June 27, 2024.</t>
        </is>
      </c>
      <c r="AG77" s="13" t="inlineStr">
        <is>
          <t>Formerly Angel backed</t>
        </is>
      </c>
      <c r="AH77" s="13" t="inlineStr">
        <is>
          <t>Generating Revenue</t>
        </is>
      </c>
      <c r="AI77" s="13" t="inlineStr">
        <is>
          <t>BladeRanger (TAE: BLRN) (Oded Fruchtman)</t>
        </is>
      </c>
      <c r="AJ77" s="13" t="inlineStr">
        <is>
          <t>Electronic Equipment and Instruments</t>
        </is>
      </c>
      <c r="AK77" s="13" t="inlineStr">
        <is>
          <t>Artificial Intelligence &amp; Machine Learning, Big Data, CleanTech, Climate Tech, CloudTech &amp; DevOps, LOHAS &amp; Wellness, Mobility Tech, Robotics and Drones</t>
        </is>
      </c>
      <c r="AL77" s="13" t="inlineStr">
        <is>
          <t>Developer of an affordable drone-based system designed to offer cloud, AI, and drone-based solar panel cleaning. The company's drone offers features like image generation, artificial intelligence, machine learning, data mining, and real-time analysis, enabling clients to have the ability to plan, monitor, maintain, secure and clean solar panels.</t>
        </is>
      </c>
      <c r="AM77" s="13" t="inlineStr">
        <is>
          <t>Petah Tiqva, Israel</t>
        </is>
      </c>
      <c r="AN77" s="13" t="inlineStr">
        <is>
          <t>www.solardrones.net</t>
        </is>
      </c>
    </row>
    <row r="78" ht="96" customHeight="1">
      <c r="B78" s="40" t="inlineStr">
        <is>
          <t>Israel</t>
        </is>
      </c>
      <c r="C78" s="40" t="inlineStr">
        <is>
          <t>Israel</t>
        </is>
      </c>
      <c r="D78" s="40" t="inlineStr">
        <is>
          <t>Comtech Satellite &amp; Space Communications segment</t>
        </is>
      </c>
      <c r="E78" s="40" t="inlineStr">
        <is>
          <t>Gilat Satellite Networks</t>
        </is>
      </c>
      <c r="F78" s="40" t="inlineStr">
        <is>
          <t>Israel</t>
        </is>
      </c>
      <c r="G78" s="40" t="inlineStr">
        <is>
          <t>Comtech Telecommunications Corp.</t>
        </is>
      </c>
      <c r="H78" s="51" t="n">
        <v>46188</v>
      </c>
      <c r="J78" s="40" t="n">
        <v>2026</v>
      </c>
      <c r="K78" s="19" t="inlineStr">
        <is>
          <t>Merger/Acquisition</t>
        </is>
      </c>
      <c r="L78" s="40" t="inlineStr">
        <is>
          <t>Asset / business-segment acquisition</t>
        </is>
      </c>
      <c r="M78" s="40" t="inlineStr">
        <is>
          <t>Announced / Pending regulatory approval</t>
        </is>
      </c>
      <c r="N78" s="40" t="n">
        <v>157.5</v>
      </c>
      <c r="O78" s="40" t="inlineStr">
        <is>
          <t>USD</t>
        </is>
      </c>
      <c r="P78" s="52" t="inlineStr">
        <is>
          <t>Hardware / Software / Services</t>
        </is>
      </c>
      <c r="Q78" s="40" t="inlineStr">
        <is>
          <t>Satellite communications / space communications</t>
        </is>
      </c>
      <c r="S78" s="40" t="inlineStr">
        <is>
          <t>Israeli acquirer purchasing a US satellite and space communications business with defense and space infrastructure relevance; expands Gilat’s defense communications and US market presence</t>
        </is>
      </c>
      <c r="T78" s="40" t="inlineStr">
        <is>
          <t>High</t>
        </is>
      </c>
      <c r="U78" s="53" t="inlineStr">
        <is>
          <t>https://www.gilat.com/pressreleases/gilat-to-acquire-comtechs-satellite-space-communications-segment-creating-a-leading-provider-of-advanced-defense-and-satellite-communications-solutions/</t>
        </is>
      </c>
    </row>
  </sheetData>
  <pageMargins left="0.7" right="0.7" top="0.75" bottom="0.75" header="0.3" footer="0.3"/>
</worksheet>
</file>

<file path=xl/worksheets/sheet6.xml><?xml version="1.0" encoding="utf-8"?>
<worksheet xmlns="http://schemas.openxmlformats.org/spreadsheetml/2006/main">
  <sheetPr>
    <tabColor rgb="FF4472C4"/>
    <outlinePr summaryBelow="1" summaryRight="1"/>
    <pageSetUpPr/>
  </sheetPr>
  <dimension ref="A1:AF288"/>
  <sheetViews>
    <sheetView workbookViewId="0">
      <selection activeCell="A1" sqref="A1"/>
    </sheetView>
  </sheetViews>
  <sheetFormatPr baseColWidth="8" defaultColWidth="8.7109375" defaultRowHeight="15"/>
  <cols>
    <col width="12" customWidth="1" min="1" max="1"/>
    <col width="14" customWidth="1" min="2" max="2"/>
    <col width="18" customWidth="1" min="3" max="3"/>
    <col width="28" customWidth="1" min="4" max="5"/>
    <col width="14" customWidth="1" min="6" max="6"/>
    <col width="22" customWidth="1" min="7" max="7"/>
    <col width="13" customWidth="1" min="8" max="9"/>
    <col width="9" customWidth="1" min="10" max="10"/>
    <col width="16" customWidth="1" min="11" max="11"/>
    <col width="22" customWidth="1" min="12" max="13"/>
    <col width="14" customWidth="1" min="14" max="14"/>
    <col width="9" customWidth="1" min="15" max="15"/>
    <col width="12" customWidth="1" min="16" max="16"/>
    <col width="11" customWidth="1" min="17" max="17"/>
    <col width="12" customWidth="1" min="18" max="18"/>
    <col width="11" customWidth="1" min="19" max="19"/>
    <col width="18" customWidth="1" min="20" max="20"/>
    <col width="13" customWidth="1" min="21" max="21"/>
    <col width="45" customWidth="1" min="22" max="22"/>
    <col width="22" customWidth="1" min="23" max="23"/>
    <col width="17" customWidth="1" min="24" max="24"/>
    <col width="30" customWidth="1" min="25" max="25"/>
    <col width="24" customWidth="1" min="26" max="26"/>
    <col width="30" customWidth="1" min="27" max="27"/>
    <col width="55" customWidth="1" min="28" max="28"/>
    <col width="22" customWidth="1" min="29" max="30"/>
  </cols>
  <sheetData>
    <row r="1" ht="37.5" customHeight="1">
      <c r="A1" s="10" t="inlineStr">
        <is>
          <t>Deal ID</t>
        </is>
      </c>
      <c r="B1" s="10" t="inlineStr">
        <is>
          <t>Region</t>
        </is>
      </c>
      <c r="C1" s="10" t="inlineStr">
        <is>
          <t>Target Country</t>
        </is>
      </c>
      <c r="D1" s="10" t="inlineStr">
        <is>
          <t>Target / Asset</t>
        </is>
      </c>
      <c r="E1" s="10" t="inlineStr">
        <is>
          <t>Acquirer</t>
        </is>
      </c>
      <c r="F1" s="10" t="inlineStr">
        <is>
          <t>Acquirer Country</t>
        </is>
      </c>
      <c r="G1" s="10" t="inlineStr">
        <is>
          <t>Seller</t>
        </is>
      </c>
      <c r="H1" s="10" t="inlineStr">
        <is>
          <t>Announcement Date</t>
        </is>
      </c>
      <c r="I1" s="10" t="inlineStr">
        <is>
          <t>Completion Date</t>
        </is>
      </c>
      <c r="J1" s="10" t="inlineStr">
        <is>
          <t>Deal Year</t>
        </is>
      </c>
      <c r="K1" s="10" t="inlineStr">
        <is>
          <t>Transaction Type</t>
        </is>
      </c>
      <c r="L1" s="10" t="inlineStr">
        <is>
          <t>Deal Structure</t>
        </is>
      </c>
      <c r="M1" s="10" t="inlineStr">
        <is>
          <t>Deal Status</t>
        </is>
      </c>
      <c r="N1" s="10" t="inlineStr">
        <is>
          <t>Deal Value (USD mn)</t>
        </is>
      </c>
      <c r="O1" s="10" t="inlineStr">
        <is>
          <t>Currency</t>
        </is>
      </c>
      <c r="P1" s="49" t="inlineStr">
        <is>
          <t>Implied EV/Revenue</t>
        </is>
      </c>
      <c r="Q1" s="49" t="inlineStr">
        <is>
          <t>Implied EV/EBITDA</t>
        </is>
      </c>
      <c r="R1" s="10" t="inlineStr">
        <is>
          <t>Deal Size/EBITDA</t>
        </is>
      </c>
      <c r="S1" s="10" t="inlineStr">
        <is>
          <t>EBITDA</t>
        </is>
      </c>
      <c r="T1" s="10" t="inlineStr">
        <is>
          <t>Deal Size/Revenue</t>
        </is>
      </c>
      <c r="U1" s="10" t="inlineStr">
        <is>
          <t>Revenue</t>
        </is>
      </c>
      <c r="V1" s="10" t="inlineStr">
        <is>
          <t>Deal Type 2</t>
        </is>
      </c>
      <c r="W1" s="10" t="inlineStr">
        <is>
          <t>Post Valuation</t>
        </is>
      </c>
      <c r="X1" s="10" t="inlineStr">
        <is>
          <t>Deal Synopsis</t>
        </is>
      </c>
      <c r="Y1" s="10" t="inlineStr">
        <is>
          <t>Financing Status</t>
        </is>
      </c>
      <c r="Z1" s="10" t="inlineStr">
        <is>
          <t>Business Status</t>
        </is>
      </c>
      <c r="AA1" s="10" t="inlineStr">
        <is>
          <t>Investors</t>
        </is>
      </c>
      <c r="AB1" s="10" t="inlineStr">
        <is>
          <t>Primary PitchBook Industry Code</t>
        </is>
      </c>
      <c r="AC1" s="10" t="inlineStr">
        <is>
          <t>Verticals</t>
        </is>
      </c>
      <c r="AD1" s="10" t="inlineStr">
        <is>
          <t>Description</t>
        </is>
      </c>
      <c r="AE1" s="10" t="inlineStr">
        <is>
          <t>HQ Location</t>
        </is>
      </c>
      <c r="AF1" s="10" t="inlineStr">
        <is>
          <t>Company Website</t>
        </is>
      </c>
    </row>
    <row r="2" ht="42" customHeight="1">
      <c r="A2" s="12" t="inlineStr">
        <is>
          <t>USA-001</t>
        </is>
      </c>
      <c r="B2" s="12" t="inlineStr">
        <is>
          <t>USA</t>
        </is>
      </c>
      <c r="C2" s="12" t="inlineStr">
        <is>
          <t>USA</t>
        </is>
      </c>
      <c r="D2" s="13" t="inlineStr">
        <is>
          <t>Qorvo (NAS: QRVO)</t>
        </is>
      </c>
      <c r="E2" s="13" t="inlineStr">
        <is>
          <t>Skyworks Solutions</t>
        </is>
      </c>
      <c r="F2" s="12" t="n"/>
      <c r="G2" s="13" t="n"/>
      <c r="H2" s="14" t="n">
        <v>45957</v>
      </c>
      <c r="I2" s="14" t="n"/>
      <c r="J2" s="15" t="n">
        <v>2025</v>
      </c>
      <c r="K2" s="13" t="inlineStr">
        <is>
          <t>Merger/Acquisition</t>
        </is>
      </c>
      <c r="L2" s="13" t="n"/>
      <c r="M2" s="13" t="inlineStr">
        <is>
          <t>Announced/In Progress</t>
        </is>
      </c>
      <c r="N2" s="16" t="n">
        <v>22000</v>
      </c>
      <c r="O2" s="12" t="inlineStr">
        <is>
          <t>USD</t>
        </is>
      </c>
      <c r="P2" s="50" t="n">
        <v>2.79</v>
      </c>
      <c r="Q2" s="50" t="n">
        <v>16.87</v>
      </c>
      <c r="R2" s="36" t="n">
        <v>36.33</v>
      </c>
      <c r="S2" s="16" t="n">
        <v>605.58</v>
      </c>
      <c r="T2" s="36" t="n">
        <v>6.01</v>
      </c>
      <c r="U2" s="16" t="n">
        <v>3663.07</v>
      </c>
      <c r="V2" s="13" t="n"/>
      <c r="W2" s="16" t="n">
        <v>22000</v>
      </c>
      <c r="X2" s="13" t="inlineStr">
        <is>
          <t>The company reached a definitive agreement to be acquired by Skyworks Solutions (NAS: SWKS) for $22 billion on October 27, 2025. The acquisition will strengthen Skyworks' ability to meet growing customer demand across mobile and diversified broad markets.</t>
        </is>
      </c>
      <c r="Y2" s="13" t="inlineStr">
        <is>
          <t>Pending Transaction (M&amp;A)</t>
        </is>
      </c>
      <c r="Z2" s="13" t="inlineStr">
        <is>
          <t>Profitable</t>
        </is>
      </c>
      <c r="AA2" s="13" t="inlineStr">
        <is>
          <t>Skyworks Solutions (NAS: SWKS) (Philip Brace)</t>
        </is>
      </c>
      <c r="AB2" s="13" t="inlineStr">
        <is>
          <t>General Purpose Semiconductors</t>
        </is>
      </c>
      <c r="AC2" s="13" t="inlineStr">
        <is>
          <t>Manufacturing, TMT</t>
        </is>
      </c>
      <c r="AD2" s="13" t="inlineStr">
        <is>
          <t>Qorvo represents the combined entity of RF Micro Devices and TriQuint Semiconductor, which merged in January 2015. The company specializes in radio frequency filters, power amplifiers, and front-end modules used in many of the world's most advanced smartphones. Qorvo also has a suite of products sold into a variety of non-smartphone end markets, such as wireless base stations, cable TV and networking equipment, and infrastructure and military applications.</t>
        </is>
      </c>
      <c r="AE2" s="13" t="inlineStr">
        <is>
          <t>Greensboro, NC</t>
        </is>
      </c>
      <c r="AF2" s="13" t="inlineStr">
        <is>
          <t>www.qorvo.com</t>
        </is>
      </c>
    </row>
    <row r="3" ht="42" customHeight="1">
      <c r="A3" s="18" t="inlineStr">
        <is>
          <t>USA-002</t>
        </is>
      </c>
      <c r="B3" s="18" t="inlineStr">
        <is>
          <t>USA</t>
        </is>
      </c>
      <c r="C3" s="18" t="inlineStr">
        <is>
          <t>USA</t>
        </is>
      </c>
      <c r="D3" s="19" t="inlineStr">
        <is>
          <t>Spirit Aero Systems</t>
        </is>
      </c>
      <c r="E3" s="19" t="inlineStr">
        <is>
          <t>Boeing</t>
        </is>
      </c>
      <c r="F3" s="18" t="n"/>
      <c r="G3" s="19" t="n"/>
      <c r="H3" s="20" t="n">
        <v>45999</v>
      </c>
      <c r="I3" s="20" t="n"/>
      <c r="J3" s="21" t="n">
        <v>2025</v>
      </c>
      <c r="K3" s="19" t="inlineStr">
        <is>
          <t>Merger/Acquisition</t>
        </is>
      </c>
      <c r="L3" s="19" t="n"/>
      <c r="M3" s="19" t="inlineStr">
        <is>
          <t>Completed</t>
        </is>
      </c>
      <c r="N3" s="22" t="n">
        <v>8495.459999999999</v>
      </c>
      <c r="O3" s="18" t="inlineStr">
        <is>
          <t>USD</t>
        </is>
      </c>
      <c r="P3" s="50" t="n">
        <v>1.49</v>
      </c>
      <c r="R3" s="37" t="n">
        <v>-4.38</v>
      </c>
      <c r="S3" s="22" t="n">
        <v>-1940.8</v>
      </c>
      <c r="T3" s="37" t="n">
        <v>1.33</v>
      </c>
      <c r="U3" s="22" t="n">
        <v>6393.6</v>
      </c>
      <c r="V3" s="19" t="n"/>
      <c r="W3" s="22" t="n">
        <v>8495.459999999999</v>
      </c>
      <c r="X3" s="19" t="inlineStr">
        <is>
          <t>The company was acquired by Boeing (NYS: BA) for $8.495 billion on December 8, 2025. Bringing Spirit and Boeing together will enable greater integration of both companies' manufacturing and engineering capabilities, including safety and quality systems.</t>
        </is>
      </c>
      <c r="Y3" s="19" t="inlineStr">
        <is>
          <t>Formerly PE-Backed</t>
        </is>
      </c>
      <c r="Z3" s="19" t="inlineStr">
        <is>
          <t>Generating Revenue</t>
        </is>
      </c>
      <c r="AA3" s="19" t="inlineStr">
        <is>
          <t>Boeing (NYS: BA) (Robert Ortbeg)</t>
        </is>
      </c>
      <c r="AB3" s="19" t="inlineStr">
        <is>
          <t>Aerospace and Defense</t>
        </is>
      </c>
      <c r="AC3" s="19" t="inlineStr">
        <is>
          <t>Manufacturing</t>
        </is>
      </c>
      <c r="AD3" s="19" t="inlineStr">
        <is>
          <t>Spirit AeroSystems manufactures aerostructures, particularly fuselages, cockpits, wing sections, engine pylons, and nacelles for commercial and military aircraft. The company was spun out of Boeing in 2005 to become the largest independent supplier of aerostructures for commercial aircraft. Boeing and Airbus are the firm's primary customers-Boeing represented roughly 60% and Airbus roughly 20% of revenue in recent years. The company is highly exposed to Boeing's beleaguered 737 program, which accounts for nearly half the company's revenue. The company plans to be acquired by and reintegrated into Boeing by the end of 2025.</t>
        </is>
      </c>
      <c r="AE3" s="19" t="inlineStr">
        <is>
          <t>Wichita, KS</t>
        </is>
      </c>
      <c r="AF3" s="19" t="inlineStr">
        <is>
          <t>www.spiritaero.com</t>
        </is>
      </c>
    </row>
    <row r="4" ht="42" customHeight="1">
      <c r="A4" s="12" t="inlineStr">
        <is>
          <t>USA-003</t>
        </is>
      </c>
      <c r="B4" s="12" t="inlineStr">
        <is>
          <t>USA</t>
        </is>
      </c>
      <c r="C4" s="12" t="inlineStr">
        <is>
          <t>USA</t>
        </is>
      </c>
      <c r="D4" s="13" t="inlineStr">
        <is>
          <t>National Instruments</t>
        </is>
      </c>
      <c r="E4" s="13" t="inlineStr">
        <is>
          <t>Emerson Electric</t>
        </is>
      </c>
      <c r="F4" s="12" t="n"/>
      <c r="G4" s="13" t="n"/>
      <c r="H4" s="14" t="n">
        <v>45210</v>
      </c>
      <c r="I4" s="14" t="n"/>
      <c r="J4" s="15" t="n">
        <v>2023</v>
      </c>
      <c r="K4" s="13" t="inlineStr">
        <is>
          <t>Merger/Acquisition</t>
        </is>
      </c>
      <c r="L4" s="13" t="n"/>
      <c r="M4" s="13" t="inlineStr">
        <is>
          <t>Completed</t>
        </is>
      </c>
      <c r="N4" s="16" t="n">
        <v>8200</v>
      </c>
      <c r="O4" s="12" t="inlineStr">
        <is>
          <t>USD</t>
        </is>
      </c>
      <c r="P4" s="50" t="n">
        <v>4.82</v>
      </c>
      <c r="R4" s="36" t="n"/>
      <c r="S4" s="16" t="n"/>
      <c r="T4" s="36" t="n">
        <v>4.82</v>
      </c>
      <c r="U4" s="16" t="n">
        <v>1700</v>
      </c>
      <c r="V4" s="13" t="n"/>
      <c r="W4" s="16" t="n">
        <v>8200</v>
      </c>
      <c r="X4" s="13" t="inlineStr">
        <is>
          <t>The company was acquired by Emerson Electric (NYS: EMR) for $8.2 billion on October 11, 2023. The acquisition will result in increasing growth, cohesiveness and end market diversification across Emerson's portfolio.</t>
        </is>
      </c>
      <c r="Y4" s="13" t="inlineStr">
        <is>
          <t>Corporate Backed or Acquired</t>
        </is>
      </c>
      <c r="Z4" s="13" t="inlineStr">
        <is>
          <t>Generating Revenue</t>
        </is>
      </c>
      <c r="AA4" s="13" t="inlineStr">
        <is>
          <t>Emerson Electric (NYS: EMR) (Surendralal Karsanbhai)</t>
        </is>
      </c>
      <c r="AB4" s="13" t="inlineStr">
        <is>
          <t>Electronic Equipment and Instruments</t>
        </is>
      </c>
      <c r="AC4" s="13" t="n"/>
      <c r="AD4" s="13" t="inlineStr">
        <is>
          <t>National Instruments provides testing and measurement equipment and integrated, software-led solutions to serve high-complexity automated testing in late product development. NI serves a long tail of more than 30,000 customers in myriad end markets but focuses on the semiconductor, transportation, and aerospace and defense verticals.</t>
        </is>
      </c>
      <c r="AE4" s="13" t="inlineStr">
        <is>
          <t>Austin, TX</t>
        </is>
      </c>
      <c r="AF4" s="13" t="inlineStr">
        <is>
          <t>www.ni.com</t>
        </is>
      </c>
    </row>
    <row r="5" ht="42" customHeight="1">
      <c r="A5" s="18" t="inlineStr">
        <is>
          <t>USA-004</t>
        </is>
      </c>
      <c r="B5" s="18" t="inlineStr">
        <is>
          <t>USA</t>
        </is>
      </c>
      <c r="C5" s="18" t="inlineStr">
        <is>
          <t>USA</t>
        </is>
      </c>
      <c r="D5" s="19" t="inlineStr">
        <is>
          <t>Space &amp; Mission Systems</t>
        </is>
      </c>
      <c r="E5" s="19" t="inlineStr">
        <is>
          <t>BAE Systems</t>
        </is>
      </c>
      <c r="F5" s="18" t="n"/>
      <c r="G5" s="19" t="n"/>
      <c r="H5" s="20" t="n">
        <v>45338</v>
      </c>
      <c r="I5" s="20" t="n"/>
      <c r="J5" s="21" t="n">
        <v>2024</v>
      </c>
      <c r="K5" s="19" t="inlineStr">
        <is>
          <t>Merger/Acquisition</t>
        </is>
      </c>
      <c r="L5" s="19" t="n"/>
      <c r="M5" s="19" t="inlineStr">
        <is>
          <t>Completed</t>
        </is>
      </c>
      <c r="N5" s="22" t="n">
        <v>5500</v>
      </c>
      <c r="O5" s="18" t="inlineStr">
        <is>
          <t>USD</t>
        </is>
      </c>
      <c r="P5" s="50" t="n">
        <v>2.5</v>
      </c>
      <c r="Q5" s="50" t="n">
        <v>17.74</v>
      </c>
      <c r="R5" s="37" t="n">
        <v>17.74</v>
      </c>
      <c r="S5" s="22" t="n">
        <v>310</v>
      </c>
      <c r="T5" s="37" t="n">
        <v>2.5</v>
      </c>
      <c r="U5" s="22" t="n">
        <v>2200</v>
      </c>
      <c r="V5" s="19" t="inlineStr">
        <is>
          <t>Corporate Divestiture</t>
        </is>
      </c>
      <c r="W5" s="22" t="n">
        <v>5500</v>
      </c>
      <c r="X5" s="19" t="inlineStr">
        <is>
          <t>The company was acquired by BAE Systems (LON: BA.) for $5.5 billion on February 16, 2024. This acquisition will enable BAE Systems to offer a broader range of products and differentiated technologies across spacecraft, instruments, ground systems, sensors, tactical systems, operations, data analytics, and other defense and civil systems. The company was renamed Space &amp; Mission Systems following the acquisition.</t>
        </is>
      </c>
      <c r="Y5" s="19" t="inlineStr">
        <is>
          <t>Formerly Accelerator/Incubator backed</t>
        </is>
      </c>
      <c r="Z5" s="19" t="inlineStr">
        <is>
          <t>Generating Revenue</t>
        </is>
      </c>
      <c r="AA5" s="19" t="inlineStr">
        <is>
          <t>BAE Systems (LON: BA.)</t>
        </is>
      </c>
      <c r="AB5" s="19" t="inlineStr">
        <is>
          <t>Aerospace and Defense</t>
        </is>
      </c>
      <c r="AC5" s="19" t="inlineStr">
        <is>
          <t>Manufacturing, Space Technology</t>
        </is>
      </c>
      <c r="AD5" s="19" t="inlineStr">
        <is>
          <t>Developer of aerospace systems intended to offer space exploration products. The company is engaged in offering space-based instruments and sensors, tactical electro-optical, antennas, microwave systems and aerospace components, along with technical services such as engineering services and technical support co-located with customers like modeling and simulation, geospatial intelligence processing and exploitation, systems engineering, space situational awareness and threat detection, avionics software support and other related services, helping space agencies with critical missions.</t>
        </is>
      </c>
      <c r="AE5" s="19" t="inlineStr">
        <is>
          <t>Boulder, CO</t>
        </is>
      </c>
      <c r="AF5" s="19" t="inlineStr">
        <is>
          <t>www.ballaerospace.com</t>
        </is>
      </c>
    </row>
    <row r="6" ht="42" customHeight="1">
      <c r="A6" s="12" t="inlineStr">
        <is>
          <t>USA-005</t>
        </is>
      </c>
      <c r="B6" s="12" t="inlineStr">
        <is>
          <t>USA</t>
        </is>
      </c>
      <c r="C6" s="12" t="inlineStr">
        <is>
          <t>USA</t>
        </is>
      </c>
      <c r="D6" s="13" t="inlineStr">
        <is>
          <t>L3Harris Missile Unit (Aerospace and Defence)</t>
        </is>
      </c>
      <c r="E6" s="13" t="inlineStr">
        <is>
          <t>L3 Harris Technologies</t>
        </is>
      </c>
      <c r="F6" s="12" t="n"/>
      <c r="G6" s="13" t="n"/>
      <c r="H6" s="14" t="n">
        <v>45135</v>
      </c>
      <c r="I6" s="14" t="n"/>
      <c r="J6" s="15" t="n">
        <v>2023</v>
      </c>
      <c r="K6" s="13" t="inlineStr">
        <is>
          <t>Merger/Acquisition</t>
        </is>
      </c>
      <c r="L6" s="13" t="n"/>
      <c r="M6" s="13" t="inlineStr">
        <is>
          <t>Completed</t>
        </is>
      </c>
      <c r="N6" s="16" t="n">
        <v>4715</v>
      </c>
      <c r="O6" s="12" t="inlineStr">
        <is>
          <t>USD</t>
        </is>
      </c>
      <c r="P6" s="50" t="n">
        <v>1.93</v>
      </c>
      <c r="Q6" s="50" t="n">
        <v>25.9</v>
      </c>
      <c r="R6" s="36" t="n">
        <v>27.56</v>
      </c>
      <c r="S6" s="16" t="n">
        <v>171.1</v>
      </c>
      <c r="T6" s="36" t="n">
        <v>2.06</v>
      </c>
      <c r="U6" s="16" t="n">
        <v>2292.8</v>
      </c>
      <c r="V6" s="13" t="n"/>
      <c r="W6" s="16" t="n">
        <v>4715</v>
      </c>
      <c r="X6" s="13" t="inlineStr">
        <is>
          <t>The company was acquired by L3 Harris Technologies (NYS: LHX) for $4.71 billion on July 28, 2023. This acquisition enables L3Harris to drive continuous process improvement, enhance business operations and elevate the performance of crucial national assets.</t>
        </is>
      </c>
      <c r="Y6" s="13" t="inlineStr">
        <is>
          <t>Corporate Backed or Acquired</t>
        </is>
      </c>
      <c r="Z6" s="13" t="inlineStr">
        <is>
          <t>Generating Revenue</t>
        </is>
      </c>
      <c r="AA6" s="13" t="inlineStr">
        <is>
          <t>L3 Harris Technologies (NYS: LHX) (Christopher Kubasik)</t>
        </is>
      </c>
      <c r="AB6" s="13" t="inlineStr">
        <is>
          <t>Aerospace and Defense</t>
        </is>
      </c>
      <c r="AC6" s="13" t="inlineStr">
        <is>
          <t>Industrials, Manufacturing, Space Technology, TMT</t>
        </is>
      </c>
      <c r="AD6" s="13" t="inlineStr">
        <is>
          <t>Manufacturer of aerospace and defense products based in El Segundo, California. The company produces driving and launch systems for defense and space applications, weapons, and weapons systems for tactical missions.</t>
        </is>
      </c>
      <c r="AE6" s="13" t="inlineStr">
        <is>
          <t>El Segundo, CA</t>
        </is>
      </c>
      <c r="AF6" s="13" t="inlineStr">
        <is>
          <t>www.aerojetrocketdyne.com</t>
        </is>
      </c>
    </row>
    <row r="7" ht="42" customHeight="1">
      <c r="A7" s="18" t="inlineStr">
        <is>
          <t>USA-006</t>
        </is>
      </c>
      <c r="B7" s="18" t="inlineStr">
        <is>
          <t>USA</t>
        </is>
      </c>
      <c r="C7" s="18" t="inlineStr">
        <is>
          <t>USA</t>
        </is>
      </c>
      <c r="D7" s="19" t="inlineStr">
        <is>
          <t>BlueHalo</t>
        </is>
      </c>
      <c r="E7" s="19" t="inlineStr">
        <is>
          <t>AeroVironment</t>
        </is>
      </c>
      <c r="F7" s="18" t="n"/>
      <c r="G7" s="19" t="n"/>
      <c r="H7" s="20" t="n">
        <v>45778</v>
      </c>
      <c r="I7" s="20" t="n"/>
      <c r="J7" s="21" t="n">
        <v>2025</v>
      </c>
      <c r="K7" s="19" t="inlineStr">
        <is>
          <t>Merger/Acquisition</t>
        </is>
      </c>
      <c r="L7" s="19" t="n"/>
      <c r="M7" s="19" t="inlineStr">
        <is>
          <t>Completed</t>
        </is>
      </c>
      <c r="N7" s="22" t="n">
        <v>3484.95</v>
      </c>
      <c r="O7" s="18" t="inlineStr">
        <is>
          <t>USD</t>
        </is>
      </c>
      <c r="P7" s="50" t="n">
        <v>3.48</v>
      </c>
      <c r="R7" s="37" t="n"/>
      <c r="S7" s="22" t="n"/>
      <c r="T7" s="37" t="n">
        <v>3.48</v>
      </c>
      <c r="U7" s="22" t="n">
        <v>1000</v>
      </c>
      <c r="V7" s="19" t="n"/>
      <c r="W7" s="22" t="n">
        <v>3484.95</v>
      </c>
      <c r="X7" s="19" t="inlineStr">
        <is>
          <t>The company was acquired by AeroVironment (NAS: AVAV) for $3.48 billion on May 1, 2025. The acquisition will help to advance AeroVironment as the combined company as a global defense technology leader across air, land, sea, space, and cyber.</t>
        </is>
      </c>
      <c r="Y7" s="19" t="inlineStr">
        <is>
          <t>Formerly PE-Backed</t>
        </is>
      </c>
      <c r="Z7" s="19" t="inlineStr">
        <is>
          <t>Generating Revenue</t>
        </is>
      </c>
      <c r="AA7" s="19" t="inlineStr">
        <is>
          <t>AeroVironment (NAS: AVAV) (Wahid Nawabi)</t>
        </is>
      </c>
      <c r="AB7" s="19" t="inlineStr">
        <is>
          <t>Government</t>
        </is>
      </c>
      <c r="AC7" s="19" t="inlineStr">
        <is>
          <t>Manufacturing, TMT</t>
        </is>
      </c>
      <c r="AD7" s="19" t="inlineStr">
        <is>
          <t>Manufacturer of advanced engineering products for the national security community. The company offers products including autonomous systems, test instruments, laser weapons, rate sensors and extended reality products as well as services in the domain of space superiority, directed energy, air and missile defense, cyber, specialized training and simulation and technical expertise from research and development through deployment, helping to address the complex challenges of clients critical missions and reestablish national security posture in the near-peer contested arena.</t>
        </is>
      </c>
      <c r="AE7" s="19" t="inlineStr">
        <is>
          <t>Arlington, VA</t>
        </is>
      </c>
      <c r="AF7" s="19" t="inlineStr">
        <is>
          <t>www.bluehalo.com</t>
        </is>
      </c>
    </row>
    <row r="8" ht="42" customHeight="1">
      <c r="A8" s="12" t="inlineStr">
        <is>
          <t>USA-007</t>
        </is>
      </c>
      <c r="B8" s="12" t="inlineStr">
        <is>
          <t>USA</t>
        </is>
      </c>
      <c r="C8" s="12" t="inlineStr">
        <is>
          <t>USA</t>
        </is>
      </c>
      <c r="D8" s="13" t="inlineStr">
        <is>
          <t>Reorganized ISA</t>
        </is>
      </c>
      <c r="E8" s="13" t="inlineStr">
        <is>
          <t>SES</t>
        </is>
      </c>
      <c r="F8" s="12" t="n"/>
      <c r="G8" s="13" t="n"/>
      <c r="H8" s="14" t="n">
        <v>45855</v>
      </c>
      <c r="I8" s="14" t="n"/>
      <c r="J8" s="15" t="n">
        <v>2025</v>
      </c>
      <c r="K8" s="13" t="inlineStr">
        <is>
          <t>Merger/Acquisition</t>
        </is>
      </c>
      <c r="L8" s="13" t="n"/>
      <c r="M8" s="13" t="inlineStr">
        <is>
          <t>Completed</t>
        </is>
      </c>
      <c r="N8" s="16" t="n">
        <v>3100</v>
      </c>
      <c r="O8" s="12" t="inlineStr">
        <is>
          <t>USD</t>
        </is>
      </c>
      <c r="R8" s="36" t="n"/>
      <c r="S8" s="16" t="n"/>
      <c r="T8" s="36" t="n"/>
      <c r="U8" s="16" t="n"/>
      <c r="V8" s="13" t="n"/>
      <c r="W8" s="16" t="n">
        <v>3100</v>
      </c>
      <c r="X8" s="13" t="inlineStr">
        <is>
          <t>The company was acquired by SES (LUX: SESGL) for $3.1 billion on July 17, 2025. The acquisition helps SES to leverage its skilled teams with deep vertical expertise to deliver integrated multi-orbit, multi-band satellite and connectivity solutions to businesses and governments around the world.</t>
        </is>
      </c>
      <c r="Y8" s="13" t="inlineStr">
        <is>
          <t>Formerly PE-Backed</t>
        </is>
      </c>
      <c r="Z8" s="13" t="inlineStr">
        <is>
          <t>Generating Revenue</t>
        </is>
      </c>
      <c r="AA8" s="13" t="inlineStr">
        <is>
          <t>SES (LUX: SESGL) (Adel Al-Saleh)</t>
        </is>
      </c>
      <c r="AB8" s="13" t="inlineStr">
        <is>
          <t>Telecommunications Service Providers</t>
        </is>
      </c>
      <c r="AC8" s="13" t="inlineStr">
        <is>
          <t>Mobile, Robotics and Drones</t>
        </is>
      </c>
      <c r="AD8" s="13" t="inlineStr">
        <is>
          <t>Operator of integrated satellite and terrestrial network providing communications services for telecommunications operators, media companies, and internet service providers. The company offers diversified communications services such as 5G software-defined networks, satellite networks, terrestrial networks and C-bank resource centers, enabling clients to avail global coverage services.</t>
        </is>
      </c>
      <c r="AE8" s="13" t="inlineStr">
        <is>
          <t>McLean, VA</t>
        </is>
      </c>
      <c r="AF8" s="13" t="inlineStr">
        <is>
          <t>www.intelsat.com</t>
        </is>
      </c>
    </row>
    <row r="9" ht="42" customHeight="1">
      <c r="A9" s="18" t="inlineStr">
        <is>
          <t>USA-008</t>
        </is>
      </c>
      <c r="B9" s="18" t="inlineStr">
        <is>
          <t>USA</t>
        </is>
      </c>
      <c r="C9" s="18" t="inlineStr">
        <is>
          <t>USA</t>
        </is>
      </c>
      <c r="D9" s="19" t="inlineStr">
        <is>
          <t>ARKA Group</t>
        </is>
      </c>
      <c r="E9" s="19" t="inlineStr">
        <is>
          <t>CACI International</t>
        </is>
      </c>
      <c r="F9" s="18" t="n"/>
      <c r="G9" s="19" t="n"/>
      <c r="H9" s="20" t="n">
        <v>46090</v>
      </c>
      <c r="I9" s="20" t="n"/>
      <c r="J9" s="21" t="n">
        <v>2026</v>
      </c>
      <c r="K9" s="19" t="inlineStr">
        <is>
          <t>Merger/Acquisition</t>
        </is>
      </c>
      <c r="L9" s="19" t="n"/>
      <c r="M9" s="19" t="inlineStr">
        <is>
          <t>Completed</t>
        </is>
      </c>
      <c r="N9" s="22" t="n">
        <v>2600</v>
      </c>
      <c r="O9" s="18" t="inlineStr">
        <is>
          <t>USD</t>
        </is>
      </c>
      <c r="R9" s="37" t="n"/>
      <c r="S9" s="22" t="n"/>
      <c r="T9" s="37" t="n"/>
      <c r="U9" s="22" t="n"/>
      <c r="V9" s="19" t="n"/>
      <c r="W9" s="22" t="n">
        <v>2600</v>
      </c>
      <c r="X9" s="19" t="inlineStr">
        <is>
          <t>The company was acquired by CACI International (NYS: CACI) for $2.6 billion on March 9, 2026.</t>
        </is>
      </c>
      <c r="Y9" s="19" t="inlineStr">
        <is>
          <t>Formerly PE-Backed</t>
        </is>
      </c>
      <c r="Z9" s="19" t="inlineStr">
        <is>
          <t>Generating Revenue</t>
        </is>
      </c>
      <c r="AA9" s="19" t="inlineStr">
        <is>
          <t>CACI International (NYS: CACI) (John Mengucci)</t>
        </is>
      </c>
      <c r="AB9" s="19" t="inlineStr">
        <is>
          <t>Aerospace and Defense</t>
        </is>
      </c>
      <c r="AC9" s="19" t="inlineStr">
        <is>
          <t>Manufacturing, SaaS, Space Technology</t>
        </is>
      </c>
      <c r="AD9" s="19" t="inlineStr">
        <is>
          <t>Developer of a space technology platform intended to strengthen visionary aerospace and defense companies. The company offers technologies for national security space, defense, space science, and communication systems, thereby enabling Earth reconnaissance satellites to deliver imagery that helped avert the Cuban missile crisis, end the Cold War, and keep nations and allies safe.</t>
        </is>
      </c>
      <c r="AE9" s="19" t="inlineStr">
        <is>
          <t>Danbury, CT</t>
        </is>
      </c>
      <c r="AF9" s="19" t="inlineStr">
        <is>
          <t>www.arka.org</t>
        </is>
      </c>
    </row>
    <row r="10" ht="42" customHeight="1">
      <c r="A10" s="12" t="inlineStr">
        <is>
          <t>USA-009</t>
        </is>
      </c>
      <c r="B10" s="12" t="inlineStr">
        <is>
          <t>USA</t>
        </is>
      </c>
      <c r="C10" s="12" t="inlineStr">
        <is>
          <t>USA</t>
        </is>
      </c>
      <c r="D10" s="13" t="inlineStr">
        <is>
          <t>ILC Dover (Frederica)</t>
        </is>
      </c>
      <c r="E10" s="13" t="inlineStr">
        <is>
          <t>Ingersoll Rand</t>
        </is>
      </c>
      <c r="F10" s="12" t="n"/>
      <c r="G10" s="13" t="n"/>
      <c r="H10" s="14" t="n">
        <v>45446</v>
      </c>
      <c r="I10" s="14" t="n"/>
      <c r="J10" s="15" t="n">
        <v>2024</v>
      </c>
      <c r="K10" s="13" t="inlineStr">
        <is>
          <t>Merger/Acquisition</t>
        </is>
      </c>
      <c r="L10" s="13" t="n"/>
      <c r="M10" s="13" t="inlineStr">
        <is>
          <t>Completed</t>
        </is>
      </c>
      <c r="N10" s="16" t="n">
        <v>2424.7</v>
      </c>
      <c r="O10" s="12" t="inlineStr">
        <is>
          <t>USD</t>
        </is>
      </c>
      <c r="R10" s="36" t="n"/>
      <c r="S10" s="16" t="n"/>
      <c r="T10" s="36" t="n"/>
      <c r="U10" s="16" t="n"/>
      <c r="V10" s="13" t="n"/>
      <c r="W10" s="16" t="n">
        <v>2424.7</v>
      </c>
      <c r="X10" s="13" t="inlineStr">
        <is>
          <t>The company was acquired by Ingersoll Rand (NYS: IR) for $2424.7 million on March 25, 2024. The acquisition extends its portfolio in sustainable end markets, including life sciences, food and beverage, medical and wastewater treatment. The company will receive contingent payout of $75 million.</t>
        </is>
      </c>
      <c r="Y10" s="13" t="inlineStr">
        <is>
          <t>Formerly PE-Backed</t>
        </is>
      </c>
      <c r="Z10" s="13" t="inlineStr">
        <is>
          <t>Profitable</t>
        </is>
      </c>
      <c r="AA10" s="13" t="inlineStr">
        <is>
          <t>Ingersoll Rand (NYS: IR) (Vicente Reynal)</t>
        </is>
      </c>
      <c r="AB10" s="13" t="inlineStr">
        <is>
          <t>Other Devices and Supplies</t>
        </is>
      </c>
      <c r="AC10" s="13" t="inlineStr">
        <is>
          <t>HealthTech, Manufacturing</t>
        </is>
      </c>
      <c r="AD10" s="13" t="inlineStr">
        <is>
          <t>Designer and manufacturer of engineered products for pharmaceutical, personal care, food and beverage, chemical, aerospace, healthcare, and government agencies. The company's products include enclosures, automated dispensing units, blenders, canisters, charge bags, cones, fasteners, drum liners, drum sleeves, isolators, mixers, lifting jars, tray dryers, and other related products.</t>
        </is>
      </c>
      <c r="AE10" s="13" t="inlineStr">
        <is>
          <t>Frederica, DE</t>
        </is>
      </c>
      <c r="AF10" s="13" t="inlineStr">
        <is>
          <t>www.ilcdover.com</t>
        </is>
      </c>
    </row>
    <row r="11" ht="42" customHeight="1">
      <c r="A11" s="18" t="inlineStr">
        <is>
          <t>USA-010</t>
        </is>
      </c>
      <c r="B11" s="18" t="inlineStr">
        <is>
          <t>USA</t>
        </is>
      </c>
      <c r="C11" s="18" t="inlineStr">
        <is>
          <t>USA</t>
        </is>
      </c>
      <c r="D11" s="19" t="inlineStr">
        <is>
          <t>Multiven</t>
        </is>
      </c>
      <c r="E11" s="19" t="inlineStr">
        <is>
          <t>PhotonAI</t>
        </is>
      </c>
      <c r="F11" s="18" t="n"/>
      <c r="G11" s="19" t="n"/>
      <c r="H11" s="20" t="n">
        <v>45811</v>
      </c>
      <c r="I11" s="20" t="n"/>
      <c r="J11" s="21" t="n">
        <v>2025</v>
      </c>
      <c r="K11" s="19" t="inlineStr">
        <is>
          <t>Merger/Acquisition</t>
        </is>
      </c>
      <c r="L11" s="19" t="n"/>
      <c r="M11" s="19" t="inlineStr">
        <is>
          <t>Completed</t>
        </is>
      </c>
      <c r="N11" s="22" t="n">
        <v>2200</v>
      </c>
      <c r="O11" s="18" t="inlineStr">
        <is>
          <t>USD</t>
        </is>
      </c>
      <c r="R11" s="37" t="n"/>
      <c r="S11" s="22" t="n"/>
      <c r="T11" s="37" t="n"/>
      <c r="U11" s="22" t="n"/>
      <c r="V11" s="19" t="n"/>
      <c r="W11" s="22" t="n">
        <v>2200</v>
      </c>
      <c r="X11" s="19" t="inlineStr">
        <is>
          <t>The company was acquired by PhotonAI for $2.2 billion on June 3, 2025. The acquisition helps PhotonAI to becomes the builder and the guardian of Africa's AI future-securing it end-to-end for the age of intelligent economies, digital governance and data sovereignty.</t>
        </is>
      </c>
      <c r="Y11" s="19" t="inlineStr">
        <is>
          <t>Corporate Backed or Acquired</t>
        </is>
      </c>
      <c r="Z11" s="19" t="inlineStr">
        <is>
          <t>Generating Revenue</t>
        </is>
      </c>
      <c r="AA11" s="19" t="inlineStr">
        <is>
          <t>PhotonAI (Peter Alfred-Adekeye)</t>
        </is>
      </c>
      <c r="AB11" s="19" t="inlineStr">
        <is>
          <t>Systems and Information Management</t>
        </is>
      </c>
      <c r="AC11" s="19" t="inlineStr">
        <is>
          <t>Internet of Things</t>
        </is>
      </c>
      <c r="AD11" s="19" t="inlineStr">
        <is>
          <t>Provider of cyber-defense and software maintenance services intended for all internet network hardware. The company offers various services such as software integrity maintenance, monetization, IT asset management, cyber attack isolation, creating device profiles, managing devices and tasks, hardware replacement and task visibility.</t>
        </is>
      </c>
      <c r="AE11" s="19" t="inlineStr">
        <is>
          <t>Palo Alto, CA</t>
        </is>
      </c>
      <c r="AF11" s="19" t="inlineStr">
        <is>
          <t>www.multiven.com</t>
        </is>
      </c>
    </row>
    <row r="12" ht="42" customHeight="1">
      <c r="A12" s="12" t="inlineStr">
        <is>
          <t>USA-011</t>
        </is>
      </c>
      <c r="B12" s="12" t="inlineStr">
        <is>
          <t>USA</t>
        </is>
      </c>
      <c r="C12" s="12" t="inlineStr">
        <is>
          <t>USA</t>
        </is>
      </c>
      <c r="D12" s="13" t="inlineStr">
        <is>
          <t>SpartanNash</t>
        </is>
      </c>
      <c r="E12" s="13" t="inlineStr">
        <is>
          <t>C&amp;S Wholesale Grocers</t>
        </is>
      </c>
      <c r="F12" s="12" t="n"/>
      <c r="G12" s="13" t="n"/>
      <c r="H12" s="14" t="n">
        <v>45922</v>
      </c>
      <c r="I12" s="14" t="n"/>
      <c r="J12" s="15" t="n">
        <v>2025</v>
      </c>
      <c r="K12" s="13" t="inlineStr">
        <is>
          <t>Merger/Acquisition</t>
        </is>
      </c>
      <c r="L12" s="13" t="n"/>
      <c r="M12" s="13" t="inlineStr">
        <is>
          <t>Completed</t>
        </is>
      </c>
      <c r="N12" s="16" t="n">
        <v>2025.36</v>
      </c>
      <c r="O12" s="12" t="inlineStr">
        <is>
          <t>USD</t>
        </is>
      </c>
      <c r="P12" s="50" t="n">
        <v>0.2</v>
      </c>
      <c r="Q12" s="50" t="n">
        <v>13.02</v>
      </c>
      <c r="R12" s="36" t="n">
        <v>13.57</v>
      </c>
      <c r="S12" s="16" t="n">
        <v>149.2</v>
      </c>
      <c r="T12" s="36" t="n">
        <v>0.21</v>
      </c>
      <c r="U12" s="16" t="n">
        <v>9693.07</v>
      </c>
      <c r="V12" s="13" t="n"/>
      <c r="W12" s="16" t="n">
        <v>2025.36</v>
      </c>
      <c r="X12" s="13" t="inlineStr">
        <is>
          <t>The company was acquired by C&amp;S Wholesale Grocers for $2.025 billion on September 22, 2025. The merger will enable the combined company to more efficiently serve customers and communities across the United States.</t>
        </is>
      </c>
      <c r="Y12" s="13" t="inlineStr">
        <is>
          <t>Corporate Backed or Acquired</t>
        </is>
      </c>
      <c r="Z12" s="13" t="inlineStr">
        <is>
          <t>Generating Revenue</t>
        </is>
      </c>
      <c r="AA12" s="13" t="inlineStr">
        <is>
          <t>C&amp;S Wholesale Grocers (Eric Winn)</t>
        </is>
      </c>
      <c r="AB12" s="13" t="inlineStr">
        <is>
          <t>Distributors/Wholesale</t>
        </is>
      </c>
      <c r="AC12" s="13" t="n"/>
      <c r="AD12" s="13" t="inlineStr">
        <is>
          <t>SpartanNash Co is a food solutions company that delivers the ingredients. Its principal business activities include, distributing grocery products to a diverse group of independent and chain retailers, its corporate-owned retail stores, and U.S. military commissaries and exchanges; as well as operating a fresh produce distribution network and the Family private label brand. The company operates in two segments: Retail and Wholesale. Majority of the revenue is earned from its Wholesale segment which uses a multi-channel sales approach to distribute national brand and private brand products to independent retailers, national accounts, food service distributors, e-commerce providers, and the Company's corporate owned retail stores.</t>
        </is>
      </c>
      <c r="AE12" s="13" t="inlineStr">
        <is>
          <t>Byron Center, MI</t>
        </is>
      </c>
      <c r="AF12" s="13" t="inlineStr">
        <is>
          <t>www.spartannash.com</t>
        </is>
      </c>
    </row>
    <row r="13" ht="42" customHeight="1">
      <c r="A13" s="18" t="inlineStr">
        <is>
          <t>USA-012</t>
        </is>
      </c>
      <c r="B13" s="18" t="inlineStr">
        <is>
          <t>USA</t>
        </is>
      </c>
      <c r="C13" s="18" t="inlineStr">
        <is>
          <t>USA</t>
        </is>
      </c>
      <c r="D13" s="19" t="inlineStr">
        <is>
          <t>Amphenol CIT</t>
        </is>
      </c>
      <c r="E13" s="19" t="inlineStr">
        <is>
          <t>Amphenol</t>
        </is>
      </c>
      <c r="F13" s="18" t="n"/>
      <c r="G13" s="19" t="n"/>
      <c r="H13" s="20" t="n">
        <v>45433</v>
      </c>
      <c r="I13" s="20" t="n"/>
      <c r="J13" s="21" t="n">
        <v>2024</v>
      </c>
      <c r="K13" s="19" t="inlineStr">
        <is>
          <t>Merger/Acquisition</t>
        </is>
      </c>
      <c r="L13" s="19" t="n"/>
      <c r="M13" s="19" t="inlineStr">
        <is>
          <t>Completed</t>
        </is>
      </c>
      <c r="N13" s="22" t="n">
        <v>2025</v>
      </c>
      <c r="O13" s="18" t="inlineStr">
        <is>
          <t>USD</t>
        </is>
      </c>
      <c r="P13" s="50" t="n">
        <v>92.05</v>
      </c>
      <c r="R13" s="37" t="n"/>
      <c r="S13" s="22" t="n"/>
      <c r="T13" s="37" t="n">
        <v>92.05</v>
      </c>
      <c r="U13" s="22" t="n">
        <v>22</v>
      </c>
      <c r="V13" s="19" t="inlineStr">
        <is>
          <t>Corporate Divestiture</t>
        </is>
      </c>
      <c r="W13" s="22" t="n">
        <v>2025</v>
      </c>
      <c r="X13" s="19" t="inlineStr">
        <is>
          <t>The company, a subsidiary of Carlisle Companies (NYS: CSL), was acquired by Amphenol (NYS: APH) for $2.025 billion on May 21, 2024. The acquisition enhances Amphenol's product offerings for highly engineered harsh environment interconnect solutions and will enable it to deliver a more comprehensive technology offering for our customers in the commercial air, defense and industrial markets.</t>
        </is>
      </c>
      <c r="Y13" s="19" t="inlineStr">
        <is>
          <t>Corporate Backed or Acquired</t>
        </is>
      </c>
      <c r="Z13" s="19" t="inlineStr">
        <is>
          <t>Generating Revenue</t>
        </is>
      </c>
      <c r="AA13" s="19" t="inlineStr">
        <is>
          <t>Amphenol (NYS: APH) (Richard Norwitt)</t>
        </is>
      </c>
      <c r="AB13" s="19" t="inlineStr">
        <is>
          <t>Connectivity Products</t>
        </is>
      </c>
      <c r="AC13" s="19" t="inlineStr">
        <is>
          <t>Manufacturing</t>
        </is>
      </c>
      <c r="AD13" s="19" t="inlineStr">
        <is>
          <t>Manufacturer of electrical products intended to cater to the aerospace, military, space, test and measurement, industrial, and medical technology markets. The company designs and produces wire and cable assemblies, fiber optic systems, specialty connectors, sensors, racks, trays, and installation kits with precision engineering and robust integration, thereby enabling reliable connectivity in harsh and mission-critical environments.</t>
        </is>
      </c>
      <c r="AE13" s="19" t="inlineStr">
        <is>
          <t>Saint Augustine, FL</t>
        </is>
      </c>
      <c r="AF13" s="19" t="inlineStr">
        <is>
          <t>www.amphenol-cit.com</t>
        </is>
      </c>
    </row>
    <row r="14" ht="42" customHeight="1">
      <c r="A14" s="12" t="inlineStr">
        <is>
          <t>USA-013</t>
        </is>
      </c>
      <c r="B14" s="12" t="inlineStr">
        <is>
          <t>USA</t>
        </is>
      </c>
      <c r="C14" s="12" t="inlineStr">
        <is>
          <t>USA</t>
        </is>
      </c>
      <c r="D14" s="13" t="inlineStr">
        <is>
          <t>Precision Aviation Group</t>
        </is>
      </c>
      <c r="E14" s="13" t="inlineStr">
        <is>
          <t>VSE</t>
        </is>
      </c>
      <c r="F14" s="12" t="n"/>
      <c r="G14" s="13" t="n"/>
      <c r="H14" s="14" t="n">
        <v>46147</v>
      </c>
      <c r="I14" s="14" t="n"/>
      <c r="J14" s="15" t="n">
        <v>2026</v>
      </c>
      <c r="K14" s="13" t="inlineStr">
        <is>
          <t>Merger/Acquisition</t>
        </is>
      </c>
      <c r="L14" s="13" t="n"/>
      <c r="M14" s="13" t="inlineStr">
        <is>
          <t>Completed</t>
        </is>
      </c>
      <c r="N14" s="16" t="n">
        <v>2025</v>
      </c>
      <c r="O14" s="12" t="inlineStr">
        <is>
          <t>USD</t>
        </is>
      </c>
      <c r="P14" s="50" t="n">
        <v>3.29</v>
      </c>
      <c r="Q14" s="50" t="n">
        <v>135</v>
      </c>
      <c r="R14" s="36" t="n">
        <v>135</v>
      </c>
      <c r="S14" s="16" t="n">
        <v>15</v>
      </c>
      <c r="T14" s="36" t="n">
        <v>3.29</v>
      </c>
      <c r="U14" s="16" t="n">
        <v>615</v>
      </c>
      <c r="V14" s="13" t="n"/>
      <c r="W14" s="16" t="n">
        <v>2025</v>
      </c>
      <c r="X14" s="13" t="inlineStr">
        <is>
          <t>The company was acquired by VSE (NAS: VSEC) for an estimated $2.025 billion on May 5, 2026. The company will receive a contingent payout of $125 million linked to adjusted EBITDA performance.</t>
        </is>
      </c>
      <c r="Y14" s="13" t="inlineStr">
        <is>
          <t>Formerly PE-Backed</t>
        </is>
      </c>
      <c r="Z14" s="13" t="inlineStr">
        <is>
          <t>Generating Revenue</t>
        </is>
      </c>
      <c r="AA14" s="13" t="inlineStr">
        <is>
          <t>VSE (Aerospace and Defense) (NAS: VSEC) (John Cuomo)</t>
        </is>
      </c>
      <c r="AB14" s="13" t="inlineStr">
        <is>
          <t>Aerospace and Defense</t>
        </is>
      </c>
      <c r="AC14" s="13" t="inlineStr">
        <is>
          <t>Manufacturing</t>
        </is>
      </c>
      <c r="AD14" s="13" t="inlineStr">
        <is>
          <t>Manufacturer of aircraft parts and a provider of maintenance, repair and overhaul (MRO) services intended for rotary and fixed-wing aircraft. The company provides repairs and sales support services for avionics, instruments, electronics and electrical accessories used in helicopters and turboprop aircraft internationally to the aerospace and defense industry.</t>
        </is>
      </c>
      <c r="AE14" s="13" t="inlineStr">
        <is>
          <t>Atlanta, GA</t>
        </is>
      </c>
      <c r="AF14" s="13" t="inlineStr">
        <is>
          <t>www.precisionaviationgroup.com</t>
        </is>
      </c>
    </row>
    <row r="15" ht="42" customHeight="1">
      <c r="A15" s="18" t="inlineStr">
        <is>
          <t>USA-014</t>
        </is>
      </c>
      <c r="B15" s="18" t="inlineStr">
        <is>
          <t>USA</t>
        </is>
      </c>
      <c r="C15" s="18" t="inlineStr">
        <is>
          <t>USA</t>
        </is>
      </c>
      <c r="D15" s="19" t="inlineStr">
        <is>
          <t>Aechelon Technology</t>
        </is>
      </c>
      <c r="E15" s="19" t="inlineStr">
        <is>
          <t>Shield AI</t>
        </is>
      </c>
      <c r="F15" s="18" t="n"/>
      <c r="G15" s="19" t="n"/>
      <c r="H15" s="20" t="n">
        <v>46106</v>
      </c>
      <c r="I15" s="20" t="n"/>
      <c r="J15" s="21" t="n">
        <v>2026</v>
      </c>
      <c r="K15" s="19" t="inlineStr">
        <is>
          <t>Merger/Acquisition</t>
        </is>
      </c>
      <c r="L15" s="19" t="n"/>
      <c r="M15" s="19" t="inlineStr">
        <is>
          <t>Announced/In Progress</t>
        </is>
      </c>
      <c r="N15" s="22" t="n">
        <v>2000</v>
      </c>
      <c r="O15" s="18" t="inlineStr">
        <is>
          <t>USD</t>
        </is>
      </c>
      <c r="R15" s="37" t="n"/>
      <c r="S15" s="22" t="n"/>
      <c r="T15" s="37" t="n"/>
      <c r="U15" s="22" t="n"/>
      <c r="V15" s="19" t="n"/>
      <c r="W15" s="22" t="n">
        <v>12700</v>
      </c>
      <c r="X15" s="19" t="inlineStr">
        <is>
          <t>The company reached a definitive agreement to be acquired by Shield AI for $2 billion on March 25, 2026.</t>
        </is>
      </c>
      <c r="Y15" s="19" t="inlineStr">
        <is>
          <t>Pending Transaction (M&amp;A)</t>
        </is>
      </c>
      <c r="Z15" s="19" t="inlineStr">
        <is>
          <t>Generating Revenue</t>
        </is>
      </c>
      <c r="AA15" s="19" t="inlineStr">
        <is>
          <t>Shield AI (Gary Steele)</t>
        </is>
      </c>
      <c r="AB15" s="19" t="inlineStr">
        <is>
          <t>Aerospace and Defense</t>
        </is>
      </c>
      <c r="AC15" s="19" t="inlineStr">
        <is>
          <t>SaaS, Virtual Reality</t>
        </is>
      </c>
      <c r="AD15" s="19" t="inlineStr">
        <is>
          <t>Developer of a defense software designed for simulation and geo-specific databases, supporting both manned and unmanned systems across all major Department of War service branches. The company's three-dimensional (3D) platform offers optical simulation image generation, associated specific visual and sensor databases, realistic 3D models and related integration features, enabling its clients to train both warfighters and autonomous systems in hyper-realistic, physics-based synthetic environments.</t>
        </is>
      </c>
      <c r="AE15" s="19" t="inlineStr">
        <is>
          <t>South San Francisco, CA</t>
        </is>
      </c>
      <c r="AF15" s="19" t="inlineStr">
        <is>
          <t>www.aechelon.com</t>
        </is>
      </c>
    </row>
    <row r="16" ht="42" customHeight="1">
      <c r="A16" s="12" t="inlineStr">
        <is>
          <t>USA-015</t>
        </is>
      </c>
      <c r="B16" s="12" t="inlineStr">
        <is>
          <t>USA</t>
        </is>
      </c>
      <c r="C16" s="12" t="inlineStr">
        <is>
          <t>USA</t>
        </is>
      </c>
      <c r="D16" s="13" t="inlineStr">
        <is>
          <t>Viasat (Military Communications Unit)</t>
        </is>
      </c>
      <c r="E16" s="13" t="inlineStr">
        <is>
          <t>L3 Harris Technologies</t>
        </is>
      </c>
      <c r="F16" s="12" t="n"/>
      <c r="G16" s="13" t="n"/>
      <c r="H16" s="14" t="n">
        <v>44929</v>
      </c>
      <c r="I16" s="14" t="n"/>
      <c r="J16" s="15" t="n">
        <v>2023</v>
      </c>
      <c r="K16" s="13" t="inlineStr">
        <is>
          <t>Merger/Acquisition</t>
        </is>
      </c>
      <c r="L16" s="13" t="n"/>
      <c r="M16" s="13" t="inlineStr">
        <is>
          <t>Completed</t>
        </is>
      </c>
      <c r="N16" s="16" t="n">
        <v>1974</v>
      </c>
      <c r="O16" s="12" t="inlineStr">
        <is>
          <t>USD</t>
        </is>
      </c>
      <c r="R16" s="36" t="n"/>
      <c r="S16" s="16" t="n"/>
      <c r="T16" s="36" t="n"/>
      <c r="U16" s="16" t="n"/>
      <c r="V16" s="13" t="inlineStr">
        <is>
          <t>Corporate Divestiture</t>
        </is>
      </c>
      <c r="W16" s="16" t="n">
        <v>1974</v>
      </c>
      <c r="X16" s="13" t="inlineStr">
        <is>
          <t>The Military Communications Unit of ViaSat (NAS: VSAT) was acquired by L3 Harris Technologies (NYS: LHX) for $1.974 billion on January 3, 2023. The acquisition enables L3 Harris Technologies to better align with U.S. defense spending priorities like cybersecurity and sensors.</t>
        </is>
      </c>
      <c r="Y16" s="13" t="inlineStr">
        <is>
          <t>Corporate Backed or Acquired</t>
        </is>
      </c>
      <c r="Z16" s="13" t="inlineStr">
        <is>
          <t>Generating Revenue</t>
        </is>
      </c>
      <c r="AA16" s="13" t="inlineStr">
        <is>
          <t>L3 Harris Technologies (NYS: LHX) (Christopher Kubasik)</t>
        </is>
      </c>
      <c r="AB16" s="13" t="inlineStr">
        <is>
          <t>Telecommunications Service Providers</t>
        </is>
      </c>
      <c r="AC16" s="13" t="n"/>
      <c r="AD16" s="13" t="inlineStr">
        <is>
          <t>Provider of secure communication systems catering to the military sector. The company provides secured sharing of voice and data and is integrated on military aircraft, ground vehicles, surface vessels and operating bases.</t>
        </is>
      </c>
      <c r="AE16" s="13" t="inlineStr">
        <is>
          <t>CA</t>
        </is>
      </c>
      <c r="AF16" s="13" t="n"/>
    </row>
    <row r="17" ht="42" customHeight="1">
      <c r="A17" s="18" t="inlineStr">
        <is>
          <t>USA-016</t>
        </is>
      </c>
      <c r="B17" s="18" t="inlineStr">
        <is>
          <t>USA</t>
        </is>
      </c>
      <c r="C17" s="18" t="inlineStr">
        <is>
          <t>USA</t>
        </is>
      </c>
      <c r="D17" s="19" t="inlineStr">
        <is>
          <t>Power Solutions (United States)</t>
        </is>
      </c>
      <c r="E17" s="19" t="inlineStr">
        <is>
          <t>Dycom Industries</t>
        </is>
      </c>
      <c r="F17" s="18" t="n"/>
      <c r="G17" s="19" t="n"/>
      <c r="H17" s="20" t="n">
        <v>46014</v>
      </c>
      <c r="I17" s="20" t="n"/>
      <c r="J17" s="21" t="n">
        <v>2025</v>
      </c>
      <c r="K17" s="19" t="inlineStr">
        <is>
          <t>Merger/Acquisition</t>
        </is>
      </c>
      <c r="L17" s="19" t="n"/>
      <c r="M17" s="19" t="inlineStr">
        <is>
          <t>Completed</t>
        </is>
      </c>
      <c r="N17" s="22" t="n">
        <v>1950</v>
      </c>
      <c r="O17" s="18" t="inlineStr">
        <is>
          <t>USD</t>
        </is>
      </c>
      <c r="P17" s="50" t="n">
        <v>1.95</v>
      </c>
      <c r="R17" s="37" t="n"/>
      <c r="S17" s="22" t="n"/>
      <c r="T17" s="37" t="n">
        <v>1.95</v>
      </c>
      <c r="U17" s="22" t="n">
        <v>1000</v>
      </c>
      <c r="V17" s="19" t="n"/>
      <c r="W17" s="22" t="n">
        <v>1950</v>
      </c>
      <c r="X17" s="19" t="inlineStr">
        <is>
          <t>The company was acquired by Dycom Industries (NYS: DY) for an estimated $1.95 billion on December 23, 2025. The purchase consideration comprised of approximately $1.63 billion of cash, including an estimated working capital adjustment, and approximately 1.0 million shares of Dycom common stock. With this acquisition, Dycom Industries diversifies its business and significantly enhances the potential to generate long-term growth and value creation.</t>
        </is>
      </c>
      <c r="Y17" s="19" t="inlineStr">
        <is>
          <t>Corporate Backed or Acquired</t>
        </is>
      </c>
      <c r="Z17" s="19" t="inlineStr">
        <is>
          <t>Generating Revenue</t>
        </is>
      </c>
      <c r="AA17" s="19" t="inlineStr">
        <is>
          <t>Dycom Industries (NYS: DY) (Daniel Peyovich)</t>
        </is>
      </c>
      <c r="AB17" s="19" t="inlineStr">
        <is>
          <t>Construction and Engineering</t>
        </is>
      </c>
      <c r="AC17" s="19" t="n"/>
      <c r="AD17" s="19" t="inlineStr">
        <is>
          <t>Provider of electrical contracting services for mission-critical environments based in Bowie, Maryland. The company offers designing, building, construction, testing, and maintenance services for hospitals, data centers, medical laboratories, telecommunications centers, and government and military institutions.</t>
        </is>
      </c>
      <c r="AE17" s="19" t="inlineStr">
        <is>
          <t>Bowie, MD</t>
        </is>
      </c>
      <c r="AF17" s="19" t="inlineStr">
        <is>
          <t>powersolutions-llc.com</t>
        </is>
      </c>
    </row>
    <row r="18" ht="42" customHeight="1">
      <c r="A18" s="12" t="inlineStr">
        <is>
          <t>USA-017</t>
        </is>
      </c>
      <c r="B18" s="12" t="inlineStr">
        <is>
          <t>USA</t>
        </is>
      </c>
      <c r="C18" s="12" t="inlineStr">
        <is>
          <t>USA</t>
        </is>
      </c>
      <c r="D18" s="13" t="inlineStr">
        <is>
          <t>CAES</t>
        </is>
      </c>
      <c r="E18" s="13" t="inlineStr">
        <is>
          <t>Honeywell</t>
        </is>
      </c>
      <c r="F18" s="12" t="n"/>
      <c r="G18" s="13" t="n"/>
      <c r="H18" s="14" t="n">
        <v>45534</v>
      </c>
      <c r="I18" s="14" t="n"/>
      <c r="J18" s="15" t="n">
        <v>2024</v>
      </c>
      <c r="K18" s="13" t="inlineStr">
        <is>
          <t>Merger/Acquisition</t>
        </is>
      </c>
      <c r="L18" s="13" t="n"/>
      <c r="M18" s="13" t="inlineStr">
        <is>
          <t>Completed</t>
        </is>
      </c>
      <c r="N18" s="16" t="n">
        <v>1930</v>
      </c>
      <c r="O18" s="12" t="inlineStr">
        <is>
          <t>USD</t>
        </is>
      </c>
      <c r="R18" s="36" t="n"/>
      <c r="S18" s="16" t="n"/>
      <c r="T18" s="36" t="n"/>
      <c r="U18" s="16" t="n"/>
      <c r="V18" s="13" t="inlineStr">
        <is>
          <t>Corporate Divestiture</t>
        </is>
      </c>
      <c r="W18" s="16" t="n">
        <v>1930</v>
      </c>
      <c r="X18" s="13" t="inlineStr">
        <is>
          <t>The company, a subsidiary of Cobham was acquired by Honeywell (NAS: HON) for $1.930 billion on August 30, 2024. The acquisition enhances Honeywell's defense technology solutions across land, sea, air and space, including new electromagnetic defense solutions for end-to-end radio frequency (RF) signal management.</t>
        </is>
      </c>
      <c r="Y18" s="13" t="inlineStr">
        <is>
          <t>Corporate Backed or Acquired</t>
        </is>
      </c>
      <c r="Z18" s="13" t="inlineStr">
        <is>
          <t>Generating Revenue</t>
        </is>
      </c>
      <c r="AA18" s="13" t="inlineStr">
        <is>
          <t>Honeywell (NAS: HON) (Vimal Kapur)</t>
        </is>
      </c>
      <c r="AB18" s="13" t="inlineStr">
        <is>
          <t>Aerospace and Defense</t>
        </is>
      </c>
      <c r="AC18" s="13" t="inlineStr">
        <is>
          <t>Manufacturing</t>
        </is>
      </c>
      <c r="AD18" s="13" t="inlineStr">
        <is>
          <t>Manufacturer of advanced electronics intended to support critical missions in the aerospace and defense industry. The company offers products such as antennas, missile flight instrumentation, precision positioning systems, RF assemblies and subsystems, RF microwaves and components.</t>
        </is>
      </c>
      <c r="AE18" s="13" t="inlineStr">
        <is>
          <t>Arlington, VA</t>
        </is>
      </c>
      <c r="AF18" s="13" t="inlineStr">
        <is>
          <t>caes.com</t>
        </is>
      </c>
    </row>
    <row r="19" ht="42" customHeight="1">
      <c r="A19" s="18" t="inlineStr">
        <is>
          <t>USA-018</t>
        </is>
      </c>
      <c r="B19" s="18" t="inlineStr">
        <is>
          <t>USA</t>
        </is>
      </c>
      <c r="C19" s="18" t="inlineStr">
        <is>
          <t>USA</t>
        </is>
      </c>
      <c r="D19" s="19" t="inlineStr">
        <is>
          <t>Collins Aerospace (Flight Control and Actuation Business)</t>
        </is>
      </c>
      <c r="E19" s="19" t="inlineStr">
        <is>
          <t>Safran</t>
        </is>
      </c>
      <c r="F19" s="18" t="n"/>
      <c r="G19" s="19" t="n"/>
      <c r="H19" s="20" t="n">
        <v>45859</v>
      </c>
      <c r="I19" s="20" t="n"/>
      <c r="J19" s="21" t="n">
        <v>2025</v>
      </c>
      <c r="K19" s="19" t="inlineStr">
        <is>
          <t>Merger/Acquisition</t>
        </is>
      </c>
      <c r="L19" s="19" t="n"/>
      <c r="M19" s="19" t="inlineStr">
        <is>
          <t>Completed</t>
        </is>
      </c>
      <c r="N19" s="22" t="n">
        <v>1800</v>
      </c>
      <c r="O19" s="18" t="inlineStr">
        <is>
          <t>USD</t>
        </is>
      </c>
      <c r="R19" s="37" t="n"/>
      <c r="S19" s="22" t="n"/>
      <c r="T19" s="37" t="n"/>
      <c r="U19" s="22" t="n"/>
      <c r="V19" s="19" t="inlineStr">
        <is>
          <t>Corporate Divestiture</t>
        </is>
      </c>
      <c r="W19" s="22" t="n">
        <v>1800</v>
      </c>
      <c r="X19" s="19" t="inlineStr">
        <is>
          <t>The company was acquired by Safran (Paris) (PAR: SAF) for $1.8 billion on July 21, 2025.</t>
        </is>
      </c>
      <c r="Y19" s="19" t="inlineStr">
        <is>
          <t>Corporate Backed or Acquired</t>
        </is>
      </c>
      <c r="Z19" s="19" t="inlineStr">
        <is>
          <t>Generating Revenue</t>
        </is>
      </c>
      <c r="AA19" s="19" t="inlineStr">
        <is>
          <t>Safran (Paris) (PAR: SAF)</t>
        </is>
      </c>
      <c r="AB19" s="19" t="inlineStr">
        <is>
          <t>Aerospace and Defense</t>
        </is>
      </c>
      <c r="AC19" s="19" t="inlineStr">
        <is>
          <t>Manufacturing</t>
        </is>
      </c>
      <c r="AD19" s="19" t="inlineStr">
        <is>
          <t>Manufacturer of flight controls, high-lift systems, nacelle and stabilizer actuators intended for commercial and business aviation aircraft.</t>
        </is>
      </c>
      <c r="AE19" s="19" t="inlineStr">
        <is>
          <t>Arlington, VA</t>
        </is>
      </c>
      <c r="AF19" s="19" t="n"/>
    </row>
    <row r="20" ht="42" customHeight="1">
      <c r="A20" s="12" t="inlineStr">
        <is>
          <t>USA-019</t>
        </is>
      </c>
      <c r="B20" s="12" t="inlineStr">
        <is>
          <t>USA</t>
        </is>
      </c>
      <c r="C20" s="12" t="inlineStr">
        <is>
          <t>USA</t>
        </is>
      </c>
      <c r="D20" s="13" t="inlineStr">
        <is>
          <t>Consolidated Aerospace Manufacturing</t>
        </is>
      </c>
      <c r="E20" s="13" t="inlineStr">
        <is>
          <t>Howmet Aerospace</t>
        </is>
      </c>
      <c r="F20" s="12" t="n"/>
      <c r="G20" s="13" t="n"/>
      <c r="H20" s="14" t="n">
        <v>46118</v>
      </c>
      <c r="I20" s="14" t="n"/>
      <c r="J20" s="15" t="n">
        <v>2026</v>
      </c>
      <c r="K20" s="13" t="inlineStr">
        <is>
          <t>Merger/Acquisition</t>
        </is>
      </c>
      <c r="L20" s="13" t="n"/>
      <c r="M20" s="13" t="inlineStr">
        <is>
          <t>Completed</t>
        </is>
      </c>
      <c r="N20" s="16" t="n">
        <v>1800</v>
      </c>
      <c r="O20" s="12" t="inlineStr">
        <is>
          <t>USD</t>
        </is>
      </c>
      <c r="P20" s="50" t="n">
        <v>4.39</v>
      </c>
      <c r="R20" s="36" t="n"/>
      <c r="S20" s="16" t="n"/>
      <c r="T20" s="36" t="n">
        <v>4.39</v>
      </c>
      <c r="U20" s="16" t="n">
        <v>410</v>
      </c>
      <c r="V20" s="13" t="inlineStr">
        <is>
          <t>Corporate Divestiture</t>
        </is>
      </c>
      <c r="W20" s="16" t="n">
        <v>1800</v>
      </c>
      <c r="X20" s="13" t="inlineStr">
        <is>
          <t>The company, a subsidiary of Stanley Black &amp; Decker (NYS: SWK), was acquired by Howmet Aerospace (NYS: HWM) for $1.80 billion on April 6, 2026.</t>
        </is>
      </c>
      <c r="Y20" s="13" t="inlineStr">
        <is>
          <t>Formerly PE-Backed</t>
        </is>
      </c>
      <c r="Z20" s="13" t="inlineStr">
        <is>
          <t>Generating Revenue</t>
        </is>
      </c>
      <c r="AA20" s="13" t="inlineStr">
        <is>
          <t>Howmet Aerospace (NYS: HWM) (John Plant)</t>
        </is>
      </c>
      <c r="AB20" s="13" t="inlineStr">
        <is>
          <t>Aerospace and Defense</t>
        </is>
      </c>
      <c r="AC20" s="13" t="inlineStr">
        <is>
          <t>Industrials, Manufacturing</t>
        </is>
      </c>
      <c r="AD20" s="13" t="inlineStr">
        <is>
          <t>Manufacturer of fitting systems and supplying components catering to the aerospace industry. The company's systems and products include high and low-pressure fluid fittings, precision-machined hardware, fasteners, fitting systems, and allied components for the aerospace, marine, nuclear, and other critical industries.</t>
        </is>
      </c>
      <c r="AE20" s="13" t="inlineStr">
        <is>
          <t>Brea, CA</t>
        </is>
      </c>
      <c r="AF20" s="13" t="inlineStr">
        <is>
          <t>www.camaerospace.com</t>
        </is>
      </c>
    </row>
    <row r="21" ht="42" customHeight="1">
      <c r="A21" s="18" t="inlineStr">
        <is>
          <t>USA-020</t>
        </is>
      </c>
      <c r="B21" s="18" t="inlineStr">
        <is>
          <t>USA</t>
        </is>
      </c>
      <c r="C21" s="18" t="inlineStr">
        <is>
          <t>USA</t>
        </is>
      </c>
      <c r="D21" s="19" t="inlineStr">
        <is>
          <t>StandardAero (NYS: SARO)</t>
        </is>
      </c>
      <c r="E21" s="19" t="n"/>
      <c r="F21" s="18" t="n"/>
      <c r="G21" s="19" t="n"/>
      <c r="H21" s="20" t="n">
        <v>45567</v>
      </c>
      <c r="I21" s="20" t="n"/>
      <c r="J21" s="21" t="n">
        <v>2024</v>
      </c>
      <c r="K21" s="19" t="inlineStr">
        <is>
          <t>IPO</t>
        </is>
      </c>
      <c r="L21" s="19" t="n"/>
      <c r="M21" s="19" t="inlineStr">
        <is>
          <t>Completed</t>
        </is>
      </c>
      <c r="N21" s="22" t="n">
        <v>1440</v>
      </c>
      <c r="O21" s="18" t="inlineStr">
        <is>
          <t>USD</t>
        </is>
      </c>
      <c r="R21" s="37" t="n">
        <v>2.54</v>
      </c>
      <c r="S21" s="22" t="n">
        <v>567.8099999999999</v>
      </c>
      <c r="T21" s="37" t="n">
        <v>0.29</v>
      </c>
      <c r="U21" s="22" t="n">
        <v>4985.32</v>
      </c>
      <c r="V21" s="19" t="n"/>
      <c r="W21" s="22" t="n">
        <v>8027.08</v>
      </c>
      <c r="X21" s="19" t="inlineStr">
        <is>
          <t>The company raised $1.44 billion in its initial public offering on the New York Stock Exchange under the ticker symbol of SARO on October 2, 2024. A total of 60,000,000 shares were sold at $24 per share. After the offering, there was a total of 334,461,630 outstanding shares (excluding the over-allotment option) priced at $24 per share, valuing the company at $8.03 billion. The total proceeds, before expenses, to the company was $1.28 billion and to the selling shareholders was $162 million. In the offering, the company sold 53,250,000 shares and the selling shareholders sold 6,750,000 shares. The underwriters were granted an option to purchase up to an additional 9,000,000 shares from the selling shareholders to cover over-allotments, if any.</t>
        </is>
      </c>
      <c r="Y21" s="19" t="inlineStr">
        <is>
          <t>Private Equity-Backed</t>
        </is>
      </c>
      <c r="Z21" s="19" t="inlineStr">
        <is>
          <t>Generating Revenue</t>
        </is>
      </c>
      <c r="AA21" s="19" t="n"/>
      <c r="AB21" s="19" t="inlineStr">
        <is>
          <t>Aerospace and Defense</t>
        </is>
      </c>
      <c r="AC21" s="19" t="inlineStr">
        <is>
          <t>Industrials</t>
        </is>
      </c>
      <c r="AD21" s="19" t="inlineStr">
        <is>
          <t>StandardAero is one of the largest independent providers of maintenance, repair, and overhaul services for aircraft engines. It supports leading engine platforms in the commercial, military, and business jet end markets, securing licenses from original equipment manufacturers to perform work on their respective engine families. The company organizes itself into two reportable segments: engine services and component repair Services. As a go-to MRO partner for both engine manufacturers and aircraft operators, StandardAero operates a global network of service facilities, with most of its revenue generated in North America and Europe.</t>
        </is>
      </c>
      <c r="AE21" s="19" t="inlineStr">
        <is>
          <t>Scottsdale, AZ</t>
        </is>
      </c>
      <c r="AF21" s="19" t="inlineStr">
        <is>
          <t>www.standardaero.com</t>
        </is>
      </c>
    </row>
    <row r="22" ht="42" customHeight="1">
      <c r="A22" s="12" t="inlineStr">
        <is>
          <t>USA-021</t>
        </is>
      </c>
      <c r="B22" s="12" t="inlineStr">
        <is>
          <t>USA</t>
        </is>
      </c>
      <c r="C22" s="12" t="inlineStr">
        <is>
          <t>USA</t>
        </is>
      </c>
      <c r="D22" s="13" t="inlineStr">
        <is>
          <t>CPI Electron Device Business</t>
        </is>
      </c>
      <c r="E22" s="13" t="inlineStr">
        <is>
          <t>TransDigm Group</t>
        </is>
      </c>
      <c r="F22" s="12" t="n"/>
      <c r="G22" s="13" t="n"/>
      <c r="H22" s="14" t="n">
        <v>45449</v>
      </c>
      <c r="I22" s="14" t="n"/>
      <c r="J22" s="15" t="n">
        <v>2024</v>
      </c>
      <c r="K22" s="13" t="inlineStr">
        <is>
          <t>Merger/Acquisition</t>
        </is>
      </c>
      <c r="L22" s="13" t="n"/>
      <c r="M22" s="13" t="inlineStr">
        <is>
          <t>Completed</t>
        </is>
      </c>
      <c r="N22" s="16" t="n">
        <v>1385</v>
      </c>
      <c r="O22" s="12" t="inlineStr">
        <is>
          <t>USD</t>
        </is>
      </c>
      <c r="R22" s="36" t="n"/>
      <c r="S22" s="16" t="n"/>
      <c r="T22" s="36" t="n"/>
      <c r="U22" s="16" t="n"/>
      <c r="V22" s="13" t="inlineStr">
        <is>
          <t>Corporate Divestiture</t>
        </is>
      </c>
      <c r="W22" s="16" t="n">
        <v>1385</v>
      </c>
      <c r="X22" s="13" t="inlineStr">
        <is>
          <t>The company, a subsidiary of CPI International, was acquired by TransDigm Group (NYS: TDG) for an estimated $1.385 billion on June 6, 2024.</t>
        </is>
      </c>
      <c r="Y22" s="13" t="inlineStr">
        <is>
          <t>Corporate Backed or Acquired</t>
        </is>
      </c>
      <c r="Z22" s="13" t="inlineStr">
        <is>
          <t>Generating Revenue</t>
        </is>
      </c>
      <c r="AA22" s="13" t="inlineStr">
        <is>
          <t>TransDigm Group (NYS: TDG) (Kevin Stein)</t>
        </is>
      </c>
      <c r="AB22" s="13" t="inlineStr">
        <is>
          <t>Aerospace and Defense</t>
        </is>
      </c>
      <c r="AC22" s="13" t="inlineStr">
        <is>
          <t>Manufacturing</t>
        </is>
      </c>
      <c r="AD22" s="13" t="inlineStr">
        <is>
          <t>Manufacturer of electronic components and subsystems primarily serving the aerospace and defense market.</t>
        </is>
      </c>
      <c r="AE22" s="13" t="inlineStr">
        <is>
          <t>Beverly, MA</t>
        </is>
      </c>
      <c r="AF22" s="13" t="inlineStr">
        <is>
          <t>www.cpi-edb.com</t>
        </is>
      </c>
    </row>
    <row r="23" ht="42" customHeight="1">
      <c r="A23" s="18" t="inlineStr">
        <is>
          <t>USA-022</t>
        </is>
      </c>
      <c r="B23" s="18" t="inlineStr">
        <is>
          <t>USA</t>
        </is>
      </c>
      <c r="C23" s="18" t="inlineStr">
        <is>
          <t>USA</t>
        </is>
      </c>
      <c r="D23" s="19" t="inlineStr">
        <is>
          <t>Applied Technical Services (Georgia)</t>
        </is>
      </c>
      <c r="E23" s="19" t="inlineStr">
        <is>
          <t>SGS</t>
        </is>
      </c>
      <c r="F23" s="18" t="n"/>
      <c r="G23" s="19" t="n"/>
      <c r="H23" s="20" t="n">
        <v>46034</v>
      </c>
      <c r="I23" s="20" t="n"/>
      <c r="J23" s="21" t="n">
        <v>2026</v>
      </c>
      <c r="K23" s="19" t="inlineStr">
        <is>
          <t>Merger/Acquisition</t>
        </is>
      </c>
      <c r="L23" s="19" t="n"/>
      <c r="M23" s="19" t="inlineStr">
        <is>
          <t>Completed</t>
        </is>
      </c>
      <c r="N23" s="22" t="n">
        <v>1336.77</v>
      </c>
      <c r="O23" s="18" t="inlineStr">
        <is>
          <t>USD</t>
        </is>
      </c>
      <c r="R23" s="37" t="n"/>
      <c r="S23" s="22" t="n"/>
      <c r="T23" s="37" t="n"/>
      <c r="U23" s="22" t="n"/>
      <c r="V23" s="19" t="n"/>
      <c r="W23" s="22" t="n">
        <v>1336.77</v>
      </c>
      <c r="X23" s="19" t="inlineStr">
        <is>
          <t>The company was acquired by SGS (SWX: SGSN) for CHF 1.062 billion on January 12, 2026.</t>
        </is>
      </c>
      <c r="Y23" s="19" t="inlineStr">
        <is>
          <t>Formerly PE-Backed</t>
        </is>
      </c>
      <c r="Z23" s="19" t="inlineStr">
        <is>
          <t>Generating Revenue</t>
        </is>
      </c>
      <c r="AA23" s="19" t="inlineStr">
        <is>
          <t>SGS (SWX: SGSN) (Geraldine Picaud)</t>
        </is>
      </c>
      <c r="AB23" s="19" t="inlineStr">
        <is>
          <t>Other Commercial Services</t>
        </is>
      </c>
      <c r="AC23" s="19" t="n"/>
      <c r="AD23" s="19" t="inlineStr">
        <is>
          <t>Provider of consulting engineering, testing, and inspection services serving aerospace, automotive, construction, defense, manufacturing, and nuclear industries. The company specializes in uncovering facts in metallurgy and materials testing, chemical analysis, non-destructive testing, forensic and consulting engineering, fire and explosion investigations, and calibration services, enabling clients to get required advice and consultations on industrial projects.</t>
        </is>
      </c>
      <c r="AE23" s="19" t="inlineStr">
        <is>
          <t>Marietta, GA</t>
        </is>
      </c>
      <c r="AF23" s="19" t="inlineStr">
        <is>
          <t>www.atslab.com</t>
        </is>
      </c>
    </row>
    <row r="24" ht="42" customHeight="1">
      <c r="A24" s="12" t="inlineStr">
        <is>
          <t>USA-023</t>
        </is>
      </c>
      <c r="B24" s="12" t="inlineStr">
        <is>
          <t>USA</t>
        </is>
      </c>
      <c r="C24" s="12" t="inlineStr">
        <is>
          <t>USA</t>
        </is>
      </c>
      <c r="D24" s="13" t="inlineStr">
        <is>
          <t>Azure Summit Technology</t>
        </is>
      </c>
      <c r="E24" s="13" t="inlineStr">
        <is>
          <t>CACI International</t>
        </is>
      </c>
      <c r="F24" s="12" t="n"/>
      <c r="G24" s="13" t="n"/>
      <c r="H24" s="14" t="n">
        <v>45595</v>
      </c>
      <c r="I24" s="14" t="n"/>
      <c r="J24" s="15" t="n">
        <v>2024</v>
      </c>
      <c r="K24" s="13" t="inlineStr">
        <is>
          <t>Merger/Acquisition</t>
        </is>
      </c>
      <c r="L24" s="13" t="n"/>
      <c r="M24" s="13" t="inlineStr">
        <is>
          <t>Completed</t>
        </is>
      </c>
      <c r="N24" s="16" t="n">
        <v>1310.2</v>
      </c>
      <c r="O24" s="12" t="inlineStr">
        <is>
          <t>USD</t>
        </is>
      </c>
      <c r="R24" s="36" t="n"/>
      <c r="S24" s="16" t="n"/>
      <c r="T24" s="36" t="n"/>
      <c r="U24" s="16" t="n"/>
      <c r="V24" s="13" t="n"/>
      <c r="W24" s="16" t="n">
        <v>1310.2</v>
      </c>
      <c r="X24" s="13" t="inlineStr">
        <is>
          <t>The company was acquired by CACI International (NYS: CACI) for $1.31 billion on October 30, 2024. The acquisition is compelling both strategically and financially and enhances CACI International offerings in areas of enduring national security priorities and also brings an installed base of fielded mature technology.</t>
        </is>
      </c>
      <c r="Y24" s="13" t="inlineStr">
        <is>
          <t>Corporate Backed or Acquired</t>
        </is>
      </c>
      <c r="Z24" s="13" t="inlineStr">
        <is>
          <t>Generating Revenue</t>
        </is>
      </c>
      <c r="AA24" s="13" t="inlineStr">
        <is>
          <t>CACI International (NYS: CACI) (John Mengucci)</t>
        </is>
      </c>
      <c r="AB24" s="13" t="inlineStr">
        <is>
          <t>Aerospace and Defense</t>
        </is>
      </c>
      <c r="AC24" s="13" t="n"/>
      <c r="AD24" s="13" t="inlineStr">
        <is>
          <t>Operator of an RF engineering company intended to serve the defense, wireless communication, open architecture, Satcom, radio astronomy, spectrum monitoring and critical asset protection sectors. The company provides a wide range of multi-channel software-defined radio solutions for applications including wireless communication, critical asset protection, satellite communications, spectral monitoring and analysis, radio astronomy and defense systems that can be tailored to meet a variety of requirements for bandwidth, dynamic range, number of channels and computational resources, to deliver cutting-edge solutions for its customers.</t>
        </is>
      </c>
      <c r="AE24" s="13" t="inlineStr">
        <is>
          <t>Fairfax, VA</t>
        </is>
      </c>
      <c r="AF24" s="13" t="inlineStr">
        <is>
          <t>www.azuresummit.com</t>
        </is>
      </c>
    </row>
    <row r="25" ht="42" customHeight="1">
      <c r="A25" s="18" t="inlineStr">
        <is>
          <t>USA-024</t>
        </is>
      </c>
      <c r="B25" s="18" t="inlineStr">
        <is>
          <t>USA</t>
        </is>
      </c>
      <c r="C25" s="18" t="inlineStr">
        <is>
          <t>USA</t>
        </is>
      </c>
      <c r="D25" s="19" t="inlineStr">
        <is>
          <t>Belcan</t>
        </is>
      </c>
      <c r="E25" s="19" t="inlineStr">
        <is>
          <t>Cognizant Technology Solutions</t>
        </is>
      </c>
      <c r="F25" s="18" t="n"/>
      <c r="G25" s="19" t="n"/>
      <c r="H25" s="20" t="n">
        <v>45530</v>
      </c>
      <c r="I25" s="20" t="n"/>
      <c r="J25" s="21" t="n">
        <v>2024</v>
      </c>
      <c r="K25" s="19" t="inlineStr">
        <is>
          <t>Merger/Acquisition</t>
        </is>
      </c>
      <c r="L25" s="19" t="n"/>
      <c r="M25" s="19" t="inlineStr">
        <is>
          <t>Completed</t>
        </is>
      </c>
      <c r="N25" s="22" t="n">
        <v>1308</v>
      </c>
      <c r="O25" s="18" t="inlineStr">
        <is>
          <t>USD</t>
        </is>
      </c>
      <c r="P25" s="50" t="n">
        <v>1.64</v>
      </c>
      <c r="R25" s="37" t="n"/>
      <c r="S25" s="22" t="n"/>
      <c r="T25" s="37" t="n">
        <v>1.64</v>
      </c>
      <c r="U25" s="22" t="n">
        <v>800</v>
      </c>
      <c r="V25" s="19" t="n"/>
      <c r="W25" s="22" t="n">
        <v>1308</v>
      </c>
      <c r="X25" s="19" t="inlineStr">
        <is>
          <t>The company was acquired by Cognizant Technology Solutions (NAS: CTSH) for $1.308 billion on August 26, 2024. The acquisition strengthens Cognizant's engineering capabilities, builds on its leadership in the Internet of Things (IoT) and Digital Engineering practice areas, and increases its presence in the high-growth aerospace and defense (A&amp;D) services market. As a part of the transaction, the company paid $1,195 million in cash, net of cash acquired, and issued 1,470,589 shares of our Class A common stock, valued at $113 million.</t>
        </is>
      </c>
      <c r="Y25" s="19" t="inlineStr">
        <is>
          <t>Formerly PE-Backed</t>
        </is>
      </c>
      <c r="Z25" s="19" t="inlineStr">
        <is>
          <t>Generating Revenue</t>
        </is>
      </c>
      <c r="AA25" s="19" t="inlineStr">
        <is>
          <t>Cognizant Technology Solutions (NAS: CTSH) (Ravi Kumar Singisetti)</t>
        </is>
      </c>
      <c r="AB25" s="19" t="inlineStr">
        <is>
          <t>Human Capital Services</t>
        </is>
      </c>
      <c r="AC25" s="19" t="n"/>
      <c r="AD25" s="19" t="inlineStr">
        <is>
          <t>Provider of engineering project management and technical staffing services intended to serve the aerospace, automotive, industrial, pharmaceutical, electronics, and government sectors. The company is engaged in providing engineering consultancy, supply chain services, data analytics, and technical recruiting services with the support of an experienced team of employees, enabling clients to get services that are flexible, scalable, and cost-effective.</t>
        </is>
      </c>
      <c r="AE25" s="19" t="inlineStr">
        <is>
          <t>Cincinnati, OH</t>
        </is>
      </c>
      <c r="AF25" s="19" t="inlineStr">
        <is>
          <t>www.belcan.com</t>
        </is>
      </c>
    </row>
    <row r="26" ht="42" customHeight="1">
      <c r="A26" s="12" t="inlineStr">
        <is>
          <t>USA-025</t>
        </is>
      </c>
      <c r="B26" s="12" t="inlineStr">
        <is>
          <t>USA</t>
        </is>
      </c>
      <c r="C26" s="12" t="inlineStr">
        <is>
          <t>USA</t>
        </is>
      </c>
      <c r="D26" s="13" t="inlineStr">
        <is>
          <t>Arxis (NAS: ARXS)</t>
        </is>
      </c>
      <c r="E26" s="13" t="n"/>
      <c r="F26" s="12" t="n"/>
      <c r="G26" s="13" t="n"/>
      <c r="H26" s="14" t="n">
        <v>46128</v>
      </c>
      <c r="I26" s="14" t="n"/>
      <c r="J26" s="15" t="n">
        <v>2026</v>
      </c>
      <c r="K26" s="13" t="inlineStr">
        <is>
          <t>IPO</t>
        </is>
      </c>
      <c r="L26" s="13" t="n"/>
      <c r="M26" s="13" t="inlineStr">
        <is>
          <t>Completed</t>
        </is>
      </c>
      <c r="N26" s="16" t="n">
        <v>1134</v>
      </c>
      <c r="O26" s="12" t="inlineStr">
        <is>
          <t>USD</t>
        </is>
      </c>
      <c r="R26" s="36" t="n">
        <v>3.08</v>
      </c>
      <c r="S26" s="16" t="n">
        <v>368.05</v>
      </c>
      <c r="T26" s="36" t="n">
        <v>0.68</v>
      </c>
      <c r="U26" s="16" t="n">
        <v>1679.85</v>
      </c>
      <c r="V26" s="13" t="n"/>
      <c r="W26" s="16" t="n">
        <v>11321.26</v>
      </c>
      <c r="X26" s="13" t="inlineStr">
        <is>
          <t>The company raised $1.13 billion in its initial public offering on the Nasdaq stock exchange under the ticker symbol of ARXS on April 16, 2026. A total of 40,500,000 class A shares (excluding the over-allotment option) were sold at $28 per class A share. After the offering, there was a total of 404,330,766 outstanding shares (excluding the over-allotment option) priced at $28 per share, valuing the company at $11.32 billion. The underwriters were granted an option to purchase up to an additional 6,075,000 class A shares from the company to cover over-allotments, if any.</t>
        </is>
      </c>
      <c r="Y26" s="13" t="inlineStr">
        <is>
          <t>Private Equity-Backed</t>
        </is>
      </c>
      <c r="Z26" s="13" t="inlineStr">
        <is>
          <t>Profitable</t>
        </is>
      </c>
      <c r="AA26" s="13" t="n"/>
      <c r="AB26" s="13" t="inlineStr">
        <is>
          <t>Electrical Equipment</t>
        </is>
      </c>
      <c r="AC26" s="13" t="inlineStr">
        <is>
          <t>Manufacturing</t>
        </is>
      </c>
      <c r="AD26" s="13" t="inlineStr">
        <is>
          <t>Arxis Inc designs and manufactures proprietary electronic and mechanical components used in applications that require performance in extreme environments. The company operates in two reportable segments: i) Electronic Components: It provides specialized, engineered electronic components and interconnect solutions, including connectors, cable assemblies, microelectronic packaging, RF and microwave products, power products, sensors, capacitors and resistors. and ii) Mechanical Components: It provides precision and self-lubricating bearings, seals, springs, gaskets and ducting, and radar absorbing materials. The majority of the company's revenue is derived from the Mechanical Components segment. Geographically, it generates the maximum revenue from the United States.</t>
        </is>
      </c>
      <c r="AE26" s="13" t="inlineStr">
        <is>
          <t>Bloomfield, CT</t>
        </is>
      </c>
      <c r="AF26" s="13" t="inlineStr">
        <is>
          <t>www.arxis.com</t>
        </is>
      </c>
    </row>
    <row r="27" ht="42" customHeight="1">
      <c r="A27" s="18" t="inlineStr">
        <is>
          <t>USA-026</t>
        </is>
      </c>
      <c r="B27" s="18" t="inlineStr">
        <is>
          <t>USA</t>
        </is>
      </c>
      <c r="C27" s="18" t="inlineStr">
        <is>
          <t>USA</t>
        </is>
      </c>
      <c r="D27" s="19" t="inlineStr">
        <is>
          <t>Edge Autonomy</t>
        </is>
      </c>
      <c r="E27" s="19" t="inlineStr">
        <is>
          <t>Redwire</t>
        </is>
      </c>
      <c r="F27" s="18" t="n"/>
      <c r="G27" s="19" t="n"/>
      <c r="H27" s="20" t="n">
        <v>45821</v>
      </c>
      <c r="I27" s="20" t="n"/>
      <c r="J27" s="21" t="n">
        <v>2025</v>
      </c>
      <c r="K27" s="19" t="inlineStr">
        <is>
          <t>Merger/Acquisition</t>
        </is>
      </c>
      <c r="L27" s="19" t="n"/>
      <c r="M27" s="19" t="inlineStr">
        <is>
          <t>Completed</t>
        </is>
      </c>
      <c r="N27" s="22" t="n">
        <v>1024.73</v>
      </c>
      <c r="O27" s="18" t="inlineStr">
        <is>
          <t>USD</t>
        </is>
      </c>
      <c r="P27" s="50" t="n">
        <v>5.26</v>
      </c>
      <c r="R27" s="37" t="n"/>
      <c r="S27" s="22" t="n"/>
      <c r="T27" s="37" t="n">
        <v>5.26</v>
      </c>
      <c r="U27" s="22" t="n">
        <v>195</v>
      </c>
      <c r="V27" s="19" t="n"/>
      <c r="W27" s="22" t="n">
        <v>1024.73</v>
      </c>
      <c r="X27" s="19" t="inlineStr">
        <is>
          <t>The company was acquired by Redwire (NYS: RDW) for $1.025 billion on June 13, 2025.</t>
        </is>
      </c>
      <c r="Y27" s="19" t="inlineStr">
        <is>
          <t>Formerly PE-Backed</t>
        </is>
      </c>
      <c r="Z27" s="19" t="inlineStr">
        <is>
          <t>Generating Revenue</t>
        </is>
      </c>
      <c r="AA27" s="19" t="inlineStr">
        <is>
          <t>Redwire (NYS: RDW) (Peter Cannito)</t>
        </is>
      </c>
      <c r="AB27" s="19" t="inlineStr">
        <is>
          <t>Aerospace and Defense</t>
        </is>
      </c>
      <c r="AC27" s="19" t="inlineStr">
        <is>
          <t>Manufacturing, Robotics and Drones</t>
        </is>
      </c>
      <c r="AD27" s="19" t="inlineStr">
        <is>
          <t>Manufacturer of unmanned aircraft vehicles intended for the government and private companies including the navy and aerospace. The company specializes in autonomous flight control software, avionics, ground control station software, systems integration, design engineering, imaging payloads and airframe fabrication, providing endurance and performance of a diverse set of customer missions in challenging environments with minimal requirements on the ground.</t>
        </is>
      </c>
      <c r="AE27" s="19" t="inlineStr">
        <is>
          <t>San Luis Obispo, CA</t>
        </is>
      </c>
      <c r="AF27" s="19" t="inlineStr">
        <is>
          <t>www.edgeautonomy.io</t>
        </is>
      </c>
    </row>
    <row r="28" ht="42" customHeight="1">
      <c r="A28" s="12" t="inlineStr">
        <is>
          <t>USA-027</t>
        </is>
      </c>
      <c r="B28" s="12" t="inlineStr">
        <is>
          <t>USA</t>
        </is>
      </c>
      <c r="C28" s="12" t="inlineStr">
        <is>
          <t>USA</t>
        </is>
      </c>
      <c r="D28" s="13" t="inlineStr">
        <is>
          <t>FARO Technologies</t>
        </is>
      </c>
      <c r="E28" s="13" t="inlineStr">
        <is>
          <t>AMETEK</t>
        </is>
      </c>
      <c r="F28" s="12" t="n"/>
      <c r="G28" s="13" t="n"/>
      <c r="H28" s="14" t="n">
        <v>45859</v>
      </c>
      <c r="I28" s="14" t="n"/>
      <c r="J28" s="15" t="n">
        <v>2025</v>
      </c>
      <c r="K28" s="13" t="inlineStr">
        <is>
          <t>Merger/Acquisition</t>
        </is>
      </c>
      <c r="L28" s="13" t="n"/>
      <c r="M28" s="13" t="inlineStr">
        <is>
          <t>Completed</t>
        </is>
      </c>
      <c r="N28" s="16" t="n">
        <v>1023.7</v>
      </c>
      <c r="O28" s="12" t="inlineStr">
        <is>
          <t>USD</t>
        </is>
      </c>
      <c r="P28" s="50" t="n">
        <v>2.45</v>
      </c>
      <c r="Q28" s="50" t="n">
        <v>30.22</v>
      </c>
      <c r="R28" s="36" t="n">
        <v>37.05</v>
      </c>
      <c r="S28" s="16" t="n">
        <v>27.63</v>
      </c>
      <c r="T28" s="36" t="n">
        <v>3</v>
      </c>
      <c r="U28" s="16" t="n">
        <v>341.05</v>
      </c>
      <c r="V28" s="13" t="inlineStr">
        <is>
          <t>Public to Private</t>
        </is>
      </c>
      <c r="W28" s="16" t="n">
        <v>1023.7</v>
      </c>
      <c r="X28" s="13" t="inlineStr">
        <is>
          <t>The company was acquired by AMETEK (NYS: AME) for $ 1023.7 million on July 21, 2025 through a public-to-private transaction.</t>
        </is>
      </c>
      <c r="Y28" s="13" t="inlineStr">
        <is>
          <t>Formerly PE-Backed</t>
        </is>
      </c>
      <c r="Z28" s="13" t="inlineStr">
        <is>
          <t>Generating Revenue</t>
        </is>
      </c>
      <c r="AA28" s="13" t="inlineStr">
        <is>
          <t>AMETEK (NYS: AME) (David Zapico)</t>
        </is>
      </c>
      <c r="AB28" s="13" t="inlineStr">
        <is>
          <t>Other Hardware</t>
        </is>
      </c>
      <c r="AC28" s="13" t="inlineStr">
        <is>
          <t>3D Printing, Artificial Intelligence &amp; Machine Learning, Manufacturing</t>
        </is>
      </c>
      <c r="AD28" s="13" t="inlineStr">
        <is>
          <t>Developer of artificial intelligence machinery and systems intended for defense, aerospace, and industrial customers. The company designs, develops, manufactures, markets, and supports software-driven, three-dimensional (3-D) measurement, imaging, and realization aid for the 3D metrology, architecture, engineering and construction (AEC), Operations and Maintenance (O&amp;M), and public safety analytics markets, enabling its customers to capture, measure, manipulate, interact with and share 3D and 2D data from the physical world in a virtual environment and then translate the information back into the physical domain.</t>
        </is>
      </c>
      <c r="AE28" s="13" t="inlineStr">
        <is>
          <t>Lake Mary, FL</t>
        </is>
      </c>
      <c r="AF28" s="13" t="inlineStr">
        <is>
          <t>www.faro.com</t>
        </is>
      </c>
    </row>
    <row r="29" ht="42" customHeight="1">
      <c r="A29" s="18" t="inlineStr">
        <is>
          <t>USA-028</t>
        </is>
      </c>
      <c r="B29" s="18" t="inlineStr">
        <is>
          <t>USA</t>
        </is>
      </c>
      <c r="C29" s="18" t="inlineStr">
        <is>
          <t>USA</t>
        </is>
      </c>
      <c r="D29" s="19" t="inlineStr">
        <is>
          <t>BETA Technologies (NYS: BETA)</t>
        </is>
      </c>
      <c r="E29" s="19" t="n"/>
      <c r="F29" s="18" t="n"/>
      <c r="G29" s="19" t="n"/>
      <c r="H29" s="20" t="n">
        <v>45965</v>
      </c>
      <c r="I29" s="20" t="n"/>
      <c r="J29" s="21" t="n">
        <v>2025</v>
      </c>
      <c r="K29" s="19" t="inlineStr">
        <is>
          <t>IPO</t>
        </is>
      </c>
      <c r="L29" s="19" t="n"/>
      <c r="M29" s="19" t="inlineStr">
        <is>
          <t>Completed</t>
        </is>
      </c>
      <c r="N29" s="22" t="n">
        <v>1015</v>
      </c>
      <c r="O29" s="18" t="inlineStr">
        <is>
          <t>USD</t>
        </is>
      </c>
      <c r="R29" s="37" t="n">
        <v>-1.57</v>
      </c>
      <c r="S29" s="22" t="n">
        <v>-648.02</v>
      </c>
      <c r="T29" s="37" t="n">
        <v>35.1</v>
      </c>
      <c r="U29" s="22" t="n">
        <v>28.92</v>
      </c>
      <c r="V29" s="19" t="n"/>
      <c r="W29" s="22" t="n">
        <v>7609.46</v>
      </c>
      <c r="X29" s="19" t="inlineStr">
        <is>
          <t>The company raised $1.02 billion in its initial public offering on the New York Stock Exchange under the ticker symbol of BETA on November 4, 2025. A total of 29,852,941 Class A shares were sold at $34 per share. After the offering, there was a total of 223,807,603 outstanding shares at $34 per share, valuing the company at $7.61 billion. The underwriters were granted an option to purchase up to an additional 4,477,941 Class A shares from the company to cover over-allotments, if any.</t>
        </is>
      </c>
      <c r="Y29" s="19" t="inlineStr">
        <is>
          <t>Formerly VC-backed</t>
        </is>
      </c>
      <c r="Z29" s="19" t="inlineStr">
        <is>
          <t>Generating Revenue</t>
        </is>
      </c>
      <c r="AA29" s="19" t="n"/>
      <c r="AB29" s="19" t="inlineStr">
        <is>
          <t>Aerospace and Defense</t>
        </is>
      </c>
      <c r="AC29" s="19" t="inlineStr">
        <is>
          <t>CleanTech, Manufacturing, Mobility Tech, Robotics and Drones</t>
        </is>
      </c>
      <c r="AD29" s="19" t="inlineStr">
        <is>
          <t>BETA Technologies Inc is an aerospace company. The group has developed an electric aircraft platform and propulsion systems that are positioned to transform the aviation industry forward into a new phase of growth. It designs, manufactures, and sells high-performance electric aircraft, modern electric propulsion systems, charging systems, and components. The group also invested in the underlying infrastructure of this breakthrough technology, which is critical to bringing electric aviation to life. The group has developed a differentiated presence in North America and is well-positioned to expand globally. Its products and services are Aircraft, Charge, Motor, Battery, Flight Controls, and Training. It has one operating segment: Development and Manufacturing of Electric Aircraft.</t>
        </is>
      </c>
      <c r="AE29" s="19" t="inlineStr">
        <is>
          <t>South Burlington, VT</t>
        </is>
      </c>
      <c r="AF29" s="19" t="inlineStr">
        <is>
          <t>www.beta.team</t>
        </is>
      </c>
    </row>
    <row r="30" ht="42" customHeight="1">
      <c r="A30" s="12" t="inlineStr">
        <is>
          <t>USA-029</t>
        </is>
      </c>
      <c r="B30" s="12" t="inlineStr">
        <is>
          <t>USA</t>
        </is>
      </c>
      <c r="C30" s="12" t="inlineStr">
        <is>
          <t>USA</t>
        </is>
      </c>
      <c r="D30" s="13" t="inlineStr">
        <is>
          <t>Mott</t>
        </is>
      </c>
      <c r="E30" s="13" t="inlineStr">
        <is>
          <t>IDEX</t>
        </is>
      </c>
      <c r="F30" s="12" t="n"/>
      <c r="G30" s="13" t="n"/>
      <c r="H30" s="14" t="n">
        <v>45540</v>
      </c>
      <c r="I30" s="14" t="n"/>
      <c r="J30" s="15" t="n">
        <v>2024</v>
      </c>
      <c r="K30" s="13" t="inlineStr">
        <is>
          <t>Merger/Acquisition</t>
        </is>
      </c>
      <c r="L30" s="13" t="n"/>
      <c r="M30" s="13" t="inlineStr">
        <is>
          <t>Completed</t>
        </is>
      </c>
      <c r="N30" s="16" t="n">
        <v>986.2</v>
      </c>
      <c r="O30" s="12" t="inlineStr">
        <is>
          <t>USD</t>
        </is>
      </c>
      <c r="P30" s="50" t="n">
        <v>4.93</v>
      </c>
      <c r="R30" s="36" t="n"/>
      <c r="S30" s="16" t="n"/>
      <c r="T30" s="36" t="n">
        <v>4.93</v>
      </c>
      <c r="U30" s="16" t="n">
        <v>200</v>
      </c>
      <c r="V30" s="13" t="n"/>
      <c r="W30" s="16" t="n">
        <v>986.2</v>
      </c>
      <c r="X30" s="13" t="inlineStr">
        <is>
          <t>The company was acquired by IDEX (NYS: IEX) for $986.2 million on September 5, 2024. The acquisition helps IDEX to bring scale to its growing suite of material science technology capabilities and amplifies its ability to partner with customers to develop innovative solutions.</t>
        </is>
      </c>
      <c r="Y30" s="13" t="inlineStr">
        <is>
          <t>Corporate Backed or Acquired</t>
        </is>
      </c>
      <c r="Z30" s="13" t="inlineStr">
        <is>
          <t>Generating Revenue</t>
        </is>
      </c>
      <c r="AA30" s="13" t="inlineStr">
        <is>
          <t>IDEX (NYS: IEX) (Eric Ashleman)</t>
        </is>
      </c>
      <c r="AB30" s="13" t="inlineStr">
        <is>
          <t>Industrial Supplies and Parts</t>
        </is>
      </c>
      <c r="AC30" s="13" t="inlineStr">
        <is>
          <t>Manufacturing</t>
        </is>
      </c>
      <c r="AD30" s="13" t="inlineStr">
        <is>
          <t>Manufacturer of filtration and flow control products intended to serve the aerospace, automotive, food, and other industries. The company offers items including process filters, porous components, flow restrictors, gas diffusers, mixers, cartridges, wicks, and fluid mixers, enabling clients to avail of improved industrial supplies.</t>
        </is>
      </c>
      <c r="AE30" s="13" t="inlineStr">
        <is>
          <t>Farmington, CT</t>
        </is>
      </c>
      <c r="AF30" s="13" t="inlineStr">
        <is>
          <t>www.mottcorp.com</t>
        </is>
      </c>
    </row>
    <row r="31" ht="42" customHeight="1">
      <c r="A31" s="18" t="inlineStr">
        <is>
          <t>USA-030</t>
        </is>
      </c>
      <c r="B31" s="18" t="inlineStr">
        <is>
          <t>USA</t>
        </is>
      </c>
      <c r="C31" s="18" t="inlineStr">
        <is>
          <t>USA</t>
        </is>
      </c>
      <c r="D31" s="19" t="inlineStr">
        <is>
          <t>Haynes International</t>
        </is>
      </c>
      <c r="E31" s="19" t="inlineStr">
        <is>
          <t>North American Stainless</t>
        </is>
      </c>
      <c r="F31" s="18" t="n"/>
      <c r="G31" s="19" t="n"/>
      <c r="H31" s="20" t="n">
        <v>45617</v>
      </c>
      <c r="I31" s="20" t="n"/>
      <c r="J31" s="21" t="n">
        <v>2024</v>
      </c>
      <c r="K31" s="19" t="inlineStr">
        <is>
          <t>Merger/Acquisition</t>
        </is>
      </c>
      <c r="L31" s="19" t="n"/>
      <c r="M31" s="19" t="inlineStr">
        <is>
          <t>Completed</t>
        </is>
      </c>
      <c r="N31" s="22" t="n">
        <v>970</v>
      </c>
      <c r="O31" s="18" t="inlineStr">
        <is>
          <t>USD</t>
        </is>
      </c>
      <c r="P31" s="50" t="n">
        <v>1.71</v>
      </c>
      <c r="Q31" s="50" t="n">
        <v>14.67</v>
      </c>
      <c r="R31" s="37" t="n">
        <v>13.56</v>
      </c>
      <c r="S31" s="22" t="n">
        <v>71.55</v>
      </c>
      <c r="T31" s="37" t="n">
        <v>1.58</v>
      </c>
      <c r="U31" s="22" t="n">
        <v>614.33</v>
      </c>
      <c r="V31" s="19" t="inlineStr">
        <is>
          <t>Public to Private</t>
        </is>
      </c>
      <c r="W31" s="22" t="n">
        <v>970</v>
      </c>
      <c r="X31" s="19" t="inlineStr">
        <is>
          <t>The company was acquired by North American Stainless, a subsidiary of Acerinox (MAD: ACX), for $970 million on November 21, 2024. As a part of the transaction, the company will be delisted.</t>
        </is>
      </c>
      <c r="Y31" s="19" t="inlineStr">
        <is>
          <t>Formerly PE-Backed</t>
        </is>
      </c>
      <c r="Z31" s="19" t="inlineStr">
        <is>
          <t>Generating Revenue</t>
        </is>
      </c>
      <c r="AA31" s="19" t="inlineStr">
        <is>
          <t>North American Stainless</t>
        </is>
      </c>
      <c r="AB31" s="19" t="inlineStr">
        <is>
          <t>Other Metals, Minerals and Mining</t>
        </is>
      </c>
      <c r="AC31" s="19" t="inlineStr">
        <is>
          <t>Manufacturing</t>
        </is>
      </c>
      <c r="AD31" s="19" t="inlineStr">
        <is>
          <t>Haynes International Inc is a producer of high-performance nickel and cobalt-based alloys. The company is focused on developing, manufacturing, marketing, and distributing technology and high-performance alloys. The company operates in a single segment: the design, manufacture, marketing, and distribution of technologically advanced, high-performance alloys for use in the aerospace, industrial gas turbine, chemical processing, and other industries Geographically, it derives a majority of revenue from the United States and also has a presence in Europe, China, and other countries.</t>
        </is>
      </c>
      <c r="AE31" s="19" t="inlineStr">
        <is>
          <t>Kokomo, IN</t>
        </is>
      </c>
      <c r="AF31" s="19" t="inlineStr">
        <is>
          <t>www.haynesintl.com</t>
        </is>
      </c>
    </row>
    <row r="32" ht="42" customHeight="1">
      <c r="A32" s="12" t="inlineStr">
        <is>
          <t>USA-031</t>
        </is>
      </c>
      <c r="B32" s="12" t="inlineStr">
        <is>
          <t>USA</t>
        </is>
      </c>
      <c r="C32" s="12" t="inlineStr">
        <is>
          <t>USA</t>
        </is>
      </c>
      <c r="D32" s="13" t="inlineStr">
        <is>
          <t>Stellant Systems</t>
        </is>
      </c>
      <c r="E32" s="13" t="inlineStr">
        <is>
          <t>TransDigm Group</t>
        </is>
      </c>
      <c r="F32" s="12" t="n"/>
      <c r="G32" s="13" t="n"/>
      <c r="H32" s="14" t="n">
        <v>46022</v>
      </c>
      <c r="I32" s="14" t="n"/>
      <c r="J32" s="15" t="n">
        <v>2025</v>
      </c>
      <c r="K32" s="13" t="inlineStr">
        <is>
          <t>Merger/Acquisition</t>
        </is>
      </c>
      <c r="L32" s="13" t="n"/>
      <c r="M32" s="13" t="inlineStr">
        <is>
          <t>Announced/In Progress</t>
        </is>
      </c>
      <c r="N32" s="16" t="n">
        <v>960</v>
      </c>
      <c r="O32" s="12" t="inlineStr">
        <is>
          <t>USD</t>
        </is>
      </c>
      <c r="P32" s="50" t="n">
        <v>3.2</v>
      </c>
      <c r="R32" s="36" t="n"/>
      <c r="S32" s="16" t="n"/>
      <c r="T32" s="36" t="n">
        <v>3.2</v>
      </c>
      <c r="U32" s="16" t="n">
        <v>300</v>
      </c>
      <c r="V32" s="13" t="n"/>
      <c r="W32" s="16" t="n">
        <v>960</v>
      </c>
      <c r="X32" s="13" t="inlineStr">
        <is>
          <t>The company reached a definitive agreement to be acquired by TransDigm Group (NYS: TDG) for $960 million on December 31, 2025.</t>
        </is>
      </c>
      <c r="Y32" s="13" t="inlineStr">
        <is>
          <t>Pending Transaction (M&amp;A)</t>
        </is>
      </c>
      <c r="Z32" s="13" t="inlineStr">
        <is>
          <t>Generating Revenue</t>
        </is>
      </c>
      <c r="AA32" s="13" t="inlineStr">
        <is>
          <t>TransDigm Group (NYS: TDG) (Michael Lisman)</t>
        </is>
      </c>
      <c r="AB32" s="13" t="inlineStr">
        <is>
          <t>Aerospace and Defense</t>
        </is>
      </c>
      <c r="AC32" s="13" t="inlineStr">
        <is>
          <t>Manufacturing</t>
        </is>
      </c>
      <c r="AD32" s="13" t="inlineStr">
        <is>
          <t>Manufacturer of electron devices and spectrum-related products designed to offer power amplification devices for the space, electronic warfare, radar, medical, scientific and industrial end markets. The company's range of products includes satellite amplifiers, traveling wave tube amplifiers, microwave power modules and channelizers, enabling clients to benefit from amplification facilities with high reliability and durability.</t>
        </is>
      </c>
      <c r="AE32" s="13" t="inlineStr">
        <is>
          <t>Torrance, CA</t>
        </is>
      </c>
      <c r="AF32" s="13" t="inlineStr">
        <is>
          <t>www.stellantsystems.com</t>
        </is>
      </c>
    </row>
    <row r="33" ht="42" customHeight="1">
      <c r="A33" s="18" t="inlineStr">
        <is>
          <t>USA-032</t>
        </is>
      </c>
      <c r="B33" s="18" t="inlineStr">
        <is>
          <t>USA</t>
        </is>
      </c>
      <c r="C33" s="18" t="inlineStr">
        <is>
          <t>USA</t>
        </is>
      </c>
      <c r="D33" s="19" t="inlineStr">
        <is>
          <t>Firefly Aerospace (NAS: FLY)</t>
        </is>
      </c>
      <c r="E33" s="19" t="n"/>
      <c r="F33" s="18" t="n"/>
      <c r="G33" s="19" t="n"/>
      <c r="H33" s="20" t="n">
        <v>45876</v>
      </c>
      <c r="I33" s="20" t="n"/>
      <c r="J33" s="21" t="n">
        <v>2025</v>
      </c>
      <c r="K33" s="19" t="inlineStr">
        <is>
          <t>IPO</t>
        </is>
      </c>
      <c r="L33" s="19" t="n"/>
      <c r="M33" s="19" t="inlineStr">
        <is>
          <t>Completed</t>
        </is>
      </c>
      <c r="N33" s="22" t="n">
        <v>868.3200000000001</v>
      </c>
      <c r="O33" s="18" t="inlineStr">
        <is>
          <t>USD</t>
        </is>
      </c>
      <c r="R33" s="37" t="n">
        <v>-4.17</v>
      </c>
      <c r="S33" s="22" t="n">
        <v>-208.05</v>
      </c>
      <c r="T33" s="37" t="n">
        <v>8.449999999999999</v>
      </c>
      <c r="U33" s="22" t="n">
        <v>102.81</v>
      </c>
      <c r="V33" s="19" t="n"/>
      <c r="W33" s="22" t="n">
        <v>6464.2</v>
      </c>
      <c r="X33" s="19" t="inlineStr">
        <is>
          <t>The company raised $868.32 million in its initial public offering on the Nasdaq stock exchange under the ticker symbol of FLY on August 7, 2025. A total of 19,296,000 shares were sold at a price of $45 per share. After the offering, there was a total of 143,647,481 outstanding shares (excluding the over-allotment option) priced at $45 per share, valuing the company at $6.46 billion. The underwriters were granted an option to purchase up to an additional 2,894,400 shares from the company to cover over-allotments, if any.</t>
        </is>
      </c>
      <c r="Y33" s="19" t="inlineStr">
        <is>
          <t>Venture Capital-Backed</t>
        </is>
      </c>
      <c r="Z33" s="19" t="inlineStr">
        <is>
          <t>Generating Revenue</t>
        </is>
      </c>
      <c r="AA33" s="19" t="n"/>
      <c r="AB33" s="19" t="inlineStr">
        <is>
          <t>Aerospace and Defense</t>
        </is>
      </c>
      <c r="AC33" s="19" t="inlineStr">
        <is>
          <t>Space Technology</t>
        </is>
      </c>
      <c r="AD33" s="19" t="inlineStr">
        <is>
          <t>Firefly Aerospace Inc is a space and defense technology company with an established track record of success providing comprehensive mission solutions to national security, government, and commercial customers. The company develops and provides space and defense technologies, including launch vehicles and spacecraft systems, supporting launch, transit, and in-orbit operations for government, commercial, and national security customers. It has only one operating segment. The majority of the company's revenue is derived from Spacecraft Solutions.</t>
        </is>
      </c>
      <c r="AE33" s="19" t="inlineStr">
        <is>
          <t>Leander, TX</t>
        </is>
      </c>
      <c r="AF33" s="19" t="inlineStr">
        <is>
          <t>www.fireflyspace.com</t>
        </is>
      </c>
    </row>
    <row r="34" ht="42" customHeight="1">
      <c r="A34" s="12" t="inlineStr">
        <is>
          <t>USA-033</t>
        </is>
      </c>
      <c r="B34" s="12" t="inlineStr">
        <is>
          <t>USA</t>
        </is>
      </c>
      <c r="C34" s="12" t="inlineStr">
        <is>
          <t>USA</t>
        </is>
      </c>
      <c r="D34" s="13" t="inlineStr">
        <is>
          <t>JBT AeroTech</t>
        </is>
      </c>
      <c r="E34" s="13" t="inlineStr">
        <is>
          <t>Oshkosh</t>
        </is>
      </c>
      <c r="F34" s="12" t="n"/>
      <c r="G34" s="13" t="n"/>
      <c r="H34" s="14" t="n">
        <v>45139</v>
      </c>
      <c r="I34" s="14" t="n"/>
      <c r="J34" s="15" t="n">
        <v>2023</v>
      </c>
      <c r="K34" s="13" t="inlineStr">
        <is>
          <t>Merger/Acquisition</t>
        </is>
      </c>
      <c r="L34" s="13" t="n"/>
      <c r="M34" s="13" t="inlineStr">
        <is>
          <t>Completed</t>
        </is>
      </c>
      <c r="N34" s="16" t="n">
        <v>803.6</v>
      </c>
      <c r="O34" s="12" t="inlineStr">
        <is>
          <t>USD</t>
        </is>
      </c>
      <c r="R34" s="36" t="n"/>
      <c r="S34" s="16" t="n"/>
      <c r="T34" s="36" t="n"/>
      <c r="U34" s="16" t="n"/>
      <c r="V34" s="13" t="inlineStr">
        <is>
          <t>Corporate Divestiture</t>
        </is>
      </c>
      <c r="W34" s="16" t="n">
        <v>803.6</v>
      </c>
      <c r="X34" s="13" t="inlineStr">
        <is>
          <t>The company, a subsidiary of John Bean Technologies (NYS: JBT) was acquired by Oshkosh (NYS: OSK) for $803.6 million on August 1, 2023. The acquisition is expected to be accretive to Oshkosh's growth and margins and deliver solid recurring revenue from its aftermarket parts and services offerings.</t>
        </is>
      </c>
      <c r="Y34" s="13" t="inlineStr">
        <is>
          <t>Corporate Backed or Acquired</t>
        </is>
      </c>
      <c r="Z34" s="13" t="inlineStr">
        <is>
          <t>Generating Revenue</t>
        </is>
      </c>
      <c r="AA34" s="13" t="inlineStr">
        <is>
          <t>Oshkosh (NYS: OSK) (John Pfeifer)</t>
        </is>
      </c>
      <c r="AB34" s="13" t="inlineStr">
        <is>
          <t>Other Commercial Products</t>
        </is>
      </c>
      <c r="AC34" s="13" t="n"/>
      <c r="AD34" s="13" t="inlineStr">
        <is>
          <t>Distributor of aviation and aerospace components intended to serve commercial airlines, airports, air freight carriers, ground handling and military customers. The company offers cargo loaders, passenger steps, multi-bridge gates, regional aircraft bridges, elevating walks and rotundas, enabling clients to get a wide range of aviation and aerospace equipment.</t>
        </is>
      </c>
      <c r="AE34" s="13" t="inlineStr">
        <is>
          <t>Chicago, IL</t>
        </is>
      </c>
      <c r="AF34" s="13" t="inlineStr">
        <is>
          <t>www.oshkoshaerotech.com</t>
        </is>
      </c>
    </row>
    <row r="35" ht="42" customHeight="1">
      <c r="A35" s="18" t="inlineStr">
        <is>
          <t>USA-034</t>
        </is>
      </c>
      <c r="B35" s="18" t="inlineStr">
        <is>
          <t>USA</t>
        </is>
      </c>
      <c r="C35" s="18" t="inlineStr">
        <is>
          <t>USA</t>
        </is>
      </c>
      <c r="D35" s="19" t="inlineStr">
        <is>
          <t>Jnana Therapeutics</t>
        </is>
      </c>
      <c r="E35" s="19" t="inlineStr">
        <is>
          <t>Otsuka Pharmaceutical</t>
        </is>
      </c>
      <c r="F35" s="18" t="n"/>
      <c r="G35" s="19" t="n"/>
      <c r="H35" s="20" t="n">
        <v>45573</v>
      </c>
      <c r="I35" s="20" t="n"/>
      <c r="J35" s="21" t="n">
        <v>2024</v>
      </c>
      <c r="K35" s="19" t="inlineStr">
        <is>
          <t>Merger/Acquisition</t>
        </is>
      </c>
      <c r="L35" s="19" t="n"/>
      <c r="M35" s="19" t="inlineStr">
        <is>
          <t>Completed</t>
        </is>
      </c>
      <c r="N35" s="22" t="n">
        <v>800</v>
      </c>
      <c r="O35" s="18" t="inlineStr">
        <is>
          <t>USD</t>
        </is>
      </c>
      <c r="R35" s="37" t="n"/>
      <c r="S35" s="22" t="n"/>
      <c r="T35" s="37" t="n"/>
      <c r="U35" s="22" t="n"/>
      <c r="V35" s="19" t="n"/>
      <c r="W35" s="22" t="n">
        <v>800</v>
      </c>
      <c r="X35" s="19" t="inlineStr">
        <is>
          <t>The company was acquired by Otsuka Pharmaceutical for $800 million on October 8, 2024.</t>
        </is>
      </c>
      <c r="Y35" s="19" t="inlineStr">
        <is>
          <t>Formerly VC-backed</t>
        </is>
      </c>
      <c r="Z35" s="19" t="inlineStr">
        <is>
          <t>Pre-Clinical Trials</t>
        </is>
      </c>
      <c r="AA35" s="19" t="inlineStr">
        <is>
          <t>Otsuka Pharmaceutical (Makoto Inoue)</t>
        </is>
      </c>
      <c r="AB35" s="19" t="inlineStr">
        <is>
          <t>Drug Discovery</t>
        </is>
      </c>
      <c r="AC35" s="19" t="inlineStr">
        <is>
          <t>Life Sciences</t>
        </is>
      </c>
      <c r="AD35" s="19" t="inlineStr">
        <is>
          <t>Developer of a drug discovery platform designed to target the solute carrier family of transporters and cell's metabolic gates. The company's platform addresses therapeutic targets across immune metabolism, lysosomal function, and mucosal defense, solute carrier cell transporters provide novel targets for immuno-oncology, inflammatory disorders, and neurological diseases, enabling companies to comprehensively address therapeutic targets across the vast member membrane protein family.</t>
        </is>
      </c>
      <c r="AE35" s="19" t="inlineStr">
        <is>
          <t>Boston, MA</t>
        </is>
      </c>
      <c r="AF35" s="19" t="inlineStr">
        <is>
          <t>www.jnanatx.com</t>
        </is>
      </c>
    </row>
    <row r="36" ht="42" customHeight="1">
      <c r="A36" s="12" t="inlineStr">
        <is>
          <t>USA-035</t>
        </is>
      </c>
      <c r="B36" s="12" t="inlineStr">
        <is>
          <t>USA</t>
        </is>
      </c>
      <c r="C36" s="12" t="inlineStr">
        <is>
          <t>USA</t>
        </is>
      </c>
      <c r="D36" s="13" t="inlineStr">
        <is>
          <t>Lanteris Space Systems</t>
        </is>
      </c>
      <c r="E36" s="13" t="inlineStr">
        <is>
          <t>Intuitive Machines</t>
        </is>
      </c>
      <c r="F36" s="12" t="n"/>
      <c r="G36" s="13" t="n"/>
      <c r="H36" s="14" t="n">
        <v>46035</v>
      </c>
      <c r="I36" s="14" t="n"/>
      <c r="J36" s="15" t="n">
        <v>2026</v>
      </c>
      <c r="K36" s="13" t="inlineStr">
        <is>
          <t>Merger/Acquisition</t>
        </is>
      </c>
      <c r="L36" s="13" t="n"/>
      <c r="M36" s="13" t="inlineStr">
        <is>
          <t>Completed</t>
        </is>
      </c>
      <c r="N36" s="16" t="n">
        <v>800</v>
      </c>
      <c r="O36" s="12" t="inlineStr">
        <is>
          <t>USD</t>
        </is>
      </c>
      <c r="P36" s="50" t="n">
        <v>1.27</v>
      </c>
      <c r="R36" s="36" t="n"/>
      <c r="S36" s="16" t="n"/>
      <c r="T36" s="36" t="n">
        <v>1.27</v>
      </c>
      <c r="U36" s="16" t="n">
        <v>630</v>
      </c>
      <c r="V36" s="13" t="n"/>
      <c r="W36" s="16" t="n">
        <v>800</v>
      </c>
      <c r="X36" s="13" t="inlineStr">
        <is>
          <t>The company was acquired by Intuitive Machines (NAS: LUNR) for $800 million on January 13, 2026. The acquisition aligns with Intuitive Machines' vision, strengthening the company's position as a vertically integrated, next-generation space prime that can build, connect, and operate end-to-end mission solutions unique to the marketplace today.</t>
        </is>
      </c>
      <c r="Y36" s="13" t="inlineStr">
        <is>
          <t>Corporate Backed or Acquired</t>
        </is>
      </c>
      <c r="Z36" s="13" t="inlineStr">
        <is>
          <t>Generating Revenue</t>
        </is>
      </c>
      <c r="AA36" s="13" t="inlineStr">
        <is>
          <t>Intuitive Machines (NAS: LUNR) (Steven Altemus)</t>
        </is>
      </c>
      <c r="AB36" s="13" t="inlineStr">
        <is>
          <t>IT Consulting and Outsourcing</t>
        </is>
      </c>
      <c r="AC36" s="13" t="inlineStr">
        <is>
          <t>Space Technology</t>
        </is>
      </c>
      <c r="AD36" s="13" t="inlineStr">
        <is>
          <t>Provider of space technology and orbital infrastructure services intended to serve aerospace innovators, satellite operators, and global research institutions. The company offers satellite deployment, orbital logistics, space station modules, and mission support systems, thereby helping clients expand access to low Earth orbit and accelerate advancements in space-based applications.</t>
        </is>
      </c>
      <c r="AE36" s="13" t="inlineStr">
        <is>
          <t>Palo Alto, CA</t>
        </is>
      </c>
      <c r="AF36" s="13" t="inlineStr">
        <is>
          <t>www.lanterisspace.com</t>
        </is>
      </c>
    </row>
    <row r="37" ht="42" customHeight="1">
      <c r="A37" s="18" t="inlineStr">
        <is>
          <t>USA-036</t>
        </is>
      </c>
      <c r="B37" s="18" t="inlineStr">
        <is>
          <t>USA</t>
        </is>
      </c>
      <c r="C37" s="18" t="inlineStr">
        <is>
          <t>USA</t>
        </is>
      </c>
      <c r="D37" s="19" t="inlineStr">
        <is>
          <t>Simmonds Precision Products</t>
        </is>
      </c>
      <c r="E37" s="19" t="inlineStr">
        <is>
          <t>TransDigm Group</t>
        </is>
      </c>
      <c r="F37" s="18" t="n"/>
      <c r="G37" s="19" t="n"/>
      <c r="H37" s="20" t="n">
        <v>45936</v>
      </c>
      <c r="I37" s="20" t="n"/>
      <c r="J37" s="21" t="n">
        <v>2025</v>
      </c>
      <c r="K37" s="19" t="inlineStr">
        <is>
          <t>Merger/Acquisition</t>
        </is>
      </c>
      <c r="L37" s="19" t="n"/>
      <c r="M37" s="19" t="inlineStr">
        <is>
          <t>Completed</t>
        </is>
      </c>
      <c r="N37" s="22" t="n">
        <v>757</v>
      </c>
      <c r="O37" s="18" t="inlineStr">
        <is>
          <t>USD</t>
        </is>
      </c>
      <c r="P37" s="50" t="n">
        <v>2.16</v>
      </c>
      <c r="R37" s="37" t="n"/>
      <c r="S37" s="22" t="n"/>
      <c r="T37" s="37" t="n">
        <v>2.16</v>
      </c>
      <c r="U37" s="22" t="n">
        <v>350</v>
      </c>
      <c r="V37" s="19" t="inlineStr">
        <is>
          <t>Corporate Divestiture</t>
        </is>
      </c>
      <c r="W37" s="22" t="n">
        <v>757</v>
      </c>
      <c r="X37" s="19" t="inlineStr">
        <is>
          <t>The company, a subsidiary of Goodrich Corporation, was acquired by TransDigm Group (NYS: TDG) for approximately $757 million on October 6, 2025.</t>
        </is>
      </c>
      <c r="Y37" s="19" t="inlineStr">
        <is>
          <t>Corporate Backed or Acquired</t>
        </is>
      </c>
      <c r="Z37" s="19" t="inlineStr">
        <is>
          <t>Generating Revenue</t>
        </is>
      </c>
      <c r="AA37" s="19" t="inlineStr">
        <is>
          <t>TransDigm Group (NYS: TDG) (Kevin Stein)</t>
        </is>
      </c>
      <c r="AB37" s="19" t="inlineStr">
        <is>
          <t>Aerospace and Defense</t>
        </is>
      </c>
      <c r="AC37" s="19" t="inlineStr">
        <is>
          <t>Manufacturing</t>
        </is>
      </c>
      <c r="AD37" s="19" t="inlineStr">
        <is>
          <t>Manufacturer of fuel, proximity sensing and structural health monitoring solutions intended for the aerospace and defense end markets. The company develops engineered and proprietary components with significant aftermarket content and a strong presence across major aerospace and defense platforms.</t>
        </is>
      </c>
      <c r="AE37" s="19" t="inlineStr">
        <is>
          <t>Vergennes, VT</t>
        </is>
      </c>
      <c r="AF37" s="19" t="inlineStr">
        <is>
          <t>www.simmondsprecision.com</t>
        </is>
      </c>
    </row>
    <row r="38" ht="42" customHeight="1">
      <c r="A38" s="12" t="inlineStr">
        <is>
          <t>USA-037</t>
        </is>
      </c>
      <c r="B38" s="12" t="inlineStr">
        <is>
          <t>USA</t>
        </is>
      </c>
      <c r="C38" s="12" t="inlineStr">
        <is>
          <t>USA</t>
        </is>
      </c>
      <c r="D38" s="13" t="inlineStr">
        <is>
          <t>LinQuest</t>
        </is>
      </c>
      <c r="E38" s="13" t="inlineStr">
        <is>
          <t>KBR</t>
        </is>
      </c>
      <c r="F38" s="12" t="n"/>
      <c r="G38" s="13" t="n"/>
      <c r="H38" s="14" t="n">
        <v>45534</v>
      </c>
      <c r="I38" s="14" t="n"/>
      <c r="J38" s="15" t="n">
        <v>2024</v>
      </c>
      <c r="K38" s="13" t="inlineStr">
        <is>
          <t>Merger/Acquisition</t>
        </is>
      </c>
      <c r="L38" s="13" t="n"/>
      <c r="M38" s="13" t="inlineStr">
        <is>
          <t>Completed</t>
        </is>
      </c>
      <c r="N38" s="16" t="n">
        <v>739</v>
      </c>
      <c r="O38" s="12" t="inlineStr">
        <is>
          <t>USD</t>
        </is>
      </c>
      <c r="R38" s="36" t="n"/>
      <c r="S38" s="16" t="n"/>
      <c r="T38" s="36" t="n"/>
      <c r="U38" s="16" t="n"/>
      <c r="V38" s="13" t="n"/>
      <c r="W38" s="16" t="n">
        <v>739</v>
      </c>
      <c r="X38" s="13" t="inlineStr">
        <is>
          <t>The company is acquired by KBR (NYS: KBR) for $739 million on August 30, 2024. This acquisition expands opportunities for revenue growth, meeting customer and market demands and enhances KBR's position in high-end, technically differentiated services across space, air dominance and battlespace missions.</t>
        </is>
      </c>
      <c r="Y38" s="13" t="inlineStr">
        <is>
          <t>Formerly PE-Backed</t>
        </is>
      </c>
      <c r="Z38" s="13" t="inlineStr">
        <is>
          <t>Generating Revenue</t>
        </is>
      </c>
      <c r="AA38" s="13" t="inlineStr">
        <is>
          <t>KBR (NYS: KBR) (Stuart Bradie)</t>
        </is>
      </c>
      <c r="AB38" s="13" t="inlineStr">
        <is>
          <t>Aerospace and Defense</t>
        </is>
      </c>
      <c r="AC38" s="13" t="inlineStr">
        <is>
          <t>Manufacturing</t>
        </is>
      </c>
      <c r="AD38" s="13" t="inlineStr">
        <is>
          <t>Manufacturer of surveillance and reconnaissance technology products intended to serve defense and intelligence communities. The company offers space systems, control, communications, computers, software and cyber systems development with complex systems modeling and simulation, enabling clients to fight through interfering signals at the tactical edge.</t>
        </is>
      </c>
      <c r="AE38" s="13" t="inlineStr">
        <is>
          <t>Herndon, VA</t>
        </is>
      </c>
      <c r="AF38" s="13" t="inlineStr">
        <is>
          <t>www.linquest.com</t>
        </is>
      </c>
    </row>
    <row r="39" ht="42" customHeight="1">
      <c r="A39" s="18" t="inlineStr">
        <is>
          <t>USA-038</t>
        </is>
      </c>
      <c r="B39" s="18" t="inlineStr">
        <is>
          <t>USA</t>
        </is>
      </c>
      <c r="C39" s="18" t="inlineStr">
        <is>
          <t>USA</t>
        </is>
      </c>
      <c r="D39" s="19" t="inlineStr">
        <is>
          <t>Calspan</t>
        </is>
      </c>
      <c r="E39" s="19" t="inlineStr">
        <is>
          <t>TransDigm Group</t>
        </is>
      </c>
      <c r="F39" s="18" t="n"/>
      <c r="G39" s="19" t="n"/>
      <c r="H39" s="20" t="n">
        <v>45054</v>
      </c>
      <c r="I39" s="20" t="n"/>
      <c r="J39" s="21" t="n">
        <v>2023</v>
      </c>
      <c r="K39" s="19" t="inlineStr">
        <is>
          <t>Merger/Acquisition</t>
        </is>
      </c>
      <c r="L39" s="19" t="n"/>
      <c r="M39" s="19" t="inlineStr">
        <is>
          <t>Completed</t>
        </is>
      </c>
      <c r="N39" s="22" t="n">
        <v>729</v>
      </c>
      <c r="O39" s="18" t="inlineStr">
        <is>
          <t>USD</t>
        </is>
      </c>
      <c r="R39" s="37" t="n"/>
      <c r="S39" s="22" t="n"/>
      <c r="T39" s="37" t="n"/>
      <c r="U39" s="22" t="n"/>
      <c r="V39" s="19" t="n"/>
      <c r="W39" s="22" t="n">
        <v>729</v>
      </c>
      <c r="X39" s="19" t="inlineStr">
        <is>
          <t>The company was acquired by TransDigm Group (NYS: TDG) for $729 million on May 8, 2023.</t>
        </is>
      </c>
      <c r="Y39" s="19" t="inlineStr">
        <is>
          <t>Corporate Backed or Acquired</t>
        </is>
      </c>
      <c r="Z39" s="19" t="inlineStr">
        <is>
          <t>Generating Revenue</t>
        </is>
      </c>
      <c r="AA39" s="19" t="inlineStr">
        <is>
          <t>TransDigm Group (NYS: TDG) (Kevin Stein)</t>
        </is>
      </c>
      <c r="AB39" s="19" t="inlineStr">
        <is>
          <t>Aerospace and Defense</t>
        </is>
      </c>
      <c r="AC39" s="19" t="n"/>
      <c r="AD39" s="19" t="inlineStr">
        <is>
          <t>Provider of aerospace and automotive research and testing services based in Buffalo, New York. The company offers aerospace and automotive services including subsonic and transonic wind tunnel services, transportation testing, aerospace test equipment, flight operations, marine systems, force measurement systems and ground vehicles and motorsports testing, enabling clients to help in overcoming developmental and technical challenges.</t>
        </is>
      </c>
      <c r="AE39" s="19" t="inlineStr">
        <is>
          <t>Buffalo, NY</t>
        </is>
      </c>
      <c r="AF39" s="19" t="inlineStr">
        <is>
          <t>www.calspan.com</t>
        </is>
      </c>
    </row>
    <row r="40" ht="42" customHeight="1">
      <c r="A40" s="12" t="inlineStr">
        <is>
          <t>USA-039</t>
        </is>
      </c>
      <c r="B40" s="12" t="inlineStr">
        <is>
          <t>USA</t>
        </is>
      </c>
      <c r="C40" s="12" t="inlineStr">
        <is>
          <t>USA</t>
        </is>
      </c>
      <c r="D40" s="13" t="inlineStr">
        <is>
          <t>Triumph Group (Product Support Business)</t>
        </is>
      </c>
      <c r="E40" s="13" t="inlineStr">
        <is>
          <t>AAR</t>
        </is>
      </c>
      <c r="F40" s="12" t="n"/>
      <c r="G40" s="13" t="n"/>
      <c r="H40" s="14" t="n">
        <v>45352</v>
      </c>
      <c r="I40" s="14" t="n"/>
      <c r="J40" s="15" t="n">
        <v>2024</v>
      </c>
      <c r="K40" s="13" t="inlineStr">
        <is>
          <t>Merger/Acquisition</t>
        </is>
      </c>
      <c r="L40" s="13" t="n"/>
      <c r="M40" s="13" t="inlineStr">
        <is>
          <t>Completed</t>
        </is>
      </c>
      <c r="N40" s="16" t="n">
        <v>722.1</v>
      </c>
      <c r="O40" s="12" t="inlineStr">
        <is>
          <t>USD</t>
        </is>
      </c>
      <c r="P40" s="50" t="n">
        <v>2.69</v>
      </c>
      <c r="R40" s="36" t="n"/>
      <c r="S40" s="16" t="n"/>
      <c r="T40" s="36" t="n">
        <v>2.69</v>
      </c>
      <c r="U40" s="16" t="n">
        <v>268</v>
      </c>
      <c r="V40" s="13" t="inlineStr">
        <is>
          <t>Corporate Divestiture</t>
        </is>
      </c>
      <c r="W40" s="16" t="n">
        <v>722.1</v>
      </c>
      <c r="X40" s="13" t="inlineStr">
        <is>
          <t>The Product Support Business of Triumph Group (NYSE: TGI), was acquired by AAR (NYS: AIR) for $722.1 million on March 1, 2024. The acquisition will help AAR accelerate its deleveraging progress while placing its third-party Product Support business with a market-leading MRO company that has a proven track record of customer support.</t>
        </is>
      </c>
      <c r="Y40" s="13" t="inlineStr">
        <is>
          <t>Corporate Backed or Acquired</t>
        </is>
      </c>
      <c r="Z40" s="13" t="inlineStr">
        <is>
          <t>Generating Revenue</t>
        </is>
      </c>
      <c r="AA40" s="13" t="inlineStr">
        <is>
          <t>AAR (NYS: AIR) (John Holmes)</t>
        </is>
      </c>
      <c r="AB40" s="13" t="inlineStr">
        <is>
          <t>Aerospace and Defense</t>
        </is>
      </c>
      <c r="AC40" s="13" t="n"/>
      <c r="AD40" s="13" t="inlineStr">
        <is>
          <t>Provider of maintenance, repair and overhaul of structures-related services based in Radnor, Pennsylvania. The company specializes in airframe and engine accessories, servicing both the commercial and military aftermarkets.</t>
        </is>
      </c>
      <c r="AE40" s="13" t="inlineStr">
        <is>
          <t>Radnor, PA</t>
        </is>
      </c>
      <c r="AF40" s="13" t="n"/>
    </row>
    <row r="41" ht="42" customHeight="1">
      <c r="A41" s="18" t="inlineStr">
        <is>
          <t>USA-040</t>
        </is>
      </c>
      <c r="B41" s="18" t="inlineStr">
        <is>
          <t>USA</t>
        </is>
      </c>
      <c r="C41" s="18" t="inlineStr">
        <is>
          <t>USA</t>
        </is>
      </c>
      <c r="D41" s="19" t="inlineStr">
        <is>
          <t>MB Aerospace Holdings</t>
        </is>
      </c>
      <c r="E41" s="19" t="inlineStr">
        <is>
          <t>Barnes Group</t>
        </is>
      </c>
      <c r="F41" s="18" t="n"/>
      <c r="G41" s="19" t="n"/>
      <c r="H41" s="20" t="n">
        <v>45169</v>
      </c>
      <c r="I41" s="20" t="n"/>
      <c r="J41" s="21" t="n">
        <v>2023</v>
      </c>
      <c r="K41" s="19" t="inlineStr">
        <is>
          <t>Merger/Acquisition</t>
        </is>
      </c>
      <c r="L41" s="19" t="n"/>
      <c r="M41" s="19" t="inlineStr">
        <is>
          <t>Completed</t>
        </is>
      </c>
      <c r="N41" s="22" t="n">
        <v>718.62</v>
      </c>
      <c r="O41" s="18" t="inlineStr">
        <is>
          <t>USD</t>
        </is>
      </c>
      <c r="P41" s="50" t="n">
        <v>2.18</v>
      </c>
      <c r="Q41" s="50" t="n">
        <v>11.06</v>
      </c>
      <c r="R41" s="37" t="n">
        <v>11.06</v>
      </c>
      <c r="S41" s="22" t="n">
        <v>65</v>
      </c>
      <c r="T41" s="37" t="n">
        <v>2.18</v>
      </c>
      <c r="U41" s="22" t="n">
        <v>330</v>
      </c>
      <c r="V41" s="19" t="n"/>
      <c r="W41" s="22" t="n">
        <v>718.62</v>
      </c>
      <c r="X41" s="19" t="inlineStr">
        <is>
          <t>The company was acquired by Barnes Group (NYS: B) for $718.62 million on August 31, 2023. The acquisition expands Barnes Group's ability to support Aerospace and Defense customers throughout the product lifecycle, from new product development and manufacturing to OEM-approved repair services for critical structural and rotating aero-engine components.</t>
        </is>
      </c>
      <c r="Y41" s="19" t="inlineStr">
        <is>
          <t>Formerly PE-Backed</t>
        </is>
      </c>
      <c r="Z41" s="19" t="inlineStr">
        <is>
          <t>Generating Revenue</t>
        </is>
      </c>
      <c r="AA41" s="19" t="inlineStr">
        <is>
          <t>Barnes Group (Thomas Hook)</t>
        </is>
      </c>
      <c r="AB41" s="19" t="inlineStr">
        <is>
          <t>Aerospace and Defense</t>
        </is>
      </c>
      <c r="AC41" s="19" t="inlineStr">
        <is>
          <t>Manufacturing</t>
        </is>
      </c>
      <c r="AD41" s="19" t="inlineStr">
        <is>
          <t>Manufacturer of critical engine components for aerospace and defense markets. The company specializes in the fabrication and machining of complex aero-engine components such as exhaust and gas turbine components fan inlet case assy, exit fan cases, bearing house, turbine exhaust cases and other aerospace components, along with testing of airframe components, robotic welding, brazing and heat treatment and vacuum brazing services, enabling clients with complex machined and fabricated assemblies as per their requirements.</t>
        </is>
      </c>
      <c r="AE41" s="19" t="inlineStr">
        <is>
          <t>East Granby, CT</t>
        </is>
      </c>
      <c r="AF41" s="19" t="inlineStr">
        <is>
          <t>www.mbaerospace.com</t>
        </is>
      </c>
    </row>
    <row r="42" ht="42" customHeight="1">
      <c r="A42" s="12" t="inlineStr">
        <is>
          <t>USA-041</t>
        </is>
      </c>
      <c r="B42" s="12" t="inlineStr">
        <is>
          <t>USA</t>
        </is>
      </c>
      <c r="C42" s="12" t="inlineStr">
        <is>
          <t>USA</t>
        </is>
      </c>
      <c r="D42" s="13" t="inlineStr">
        <is>
          <t>Teledyne Qioptiq</t>
        </is>
      </c>
      <c r="E42" s="13" t="inlineStr">
        <is>
          <t>Teledyne Technologies</t>
        </is>
      </c>
      <c r="F42" s="12" t="n"/>
      <c r="G42" s="13" t="n"/>
      <c r="H42" s="14" t="n">
        <v>45691</v>
      </c>
      <c r="I42" s="14" t="n"/>
      <c r="J42" s="15" t="n">
        <v>2025</v>
      </c>
      <c r="K42" s="13" t="inlineStr">
        <is>
          <t>Merger/Acquisition</t>
        </is>
      </c>
      <c r="L42" s="13" t="n"/>
      <c r="M42" s="13" t="inlineStr">
        <is>
          <t>Completed</t>
        </is>
      </c>
      <c r="N42" s="16" t="n">
        <v>700.3</v>
      </c>
      <c r="O42" s="12" t="inlineStr">
        <is>
          <t>USD</t>
        </is>
      </c>
      <c r="R42" s="36" t="n"/>
      <c r="S42" s="16" t="n"/>
      <c r="T42" s="36" t="n"/>
      <c r="U42" s="16" t="n"/>
      <c r="V42" s="13" t="inlineStr">
        <is>
          <t>Corporate Divestiture</t>
        </is>
      </c>
      <c r="W42" s="16" t="n">
        <v>700.3</v>
      </c>
      <c r="X42" s="13" t="inlineStr">
        <is>
          <t>The company, a subsidiary of Excelitas Technologies, was acquired by Teledyne Technologies (NYS: TDY) for approximately $700.3 million on February 3, 2025. Through the acquisition, Teledyne Technologies aims to gain new technology in markets and expand its product offerings in its aerospace and defense electronics segment.</t>
        </is>
      </c>
      <c r="Y42" s="13" t="inlineStr">
        <is>
          <t>Corporate Backed or Acquired</t>
        </is>
      </c>
      <c r="Z42" s="13" t="inlineStr">
        <is>
          <t>Generating Revenue</t>
        </is>
      </c>
      <c r="AA42" s="13" t="inlineStr">
        <is>
          <t>Teledyne Technologies (NYS: TDY) (Robert Mehrabian)</t>
        </is>
      </c>
      <c r="AB42" s="13" t="inlineStr">
        <is>
          <t>Electrical Equipment</t>
        </is>
      </c>
      <c r="AC42" s="13" t="inlineStr">
        <is>
          <t>Manufacturing</t>
        </is>
      </c>
      <c r="AD42" s="13" t="inlineStr">
        <is>
          <t>Manufacturer of advanced electronic equipment catering to the defense and space industry. The company offers custom energetics, electronic safe arm devices, high-voltage semiconductor switches and rubidium frequency standards and high-energy switching.</t>
        </is>
      </c>
      <c r="AE42" s="13" t="inlineStr">
        <is>
          <t>Waltham, MA</t>
        </is>
      </c>
      <c r="AF42" s="13" t="n"/>
    </row>
    <row r="43" ht="42" customHeight="1">
      <c r="A43" s="18" t="inlineStr">
        <is>
          <t>USA-042</t>
        </is>
      </c>
      <c r="B43" s="18" t="inlineStr">
        <is>
          <t>USA</t>
        </is>
      </c>
      <c r="C43" s="18" t="inlineStr">
        <is>
          <t>USA</t>
        </is>
      </c>
      <c r="D43" s="19" t="inlineStr">
        <is>
          <t>American Pacific</t>
        </is>
      </c>
      <c r="E43" s="19" t="inlineStr">
        <is>
          <t>Newmarket</t>
        </is>
      </c>
      <c r="F43" s="18" t="n"/>
      <c r="G43" s="19" t="n"/>
      <c r="H43" s="20" t="n">
        <v>45307</v>
      </c>
      <c r="I43" s="20" t="n"/>
      <c r="J43" s="21" t="n">
        <v>2024</v>
      </c>
      <c r="K43" s="19" t="inlineStr">
        <is>
          <t>Merger/Acquisition</t>
        </is>
      </c>
      <c r="L43" s="19" t="n"/>
      <c r="M43" s="19" t="inlineStr">
        <is>
          <t>Completed</t>
        </is>
      </c>
      <c r="N43" s="22" t="n">
        <v>697</v>
      </c>
      <c r="O43" s="18" t="inlineStr">
        <is>
          <t>USD</t>
        </is>
      </c>
      <c r="R43" s="37" t="n"/>
      <c r="S43" s="22" t="n"/>
      <c r="T43" s="37" t="n"/>
      <c r="U43" s="22" t="n"/>
      <c r="V43" s="19" t="n"/>
      <c r="W43" s="22" t="n">
        <v>697</v>
      </c>
      <c r="X43" s="19" t="inlineStr">
        <is>
          <t>The company was acquired by Newmarket (NYS: NEU) for approximately $697 million on January 16, 2024.</t>
        </is>
      </c>
      <c r="Y43" s="19" t="inlineStr">
        <is>
          <t>Formerly PE-Backed</t>
        </is>
      </c>
      <c r="Z43" s="19" t="inlineStr">
        <is>
          <t>Profitable</t>
        </is>
      </c>
      <c r="AA43" s="19" t="inlineStr">
        <is>
          <t>Newmarket (NYS: NEU) (Thomas Gottwald)</t>
        </is>
      </c>
      <c r="AB43" s="19" t="inlineStr">
        <is>
          <t>Specialty Chemicals</t>
        </is>
      </c>
      <c r="AC43" s="19" t="inlineStr">
        <is>
          <t>Manufacturing</t>
        </is>
      </c>
      <c r="AD43" s="19" t="inlineStr">
        <is>
          <t>Manufacturer of specialty chemicals for aerospace, fire protection and pharmaceutical industries. The company offer percolates products, halotron, sodium azide, critical chemicals and other specialty chemicals, enabling clients to have custom-made chemicals that meet government and regulatory approvals.</t>
        </is>
      </c>
      <c r="AE43" s="19" t="inlineStr">
        <is>
          <t>Cedar City, UT</t>
        </is>
      </c>
      <c r="AF43" s="19" t="inlineStr">
        <is>
          <t>www.ampac.us</t>
        </is>
      </c>
    </row>
    <row r="44" ht="42" customHeight="1">
      <c r="A44" s="12" t="inlineStr">
        <is>
          <t>USA-043</t>
        </is>
      </c>
      <c r="B44" s="12" t="inlineStr">
        <is>
          <t>USA</t>
        </is>
      </c>
      <c r="C44" s="12" t="inlineStr">
        <is>
          <t>USA</t>
        </is>
      </c>
      <c r="D44" s="13" t="inlineStr">
        <is>
          <t>Destaco Manufacturing</t>
        </is>
      </c>
      <c r="E44" s="13" t="inlineStr">
        <is>
          <t>Stabilus</t>
        </is>
      </c>
      <c r="F44" s="12" t="n"/>
      <c r="G44" s="13" t="n"/>
      <c r="H44" s="14" t="n">
        <v>45382</v>
      </c>
      <c r="I44" s="14" t="n"/>
      <c r="J44" s="15" t="n">
        <v>2024</v>
      </c>
      <c r="K44" s="13" t="inlineStr">
        <is>
          <t>Merger/Acquisition</t>
        </is>
      </c>
      <c r="L44" s="13" t="n"/>
      <c r="M44" s="13" t="inlineStr">
        <is>
          <t>Completed</t>
        </is>
      </c>
      <c r="N44" s="16" t="n">
        <v>680.5</v>
      </c>
      <c r="O44" s="12" t="inlineStr">
        <is>
          <t>USD</t>
        </is>
      </c>
      <c r="P44" s="50" t="n">
        <v>3.3</v>
      </c>
      <c r="R44" s="36" t="n"/>
      <c r="S44" s="16" t="n"/>
      <c r="T44" s="36" t="n">
        <v>3.3</v>
      </c>
      <c r="U44" s="16" t="n">
        <v>206</v>
      </c>
      <c r="V44" s="13" t="inlineStr">
        <is>
          <t>Corporate Divestiture</t>
        </is>
      </c>
      <c r="W44" s="16" t="n">
        <v>680.5</v>
      </c>
      <c r="X44" s="13" t="inlineStr">
        <is>
          <t>The company was acquired by Stabilus (ETR: STM) for $680.5 million on March 31, 2024. This transaction will allow Dover to concentrate efforts and capital deployment on growing core platforms, while DESTACO will benefit from Stabilus' focus on industrial automation and strong go-to-market channels in industrial and automotive applications.</t>
        </is>
      </c>
      <c r="Y44" s="13" t="inlineStr">
        <is>
          <t>Corporate Backed or Acquired</t>
        </is>
      </c>
      <c r="Z44" s="13" t="inlineStr">
        <is>
          <t>Generating Revenue</t>
        </is>
      </c>
      <c r="AA44" s="13" t="inlineStr">
        <is>
          <t>Stabilus (ETR: STM) (Stefan Bauerreis)</t>
        </is>
      </c>
      <c r="AB44" s="13" t="inlineStr">
        <is>
          <t>Industrial Supplies and Parts</t>
        </is>
      </c>
      <c r="AC44" s="13" t="inlineStr">
        <is>
          <t>Manufacturing, Robotics and Drones</t>
        </is>
      </c>
      <c r="AD44" s="13" t="inlineStr">
        <is>
          <t>Manufacturer of reed valves and material handling tools catering to defense, aerospace, food processing, consumer goods, automotive and food processing companies. The company offers manual and pneumatic clamps, power clamps, robot hand gripping equipment, end effectors and remote handling equipment, thereby created to improve precision and productivity to get comprehensive and easy-to-handle products for streamlining manufacturing processes.</t>
        </is>
      </c>
      <c r="AE44" s="13" t="inlineStr">
        <is>
          <t>Auburn Hills, MI</t>
        </is>
      </c>
      <c r="AF44" s="13" t="inlineStr">
        <is>
          <t>www.destaco.com</t>
        </is>
      </c>
    </row>
    <row r="45" ht="42" customHeight="1">
      <c r="A45" s="18" t="inlineStr">
        <is>
          <t>USA-044</t>
        </is>
      </c>
      <c r="B45" s="18" t="inlineStr">
        <is>
          <t>USA</t>
        </is>
      </c>
      <c r="C45" s="18" t="inlineStr">
        <is>
          <t>USA</t>
        </is>
      </c>
      <c r="D45" s="19" t="inlineStr">
        <is>
          <t>Raptor Scientific</t>
        </is>
      </c>
      <c r="E45" s="19" t="inlineStr">
        <is>
          <t>TransDigm Group</t>
        </is>
      </c>
      <c r="F45" s="18" t="n"/>
      <c r="G45" s="19" t="n"/>
      <c r="H45" s="20" t="n">
        <v>45504</v>
      </c>
      <c r="I45" s="20" t="n"/>
      <c r="J45" s="21" t="n">
        <v>2024</v>
      </c>
      <c r="K45" s="19" t="inlineStr">
        <is>
          <t>Merger/Acquisition</t>
        </is>
      </c>
      <c r="L45" s="19" t="n"/>
      <c r="M45" s="19" t="inlineStr">
        <is>
          <t>Completed</t>
        </is>
      </c>
      <c r="N45" s="22" t="n">
        <v>647</v>
      </c>
      <c r="O45" s="18" t="inlineStr">
        <is>
          <t>USD</t>
        </is>
      </c>
      <c r="P45" s="50" t="n">
        <v>7.19</v>
      </c>
      <c r="R45" s="37" t="n"/>
      <c r="S45" s="22" t="n"/>
      <c r="T45" s="37" t="n">
        <v>7.19</v>
      </c>
      <c r="U45" s="22" t="n">
        <v>90</v>
      </c>
      <c r="V45" s="19" t="n"/>
      <c r="W45" s="22" t="n">
        <v>647</v>
      </c>
      <c r="X45" s="19" t="inlineStr">
        <is>
          <t>The company was acquired by TransDigm Group (NYS: TDG) for $647 million on July 31, 2024.</t>
        </is>
      </c>
      <c r="Y45" s="19" t="inlineStr">
        <is>
          <t>Formerly PE-Backed</t>
        </is>
      </c>
      <c r="Z45" s="19" t="inlineStr">
        <is>
          <t>Generating Revenue</t>
        </is>
      </c>
      <c r="AA45" s="19" t="inlineStr">
        <is>
          <t>TransDigm Group (NYS: TDG) (Kevin Stein)</t>
        </is>
      </c>
      <c r="AB45" s="19" t="inlineStr">
        <is>
          <t>Aerospace and Defense</t>
        </is>
      </c>
      <c r="AC45" s="19" t="inlineStr">
        <is>
          <t>Manufacturing</t>
        </is>
      </c>
      <c r="AD45" s="19" t="inlineStr">
        <is>
          <t>Manufacturer of engineering, testing, and measurement products intended for aerospace, defense, space, marine, and other markets. The company specializes in mass properties, air data test technology, pressure, temperature, torque, and force measurement instruments, and radar cross-section measurement instruments.</t>
        </is>
      </c>
      <c r="AE45" s="19" t="inlineStr">
        <is>
          <t>Berlin, CT</t>
        </is>
      </c>
      <c r="AF45" s="19" t="inlineStr">
        <is>
          <t>www.raptor-scientific.com</t>
        </is>
      </c>
    </row>
    <row r="46" ht="42" customHeight="1">
      <c r="A46" s="12" t="inlineStr">
        <is>
          <t>USA-045</t>
        </is>
      </c>
      <c r="B46" s="12" t="inlineStr">
        <is>
          <t>USA</t>
        </is>
      </c>
      <c r="C46" s="12" t="inlineStr">
        <is>
          <t>USA</t>
        </is>
      </c>
      <c r="D46" s="13" t="inlineStr">
        <is>
          <t>York Space Systems (NYS: YSS)</t>
        </is>
      </c>
      <c r="E46" s="13" t="n"/>
      <c r="F46" s="12" t="n"/>
      <c r="G46" s="13" t="n"/>
      <c r="H46" s="14" t="n">
        <v>46051</v>
      </c>
      <c r="I46" s="14" t="n"/>
      <c r="J46" s="15" t="n">
        <v>2026</v>
      </c>
      <c r="K46" s="13" t="inlineStr">
        <is>
          <t>IPO</t>
        </is>
      </c>
      <c r="L46" s="13" t="n"/>
      <c r="M46" s="13" t="inlineStr">
        <is>
          <t>Completed</t>
        </is>
      </c>
      <c r="N46" s="16" t="n">
        <v>629</v>
      </c>
      <c r="O46" s="12" t="inlineStr">
        <is>
          <t>USD</t>
        </is>
      </c>
      <c r="R46" s="36" t="n">
        <v>-29.58</v>
      </c>
      <c r="S46" s="16" t="n">
        <v>-21.26</v>
      </c>
      <c r="T46" s="36" t="n">
        <v>1.63</v>
      </c>
      <c r="U46" s="16" t="n">
        <v>386.2</v>
      </c>
      <c r="V46" s="13" t="n"/>
      <c r="W46" s="16" t="n">
        <v>4316.11</v>
      </c>
      <c r="X46" s="13" t="inlineStr">
        <is>
          <t>The company raised $629 million in its initial public offering on the New York Stock Exchange under the ticker symbol of YSS on January 29, 2026. A total of 18,500,000 shares were sold at $34 per share. After the offering, there was a total of 126,944,387 outstanding shares (excluding the over-allotment option) priced at $34 per share, valuing the company at $4.32 billion. The underwriters were granted an option to purchase up to an additional 2,775,000 shares from the company to cover over-allotments, if any.</t>
        </is>
      </c>
      <c r="Y46" s="13" t="inlineStr">
        <is>
          <t>Formerly PE-Backed</t>
        </is>
      </c>
      <c r="Z46" s="13" t="inlineStr">
        <is>
          <t>Profitable</t>
        </is>
      </c>
      <c r="AA46" s="13" t="n"/>
      <c r="AB46" s="13" t="inlineStr">
        <is>
          <t>Aerospace and Defense</t>
        </is>
      </c>
      <c r="AC46" s="13" t="inlineStr">
        <is>
          <t>Manufacturing</t>
        </is>
      </c>
      <c r="AD46" s="13" t="inlineStr">
        <is>
          <t>York Space Systems Inc is a U.S.-based space and defense company that provides mission-related solutions for national security, government, and commercial customers. The company develops its own hardware and software, offering capabilities intended to support customer requirements across various elements of the space mission lifecycle. It offers mission solutions across several complementary product categories: Components, Subsystems, Spacecraft Platforms, Ground Operation, Global Downlink, and Software-Enabled Services. The company derives the majority of revenue from long-term firm-fixed-price (FFP) production contracts for the design of small satellites, launch services, and ground services with both U.S. federal government-controlled agencies and domestic commercial customers.</t>
        </is>
      </c>
      <c r="AE46" s="13" t="inlineStr">
        <is>
          <t>Greenwood Village, CO</t>
        </is>
      </c>
      <c r="AF46" s="13" t="inlineStr">
        <is>
          <t>www.yorkspacesystems.com</t>
        </is>
      </c>
    </row>
    <row r="47" ht="42" customHeight="1">
      <c r="A47" s="18" t="inlineStr">
        <is>
          <t>USA-046</t>
        </is>
      </c>
      <c r="B47" s="18" t="inlineStr">
        <is>
          <t>USA</t>
        </is>
      </c>
      <c r="C47" s="18" t="inlineStr">
        <is>
          <t>USA</t>
        </is>
      </c>
      <c r="D47" s="19" t="inlineStr">
        <is>
          <t>Velodyne Lidar</t>
        </is>
      </c>
      <c r="E47" s="19" t="inlineStr">
        <is>
          <t>Ouster</t>
        </is>
      </c>
      <c r="F47" s="18" t="n"/>
      <c r="G47" s="19" t="n"/>
      <c r="H47" s="20" t="n">
        <v>44967</v>
      </c>
      <c r="I47" s="20" t="n"/>
      <c r="J47" s="21" t="n">
        <v>2023</v>
      </c>
      <c r="K47" s="19" t="inlineStr">
        <is>
          <t>Merger/Acquisition</t>
        </is>
      </c>
      <c r="L47" s="19" t="n"/>
      <c r="M47" s="19" t="inlineStr">
        <is>
          <t>Completed</t>
        </is>
      </c>
      <c r="N47" s="22" t="n">
        <v>600</v>
      </c>
      <c r="O47" s="18" t="inlineStr">
        <is>
          <t>USD</t>
        </is>
      </c>
      <c r="P47" s="50" t="n">
        <v>8.470000000000001</v>
      </c>
      <c r="R47" s="37" t="n">
        <v>-3.63</v>
      </c>
      <c r="S47" s="22" t="n">
        <v>-165.17</v>
      </c>
      <c r="T47" s="37" t="n">
        <v>13.37</v>
      </c>
      <c r="U47" s="22" t="n">
        <v>44.87</v>
      </c>
      <c r="V47" s="19" t="n"/>
      <c r="W47" s="22" t="n">
        <v>600</v>
      </c>
      <c r="X47" s="19" t="inlineStr">
        <is>
          <t>The company was acquired by Ouster (NYS: OUST) for $600 million on February 10, 2023.</t>
        </is>
      </c>
      <c r="Y47" s="19" t="inlineStr">
        <is>
          <t>Formerly VC-backed</t>
        </is>
      </c>
      <c r="Z47" s="19" t="inlineStr">
        <is>
          <t>Generating Revenue</t>
        </is>
      </c>
      <c r="AA47" s="19" t="inlineStr">
        <is>
          <t>Ouster (NAS: OUST)</t>
        </is>
      </c>
      <c r="AB47" s="19" t="inlineStr">
        <is>
          <t>Automotive</t>
        </is>
      </c>
      <c r="AC47" s="19" t="inlineStr">
        <is>
          <t>Autonomous cars, Industrials, Manufacturing, Mobility Tech, Robotics and Drones</t>
        </is>
      </c>
      <c r="AD47" s="19" t="inlineStr">
        <is>
          <t>Developer of autonomous technology intended to focus on the safety, efficiency, and sustainability of vehicles. The company's technology provides smart, powerful lidar products to meet the needs of a wide range of industries, including autonomous vehicles, advanced driver assistance systems (ADAS), robotics, unmanned aerial vehicles (UAVs), smart cities, and security, enabling industries to transform lives and communities by advancing safer mobility for all.</t>
        </is>
      </c>
      <c r="AE47" s="19" t="inlineStr">
        <is>
          <t>San Jose, CA</t>
        </is>
      </c>
      <c r="AF47" s="19" t="inlineStr">
        <is>
          <t>www.velodynelidar.com</t>
        </is>
      </c>
    </row>
    <row r="48" ht="42" customHeight="1">
      <c r="A48" s="12" t="inlineStr">
        <is>
          <t>USA-047</t>
        </is>
      </c>
      <c r="B48" s="12" t="inlineStr">
        <is>
          <t>USA</t>
        </is>
      </c>
      <c r="C48" s="12" t="inlineStr">
        <is>
          <t>USA</t>
        </is>
      </c>
      <c r="D48" s="13" t="inlineStr">
        <is>
          <t>Continental Disc Corporation</t>
        </is>
      </c>
      <c r="E48" s="13" t="inlineStr">
        <is>
          <t>Baker Hughes</t>
        </is>
      </c>
      <c r="F48" s="12" t="n"/>
      <c r="G48" s="13" t="n"/>
      <c r="H48" s="14" t="n">
        <v>45876</v>
      </c>
      <c r="I48" s="14" t="n"/>
      <c r="J48" s="15" t="n">
        <v>2025</v>
      </c>
      <c r="K48" s="13" t="inlineStr">
        <is>
          <t>Merger/Acquisition</t>
        </is>
      </c>
      <c r="L48" s="13" t="n"/>
      <c r="M48" s="13" t="inlineStr">
        <is>
          <t>Completed</t>
        </is>
      </c>
      <c r="N48" s="16" t="n">
        <v>554</v>
      </c>
      <c r="O48" s="12" t="inlineStr">
        <is>
          <t>USD</t>
        </is>
      </c>
      <c r="P48" s="50" t="n">
        <v>15.83</v>
      </c>
      <c r="R48" s="36" t="n"/>
      <c r="S48" s="16" t="n"/>
      <c r="T48" s="36" t="n">
        <v>15.83</v>
      </c>
      <c r="U48" s="16" t="n">
        <v>35</v>
      </c>
      <c r="V48" s="13" t="n"/>
      <c r="W48" s="16" t="n">
        <v>554</v>
      </c>
      <c r="X48" s="13" t="inlineStr">
        <is>
          <t>The company was acquired by Baker Hughes (NAS: BKR) for $554 million on August 7, 2025. This acquisition advances Baker Hughes' portfolio optimization strategy designed to drive more durable earnings and cash flow.</t>
        </is>
      </c>
      <c r="Y48" s="13" t="inlineStr">
        <is>
          <t>Formerly PE-Backed</t>
        </is>
      </c>
      <c r="Z48" s="13" t="inlineStr">
        <is>
          <t>Generating Revenue</t>
        </is>
      </c>
      <c r="AA48" s="13" t="inlineStr">
        <is>
          <t>Baker Hughes (NAS: BKR) (Lorenzo Simonelli)</t>
        </is>
      </c>
      <c r="AB48" s="13" t="inlineStr">
        <is>
          <t>Industrial Supplies and Parts</t>
        </is>
      </c>
      <c r="AC48" s="13" t="inlineStr">
        <is>
          <t>Manufacturing</t>
        </is>
      </c>
      <c r="AD48" s="13" t="inlineStr">
        <is>
          <t>Manufacturer of rupture discs and pressure relief devices serving chemical, petrochemical, pharmaceutical, food and beverage, aerospace, and electronics industries. The company provides sanitary rupture discs, disc holders, pipe end covers, heat shields, disc indicators, and sensor systems for overpressure protection, enabling safe and efficient pressure management across critical industrial processes.</t>
        </is>
      </c>
      <c r="AE48" s="13" t="inlineStr">
        <is>
          <t>Liberty, MO</t>
        </is>
      </c>
      <c r="AF48" s="13" t="inlineStr">
        <is>
          <t>www.contdisc.com</t>
        </is>
      </c>
    </row>
    <row r="49" ht="42" customHeight="1">
      <c r="A49" s="18" t="inlineStr">
        <is>
          <t>USA-048</t>
        </is>
      </c>
      <c r="B49" s="18" t="inlineStr">
        <is>
          <t>USA</t>
        </is>
      </c>
      <c r="C49" s="18" t="inlineStr">
        <is>
          <t>USA</t>
        </is>
      </c>
      <c r="D49" s="19" t="inlineStr">
        <is>
          <t>Scitec (Aerospace and Defense)</t>
        </is>
      </c>
      <c r="E49" s="19" t="inlineStr">
        <is>
          <t>Firefly Aerospace</t>
        </is>
      </c>
      <c r="F49" s="18" t="n"/>
      <c r="G49" s="19" t="n"/>
      <c r="H49" s="20" t="n">
        <v>45966</v>
      </c>
      <c r="I49" s="20" t="n"/>
      <c r="J49" s="21" t="n">
        <v>2025</v>
      </c>
      <c r="K49" s="19" t="inlineStr">
        <is>
          <t>Merger/Acquisition</t>
        </is>
      </c>
      <c r="L49" s="19" t="n"/>
      <c r="M49" s="19" t="inlineStr">
        <is>
          <t>Completed</t>
        </is>
      </c>
      <c r="N49" s="22" t="n">
        <v>546.97</v>
      </c>
      <c r="O49" s="18" t="inlineStr">
        <is>
          <t>USD</t>
        </is>
      </c>
      <c r="P49" s="50" t="n">
        <v>3.34</v>
      </c>
      <c r="R49" s="37" t="n"/>
      <c r="S49" s="22" t="n"/>
      <c r="T49" s="37" t="n">
        <v>3.34</v>
      </c>
      <c r="U49" s="22" t="n">
        <v>164</v>
      </c>
      <c r="V49" s="19" t="n"/>
      <c r="W49" s="22" t="n">
        <v>546.97</v>
      </c>
      <c r="X49" s="19" t="inlineStr">
        <is>
          <t>The company was acquired by Firefly Aerospace (NAS: FLY) for $546.973 million on November 5, 2025. The consideration of consisting of $277.4 million in cash, net of cash acquired, $269.6 million in common stock. The acquisition will advance Firefly's comprehensive space services by adding mission-proven defense software analytics, remote sensing, and multi-phenomenology data expertise.</t>
        </is>
      </c>
      <c r="Y49" s="19" t="inlineStr">
        <is>
          <t>Corporate Backed or Acquired</t>
        </is>
      </c>
      <c r="Z49" s="19" t="inlineStr">
        <is>
          <t>Generating Revenue</t>
        </is>
      </c>
      <c r="AA49" s="19" t="inlineStr">
        <is>
          <t>Firefly Aerospace (NAS: FLY) (Jason Kim)</t>
        </is>
      </c>
      <c r="AB49" s="19" t="inlineStr">
        <is>
          <t>Aerospace and Defense</t>
        </is>
      </c>
      <c r="AC49" s="19" t="n"/>
      <c r="AD49" s="19" t="inlineStr">
        <is>
          <t>Provider of national security technology services catering to the defense, governmental agencies, and industrial system development firm applications sectors. The company's offering consists of advanced sensor systems, data-processing algorithms, and testing equipment, target Detection, characterization &amp; custody, automated data fusion &amp; reporting, autonomous mission management, remote sensing simulation &amp; analysis, countermeasure Test Equipment &amp; Testing along with instrumentation fabrication, simulation, signal processing, and custom instrument design, thereby helping companies to achieve information dominance while solving complex threats, sensors, and environments.</t>
        </is>
      </c>
      <c r="AE49" s="19" t="inlineStr">
        <is>
          <t>Princeton, NJ</t>
        </is>
      </c>
      <c r="AF49" s="19" t="inlineStr">
        <is>
          <t>www.scitec.com</t>
        </is>
      </c>
    </row>
    <row r="50" ht="42" customHeight="1">
      <c r="A50" s="12" t="inlineStr">
        <is>
          <t>USA-049</t>
        </is>
      </c>
      <c r="B50" s="12" t="inlineStr">
        <is>
          <t>USA</t>
        </is>
      </c>
      <c r="C50" s="12" t="inlineStr">
        <is>
          <t>USA</t>
        </is>
      </c>
      <c r="D50" s="13" t="inlineStr">
        <is>
          <t>Karman Holdings (NYS: KRMN)</t>
        </is>
      </c>
      <c r="E50" s="13" t="n"/>
      <c r="F50" s="12" t="n"/>
      <c r="G50" s="13" t="n"/>
      <c r="H50" s="14" t="n">
        <v>45700</v>
      </c>
      <c r="I50" s="14" t="n"/>
      <c r="J50" s="15" t="n">
        <v>2025</v>
      </c>
      <c r="K50" s="13" t="inlineStr">
        <is>
          <t>IPO</t>
        </is>
      </c>
      <c r="L50" s="13" t="n"/>
      <c r="M50" s="13" t="inlineStr">
        <is>
          <t>Completed</t>
        </is>
      </c>
      <c r="N50" s="16" t="n">
        <v>506</v>
      </c>
      <c r="O50" s="12" t="inlineStr">
        <is>
          <t>USD</t>
        </is>
      </c>
      <c r="R50" s="36" t="n">
        <v>5.17</v>
      </c>
      <c r="S50" s="16" t="n">
        <v>97.86</v>
      </c>
      <c r="T50" s="36" t="n">
        <v>1.47</v>
      </c>
      <c r="U50" s="16" t="n">
        <v>345.25</v>
      </c>
      <c r="V50" s="13" t="n"/>
      <c r="W50" s="16" t="n">
        <v>2907.84</v>
      </c>
      <c r="X50" s="13" t="inlineStr">
        <is>
          <t>The company raised $506 million in its initial public offering on the New York Stock Exchange under the ticker symbol of KRMN on February 12, 2025. A total of 23,000,000 shares were sold at $22 per share. After the offering, there was a total of 132,174,593 outstanding shares at $22 per share, valuing the company at $2.91 billion.</t>
        </is>
      </c>
      <c r="Y50" s="13" t="inlineStr">
        <is>
          <t>Formerly PE-Backed</t>
        </is>
      </c>
      <c r="Z50" s="13" t="inlineStr">
        <is>
          <t>Profitable</t>
        </is>
      </c>
      <c r="AA50" s="13" t="n"/>
      <c r="AB50" s="13" t="inlineStr">
        <is>
          <t>Government</t>
        </is>
      </c>
      <c r="AC50" s="13" t="n"/>
      <c r="AD50" s="13" t="inlineStr">
        <is>
          <t>Karman Holdings Inc specializes in the upfront design, testing, manufacturing, and sale of mission-critical systems for existing and emerging missile and defense, and space programs. Its integrated payload protection, propulsion, and interstage system solutions are deployed across a wide variety of existing and emerging programs supporting important Department of Defense (DoD) and space sector initiatives. Its engineered solutions are organized into three key families: Payload Protection and Deployment Systems, Aerodynamic Interstage Systems, and Propulsion Systems. The company's solutions are deployed across three growing, core end markets: Hypersonics &amp; Strategic Missile Defense, Missile &amp; Integrated Defense Systems, and Space &amp; Launch.</t>
        </is>
      </c>
      <c r="AE50" s="13" t="inlineStr">
        <is>
          <t>Huntington Beach, CA</t>
        </is>
      </c>
      <c r="AF50" s="13" t="inlineStr">
        <is>
          <t>www.karman-sd.com</t>
        </is>
      </c>
    </row>
    <row r="51" ht="42" customHeight="1">
      <c r="A51" s="18" t="inlineStr">
        <is>
          <t>USA-050</t>
        </is>
      </c>
      <c r="B51" s="18" t="inlineStr">
        <is>
          <t>USA</t>
        </is>
      </c>
      <c r="C51" s="18" t="inlineStr">
        <is>
          <t>USA</t>
        </is>
      </c>
      <c r="D51" s="19" t="inlineStr">
        <is>
          <t>Celanese (Micromax Business)</t>
        </is>
      </c>
      <c r="E51" s="19" t="inlineStr">
        <is>
          <t>Element Solutions</t>
        </is>
      </c>
      <c r="F51" s="18" t="n"/>
      <c r="G51" s="19" t="n"/>
      <c r="H51" s="20" t="n">
        <v>46055</v>
      </c>
      <c r="I51" s="20" t="n"/>
      <c r="J51" s="21" t="n">
        <v>2026</v>
      </c>
      <c r="K51" s="19" t="inlineStr">
        <is>
          <t>Merger/Acquisition</t>
        </is>
      </c>
      <c r="L51" s="19" t="n"/>
      <c r="M51" s="19" t="inlineStr">
        <is>
          <t>Completed</t>
        </is>
      </c>
      <c r="N51" s="22" t="n">
        <v>500</v>
      </c>
      <c r="O51" s="18" t="inlineStr">
        <is>
          <t>USD</t>
        </is>
      </c>
      <c r="P51" s="50" t="n">
        <v>1.67</v>
      </c>
      <c r="R51" s="37" t="n"/>
      <c r="S51" s="22" t="n"/>
      <c r="T51" s="37" t="n">
        <v>1.67</v>
      </c>
      <c r="U51" s="22" t="n">
        <v>300</v>
      </c>
      <c r="V51" s="19" t="inlineStr">
        <is>
          <t>Corporate Divestiture</t>
        </is>
      </c>
      <c r="W51" s="22" t="n">
        <v>500</v>
      </c>
      <c r="X51" s="19" t="inlineStr">
        <is>
          <t>The Micromax Business of Celanese (NYS: CE) was acquired by Element Solutions (NYS: ESI) for $500 million on February 2, 2026. This transaction represents Element Solutions' commitment to advancing their strategic priorities of cash generation and deleveraging, while enabling the Micromax team to continue building on its strong foundation as part of Element Solutions.</t>
        </is>
      </c>
      <c r="Y51" s="19" t="inlineStr">
        <is>
          <t>Corporate Backed or Acquired</t>
        </is>
      </c>
      <c r="Z51" s="19" t="inlineStr">
        <is>
          <t>Generating Revenue</t>
        </is>
      </c>
      <c r="AA51" s="19" t="inlineStr">
        <is>
          <t>Element Solutions (Specialty Chemicals) (NYS: ESI) (Benjamin Gliklich)</t>
        </is>
      </c>
      <c r="AB51" s="19" t="inlineStr">
        <is>
          <t>Distributors/Wholesale</t>
        </is>
      </c>
      <c r="AC51" s="19" t="inlineStr">
        <is>
          <t>Manufacturing</t>
        </is>
      </c>
      <c r="AD51" s="19" t="inlineStr">
        <is>
          <t>Distributor of advanced electronic inks and pastes used in a variety of applications, including navigation and defense, medical monitoring and advanced circuit board components. The portfolio includes conductive, resistive, and dielectric thick film inks, as well as Low-Temperature Co-fired Ceramic (LTCC) materials for creating multilayer circuits.</t>
        </is>
      </c>
      <c r="AE51" s="19" t="inlineStr">
        <is>
          <t>Irving, TX</t>
        </is>
      </c>
      <c r="AF51" s="19" t="n"/>
    </row>
    <row r="52" ht="42" customHeight="1">
      <c r="A52" s="12" t="inlineStr">
        <is>
          <t>USA-051</t>
        </is>
      </c>
      <c r="B52" s="12" t="inlineStr">
        <is>
          <t>USA</t>
        </is>
      </c>
      <c r="C52" s="12" t="inlineStr">
        <is>
          <t>USA</t>
        </is>
      </c>
      <c r="D52" s="13" t="inlineStr">
        <is>
          <t>kSARIA</t>
        </is>
      </c>
      <c r="E52" s="13" t="inlineStr">
        <is>
          <t>ITT</t>
        </is>
      </c>
      <c r="F52" s="12" t="n"/>
      <c r="G52" s="13" t="n"/>
      <c r="H52" s="14" t="n">
        <v>45547</v>
      </c>
      <c r="I52" s="14" t="n"/>
      <c r="J52" s="15" t="n">
        <v>2024</v>
      </c>
      <c r="K52" s="13" t="inlineStr">
        <is>
          <t>Merger/Acquisition</t>
        </is>
      </c>
      <c r="L52" s="13" t="n"/>
      <c r="M52" s="13" t="inlineStr">
        <is>
          <t>Completed</t>
        </is>
      </c>
      <c r="N52" s="16" t="n">
        <v>461.8</v>
      </c>
      <c r="O52" s="12" t="inlineStr">
        <is>
          <t>USD</t>
        </is>
      </c>
      <c r="R52" s="36" t="n"/>
      <c r="S52" s="16" t="n"/>
      <c r="T52" s="36" t="n"/>
      <c r="U52" s="16" t="n"/>
      <c r="V52" s="13" t="n"/>
      <c r="W52" s="16" t="n">
        <v>461.8</v>
      </c>
      <c r="X52" s="13" t="inlineStr">
        <is>
          <t>The company was acquired by ITT (NYS: ITT) for $461.8 million on September 12, 2024.</t>
        </is>
      </c>
      <c r="Y52" s="13" t="inlineStr">
        <is>
          <t>Formerly PE-Backed</t>
        </is>
      </c>
      <c r="Z52" s="13" t="inlineStr">
        <is>
          <t>Generating Revenue</t>
        </is>
      </c>
      <c r="AA52" s="13" t="inlineStr">
        <is>
          <t>ITT (NYS: ITT) (Luca Savi)</t>
        </is>
      </c>
      <c r="AB52" s="13" t="inlineStr">
        <is>
          <t>Aerospace and Defense</t>
        </is>
      </c>
      <c r="AC52" s="13" t="inlineStr">
        <is>
          <t>Manufacturing</t>
        </is>
      </c>
      <c r="AD52" s="13" t="inlineStr">
        <is>
          <t>Manufacturer and supplier of mission-critical connectivity products intended for the aerospace and defense end markets. The company specializes in offering products for cable assembly design, fabrication, installation, training and logistics management for supporting applications for avionics, sensors, communications and networking, enabling its clients to reduce human error during cable assembly processing effectively.</t>
        </is>
      </c>
      <c r="AE52" s="13" t="inlineStr">
        <is>
          <t>Hudson, NH</t>
        </is>
      </c>
      <c r="AF52" s="13" t="inlineStr">
        <is>
          <t>www.ksaria.com</t>
        </is>
      </c>
    </row>
    <row r="53" ht="42" customHeight="1">
      <c r="A53" s="18" t="inlineStr">
        <is>
          <t>USA-052</t>
        </is>
      </c>
      <c r="B53" s="18" t="inlineStr">
        <is>
          <t>USA</t>
        </is>
      </c>
      <c r="C53" s="18" t="inlineStr">
        <is>
          <t>USA</t>
        </is>
      </c>
      <c r="D53" s="19" t="inlineStr">
        <is>
          <t>Voyager (NYS: VOYG)</t>
        </is>
      </c>
      <c r="E53" s="19" t="n"/>
      <c r="F53" s="18" t="n"/>
      <c r="G53" s="19" t="n"/>
      <c r="H53" s="20" t="n">
        <v>45819</v>
      </c>
      <c r="I53" s="20" t="n"/>
      <c r="J53" s="21" t="n">
        <v>2025</v>
      </c>
      <c r="K53" s="19" t="inlineStr">
        <is>
          <t>IPO</t>
        </is>
      </c>
      <c r="L53" s="19" t="n"/>
      <c r="M53" s="19" t="inlineStr">
        <is>
          <t>Completed</t>
        </is>
      </c>
      <c r="N53" s="22" t="n">
        <v>440.22</v>
      </c>
      <c r="O53" s="18" t="inlineStr">
        <is>
          <t>USD</t>
        </is>
      </c>
      <c r="R53" s="37" t="n">
        <v>-8.390000000000001</v>
      </c>
      <c r="S53" s="22" t="n">
        <v>-52.47</v>
      </c>
      <c r="T53" s="37" t="n">
        <v>2.97</v>
      </c>
      <c r="U53" s="22" t="n">
        <v>148.47</v>
      </c>
      <c r="V53" s="19" t="n"/>
      <c r="W53" s="22" t="n">
        <v>1802.36</v>
      </c>
      <c r="X53" s="19" t="inlineStr">
        <is>
          <t>The company raised $440.22 million in its initial public offering on the New York Stock Exchange under the ticker symbol of VOYG on June 11, 2025. A total of 14,200,645 class A shares were sold at $31 per share. After the offering, there was a total of 58,140,792 outstanding shares at $31 per share, valuing the company at $1.80 billion. The underwriters were granted an option to purchase up to an additional 1,852,258 shares from the company to cover over-allotments, if any. The over-allotment option was exercised in full by the underwriter.</t>
        </is>
      </c>
      <c r="Y53" s="19" t="inlineStr">
        <is>
          <t>Formerly VC-backed</t>
        </is>
      </c>
      <c r="Z53" s="19" t="inlineStr">
        <is>
          <t>Generating Revenue</t>
        </is>
      </c>
      <c r="AA53" s="19" t="n"/>
      <c r="AB53" s="19" t="inlineStr">
        <is>
          <t>Aerospace and Defense</t>
        </is>
      </c>
      <c r="AC53" s="19" t="n"/>
      <c r="AD53" s="19" t="inlineStr">
        <is>
          <t>Voyager Technologies Inc is a defense and space technology company committed to advancing and delivering transformative, mission-critical solutions. It operates across three primary divisions namely Defense and National Security that provides innovative mission-critical solutions to protect dynamic and contested domains. Pioneer communications technologies, guidance, navigation and controls, signals intelligence and defense systems. Space Solutions delivers space infrastructure, advanced space technology, science systems and mission services that power commercial, academic and government missions from low-Earth orbit to deep space. and Starlab Space Stations is a commercial space station planned to succeed the ISS and provide continued permanent human presence in space.</t>
        </is>
      </c>
      <c r="AE53" s="19" t="inlineStr">
        <is>
          <t>Denver, CO</t>
        </is>
      </c>
      <c r="AF53" s="19" t="inlineStr">
        <is>
          <t>www.voyagertechnologies.com</t>
        </is>
      </c>
    </row>
    <row r="54" ht="42" customHeight="1">
      <c r="A54" s="12" t="inlineStr">
        <is>
          <t>USA-053</t>
        </is>
      </c>
      <c r="B54" s="12" t="inlineStr">
        <is>
          <t>USA</t>
        </is>
      </c>
      <c r="C54" s="12" t="inlineStr">
        <is>
          <t>USA</t>
        </is>
      </c>
      <c r="D54" s="13" t="inlineStr">
        <is>
          <t>Capella Space</t>
        </is>
      </c>
      <c r="E54" s="13" t="inlineStr">
        <is>
          <t>IonQ</t>
        </is>
      </c>
      <c r="F54" s="12" t="n"/>
      <c r="G54" s="13" t="n"/>
      <c r="H54" s="14" t="n">
        <v>45849</v>
      </c>
      <c r="I54" s="14" t="n"/>
      <c r="J54" s="15" t="n">
        <v>2025</v>
      </c>
      <c r="K54" s="13" t="inlineStr">
        <is>
          <t>Merger/Acquisition</t>
        </is>
      </c>
      <c r="L54" s="13" t="n"/>
      <c r="M54" s="13" t="inlineStr">
        <is>
          <t>Completed</t>
        </is>
      </c>
      <c r="N54" s="16" t="n">
        <v>424.83</v>
      </c>
      <c r="O54" s="12" t="inlineStr">
        <is>
          <t>USD</t>
        </is>
      </c>
      <c r="R54" s="36" t="n"/>
      <c r="S54" s="16" t="n"/>
      <c r="T54" s="36" t="n"/>
      <c r="U54" s="16" t="n"/>
      <c r="V54" s="13" t="n"/>
      <c r="W54" s="16" t="n">
        <v>424.83</v>
      </c>
      <c r="X54" s="13" t="inlineStr">
        <is>
          <t>The company was acquired by IonQ (NYS: IONQ) for $424.832 million on July 11, 2025. The acquisition will help strengthen IonQ's position in advancing quantum networking technologies that are essential for building the quantum internet and supporting infrastructure development in the space economy.</t>
        </is>
      </c>
      <c r="Y54" s="13" t="inlineStr">
        <is>
          <t>Formerly VC-backed</t>
        </is>
      </c>
      <c r="Z54" s="13" t="inlineStr">
        <is>
          <t>Generating Revenue</t>
        </is>
      </c>
      <c r="AA54" s="13" t="inlineStr">
        <is>
          <t>IonQ (NYS: IONQ) (Niccolo Masi)</t>
        </is>
      </c>
      <c r="AB54" s="13" t="inlineStr">
        <is>
          <t>Aerospace and Defense</t>
        </is>
      </c>
      <c r="AC54" s="13" t="inlineStr">
        <is>
          <t>Artificial Intelligence &amp; Machine Learning, Robotics and Drones, SaaS, Space Technology</t>
        </is>
      </c>
      <c r="AD54" s="13" t="inlineStr">
        <is>
          <t>Developer of a satellite radar imagery technology designed to provide continuous global coverage through clouds, smoke, fog, and darkness. The company's technology uses the synthetic aperture radar imaging technique to see through the clouds in any light or storm conditions, enabling defense, disaster relief, and maritime operations to conduct infrastructure monitoring and geospatial data analysis efficiently.</t>
        </is>
      </c>
      <c r="AE54" s="13" t="inlineStr">
        <is>
          <t>San Francisco, CA</t>
        </is>
      </c>
      <c r="AF54" s="13" t="inlineStr">
        <is>
          <t>www.capellaspace.com</t>
        </is>
      </c>
    </row>
    <row r="55" ht="42" customHeight="1">
      <c r="A55" s="18" t="inlineStr">
        <is>
          <t>USA-054</t>
        </is>
      </c>
      <c r="B55" s="18" t="inlineStr">
        <is>
          <t>USA</t>
        </is>
      </c>
      <c r="C55" s="18" t="inlineStr">
        <is>
          <t>USA</t>
        </is>
      </c>
      <c r="D55" s="19" t="inlineStr">
        <is>
          <t>Dedrone</t>
        </is>
      </c>
      <c r="E55" s="19" t="inlineStr">
        <is>
          <t>Axon Enterprise</t>
        </is>
      </c>
      <c r="F55" s="18" t="n"/>
      <c r="G55" s="19" t="n"/>
      <c r="H55" s="20" t="n">
        <v>45567</v>
      </c>
      <c r="I55" s="20" t="n"/>
      <c r="J55" s="21" t="n">
        <v>2024</v>
      </c>
      <c r="K55" s="19" t="inlineStr">
        <is>
          <t>Merger/Acquisition</t>
        </is>
      </c>
      <c r="L55" s="19" t="n"/>
      <c r="M55" s="19" t="inlineStr">
        <is>
          <t>Completed</t>
        </is>
      </c>
      <c r="N55" s="22" t="n">
        <v>391.1</v>
      </c>
      <c r="O55" s="18" t="inlineStr">
        <is>
          <t>USD</t>
        </is>
      </c>
      <c r="R55" s="37" t="n"/>
      <c r="S55" s="22" t="n"/>
      <c r="T55" s="37" t="n"/>
      <c r="U55" s="22" t="n"/>
      <c r="V55" s="19" t="n"/>
      <c r="W55" s="22" t="n">
        <v>490.1</v>
      </c>
      <c r="X55" s="19" t="inlineStr">
        <is>
          <t>The company was acquired by Axon Enterprise (NAS: AXON) for $391.1 million on October 2, 2024.</t>
        </is>
      </c>
      <c r="Y55" s="19" t="inlineStr">
        <is>
          <t>Formerly VC-backed</t>
        </is>
      </c>
      <c r="Z55" s="19" t="inlineStr">
        <is>
          <t>Generating Revenue</t>
        </is>
      </c>
      <c r="AA55" s="19" t="inlineStr">
        <is>
          <t>Axon Enterprise (NAS: AXON) (Henrik Kühl)</t>
        </is>
      </c>
      <c r="AB55" s="19" t="inlineStr">
        <is>
          <t>Electronic Equipment and Instruments</t>
        </is>
      </c>
      <c r="AC55" s="19" t="inlineStr">
        <is>
          <t>Advanced Manufacturing, Artificial Intelligence &amp; Machine Learning, Big Data, Mobility Tech, Robotics and Drones</t>
        </is>
      </c>
      <c r="AD55" s="19" t="inlineStr">
        <is>
          <t>Operator of a counter-drone technology platform intended to protect organizations from malicious drones by securing airspace. The company's platform uses machine learning-based sensor data fusion and integrates with a variety of sensing and threat mitigation technologies, enabling clients to customize their platform and meet their specific needs and threat levels.</t>
        </is>
      </c>
      <c r="AE55" s="19" t="inlineStr">
        <is>
          <t>Sterling, VA</t>
        </is>
      </c>
      <c r="AF55" s="19" t="inlineStr">
        <is>
          <t>www.dedrone.com</t>
        </is>
      </c>
    </row>
    <row r="56" ht="42" customHeight="1">
      <c r="A56" s="12" t="inlineStr">
        <is>
          <t>USA-055</t>
        </is>
      </c>
      <c r="B56" s="12" t="inlineStr">
        <is>
          <t>USA</t>
        </is>
      </c>
      <c r="C56" s="12" t="inlineStr">
        <is>
          <t>USA</t>
        </is>
      </c>
      <c r="D56" s="13" t="inlineStr">
        <is>
          <t>Berkshire Grey</t>
        </is>
      </c>
      <c r="E56" s="13" t="inlineStr">
        <is>
          <t>SoftBank Group</t>
        </is>
      </c>
      <c r="F56" s="12" t="n"/>
      <c r="G56" s="13" t="n"/>
      <c r="H56" s="14" t="n">
        <v>45127</v>
      </c>
      <c r="I56" s="14" t="n"/>
      <c r="J56" s="15" t="n">
        <v>2023</v>
      </c>
      <c r="K56" s="13" t="inlineStr">
        <is>
          <t>Merger/Acquisition</t>
        </is>
      </c>
      <c r="L56" s="13" t="n"/>
      <c r="M56" s="13" t="inlineStr">
        <is>
          <t>Completed</t>
        </is>
      </c>
      <c r="N56" s="16" t="n">
        <v>375</v>
      </c>
      <c r="O56" s="12" t="inlineStr">
        <is>
          <t>USD</t>
        </is>
      </c>
      <c r="P56" s="50" t="n">
        <v>7.24</v>
      </c>
      <c r="R56" s="36" t="n">
        <v>-3.34</v>
      </c>
      <c r="S56" s="16" t="n">
        <v>-112.17</v>
      </c>
      <c r="T56" s="36" t="n">
        <v>5.62</v>
      </c>
      <c r="U56" s="16" t="n">
        <v>66.67</v>
      </c>
      <c r="V56" s="13" t="n"/>
      <c r="W56" s="16" t="n">
        <v>521.5599999999999</v>
      </c>
      <c r="X56" s="13" t="inlineStr">
        <is>
          <t>The company was acquired by SoftBank Group (TKS: 9984) for $375 million on July 20, 2023.</t>
        </is>
      </c>
      <c r="Y56" s="13" t="inlineStr">
        <is>
          <t>Formerly VC-backed</t>
        </is>
      </c>
      <c r="Z56" s="13" t="inlineStr">
        <is>
          <t>Generating Revenue</t>
        </is>
      </c>
      <c r="AA56" s="13" t="inlineStr">
        <is>
          <t>SoftBank Group (TKS: 9984) (Alex Clavel)</t>
        </is>
      </c>
      <c r="AB56" s="13" t="inlineStr">
        <is>
          <t>Other Hardware</t>
        </is>
      </c>
      <c r="AC56" s="13" t="inlineStr">
        <is>
          <t>Artificial Intelligence &amp; Machine Learning, Robotics and Drones, Supply Chain Tech, TMT</t>
        </is>
      </c>
      <c r="AD56" s="13" t="inlineStr">
        <is>
          <t>Berkshire Grey Inc helps customers delivering game-changing technology that combines AI and robotics to automate fulfillment, supply chain, and logistics operations. Its solutions are a fundamental engine of change that transforms pick, pack, move, store, organize and sort operations to deliver a competitive advantage for enterprises. Majority of the revenue is derived from North America.</t>
        </is>
      </c>
      <c r="AE56" s="13" t="inlineStr">
        <is>
          <t>Bedford, MA</t>
        </is>
      </c>
      <c r="AF56" s="13" t="inlineStr">
        <is>
          <t>www.berkshiregrey.com</t>
        </is>
      </c>
    </row>
    <row r="57" ht="42" customHeight="1">
      <c r="A57" s="18" t="inlineStr">
        <is>
          <t>USA-056</t>
        </is>
      </c>
      <c r="B57" s="18" t="inlineStr">
        <is>
          <t>USA</t>
        </is>
      </c>
      <c r="C57" s="18" t="inlineStr">
        <is>
          <t>USA</t>
        </is>
      </c>
      <c r="D57" s="19" t="inlineStr">
        <is>
          <t>Aero 3</t>
        </is>
      </c>
      <c r="E57" s="19" t="inlineStr">
        <is>
          <t>VSE</t>
        </is>
      </c>
      <c r="F57" s="18" t="n"/>
      <c r="G57" s="19" t="n"/>
      <c r="H57" s="20" t="n">
        <v>46014</v>
      </c>
      <c r="I57" s="20" t="n"/>
      <c r="J57" s="21" t="n">
        <v>2025</v>
      </c>
      <c r="K57" s="19" t="inlineStr">
        <is>
          <t>Merger/Acquisition</t>
        </is>
      </c>
      <c r="L57" s="19" t="n"/>
      <c r="M57" s="19" t="inlineStr">
        <is>
          <t>Completed</t>
        </is>
      </c>
      <c r="N57" s="22" t="n">
        <v>350</v>
      </c>
      <c r="O57" s="18" t="inlineStr">
        <is>
          <t>USD</t>
        </is>
      </c>
      <c r="P57" s="50" t="n">
        <v>2.92</v>
      </c>
      <c r="R57" s="37" t="n"/>
      <c r="S57" s="22" t="n"/>
      <c r="T57" s="37" t="n">
        <v>2.92</v>
      </c>
      <c r="U57" s="22" t="n">
        <v>120</v>
      </c>
      <c r="V57" s="19" t="n"/>
      <c r="W57" s="22" t="n">
        <v>350</v>
      </c>
      <c r="X57" s="19" t="inlineStr">
        <is>
          <t>The company was acquired by VSE (NAS: VSEC) for $350 million on December 23, 2025.</t>
        </is>
      </c>
      <c r="Y57" s="19" t="inlineStr">
        <is>
          <t>Formerly PE-Backed</t>
        </is>
      </c>
      <c r="Z57" s="19" t="inlineStr">
        <is>
          <t>Profitable</t>
        </is>
      </c>
      <c r="AA57" s="19" t="inlineStr">
        <is>
          <t>VSE (Aerospace and Defense) (NAS: VSEC) (John Cuomo)</t>
        </is>
      </c>
      <c r="AB57" s="19" t="inlineStr">
        <is>
          <t>Other Commercial Services</t>
        </is>
      </c>
      <c r="AC57" s="19" t="inlineStr">
        <is>
          <t>Industrials</t>
        </is>
      </c>
      <c r="AD57" s="19" t="inlineStr">
        <is>
          <t>Provider of maintenance services for aircraft intended to support airlines and regional partners, corporate and general aviation. The company also offers door-to-door services in the repair and overhaul of brake assemblies, wheel assemblies and landing gear and related aircraft components for wide-body aircraft, regional aircraft, corporate aircraft and military aircraft, enabling clients to avail services at an affordable price as per their needs.</t>
        </is>
      </c>
      <c r="AE57" s="19" t="inlineStr">
        <is>
          <t>Bedford, NH</t>
        </is>
      </c>
      <c r="AF57" s="19" t="inlineStr">
        <is>
          <t>www.aero3inc.com</t>
        </is>
      </c>
    </row>
    <row r="58" ht="42" customHeight="1">
      <c r="A58" s="12" t="inlineStr">
        <is>
          <t>USA-057</t>
        </is>
      </c>
      <c r="B58" s="12" t="inlineStr">
        <is>
          <t>USA</t>
        </is>
      </c>
      <c r="C58" s="12" t="inlineStr">
        <is>
          <t>USA</t>
        </is>
      </c>
      <c r="D58" s="13" t="inlineStr">
        <is>
          <t>Science Applications International (Logistics and Supply Chain Management Business)</t>
        </is>
      </c>
      <c r="E58" s="13" t="inlineStr">
        <is>
          <t>ASRC Federal Holding Company</t>
        </is>
      </c>
      <c r="F58" s="12" t="n"/>
      <c r="G58" s="13" t="n"/>
      <c r="H58" s="14" t="n">
        <v>45054</v>
      </c>
      <c r="I58" s="14" t="n"/>
      <c r="J58" s="15" t="n">
        <v>2023</v>
      </c>
      <c r="K58" s="13" t="inlineStr">
        <is>
          <t>Merger/Acquisition</t>
        </is>
      </c>
      <c r="L58" s="13" t="n"/>
      <c r="M58" s="13" t="inlineStr">
        <is>
          <t>Completed</t>
        </is>
      </c>
      <c r="N58" s="16" t="n">
        <v>350</v>
      </c>
      <c r="O58" s="12" t="inlineStr">
        <is>
          <t>USD</t>
        </is>
      </c>
      <c r="R58" s="36" t="n"/>
      <c r="S58" s="16" t="n"/>
      <c r="T58" s="36" t="n"/>
      <c r="U58" s="16" t="n"/>
      <c r="V58" s="13" t="inlineStr">
        <is>
          <t>Corporate Divestiture</t>
        </is>
      </c>
      <c r="W58" s="16" t="n">
        <v>350</v>
      </c>
      <c r="X58" s="13" t="inlineStr">
        <is>
          <t>The Logistics and Supply Chain Management business of Science Applications International (NYS: SAIC), was acquired by ASRC Federal, a subsidiary of Arctic Slope Regional, for $350 million on May 8, 2023. The acquisition builds upon ASRC Federal's base operations support capability that provides procurement, logistics and warehousing services at military locations throughout the United States.</t>
        </is>
      </c>
      <c r="Y58" s="13" t="inlineStr">
        <is>
          <t>Corporate Backed or Acquired</t>
        </is>
      </c>
      <c r="Z58" s="13" t="inlineStr">
        <is>
          <t>Generating Revenue</t>
        </is>
      </c>
      <c r="AA58" s="13" t="inlineStr">
        <is>
          <t>ASRC Federal Holding Company (Jennifer Felix)</t>
        </is>
      </c>
      <c r="AB58" s="13" t="inlineStr">
        <is>
          <t>Logistics</t>
        </is>
      </c>
      <c r="AC58" s="13" t="n"/>
      <c r="AD58" s="13" t="inlineStr">
        <is>
          <t>Provider of logistics and supply chain management services intended to provides services to defense agencies. The company's service includes procurement, logistics and warehousing services enabling clients to get a wide range of secured logistic services.</t>
        </is>
      </c>
      <c r="AE58" s="13" t="inlineStr">
        <is>
          <t>Reston, VA</t>
        </is>
      </c>
      <c r="AF58" s="13" t="n"/>
    </row>
    <row r="59" ht="42" customHeight="1">
      <c r="A59" s="18" t="inlineStr">
        <is>
          <t>USA-058</t>
        </is>
      </c>
      <c r="B59" s="18" t="inlineStr">
        <is>
          <t>USA</t>
        </is>
      </c>
      <c r="C59" s="18" t="inlineStr">
        <is>
          <t>USA</t>
        </is>
      </c>
      <c r="D59" s="19" t="inlineStr">
        <is>
          <t>Signature Systems</t>
        </is>
      </c>
      <c r="E59" s="19" t="inlineStr">
        <is>
          <t>Myers Industries</t>
        </is>
      </c>
      <c r="F59" s="18" t="n"/>
      <c r="G59" s="19" t="n"/>
      <c r="H59" s="20" t="n">
        <v>45330</v>
      </c>
      <c r="I59" s="20" t="n"/>
      <c r="J59" s="21" t="n">
        <v>2024</v>
      </c>
      <c r="K59" s="19" t="inlineStr">
        <is>
          <t>Merger/Acquisition</t>
        </is>
      </c>
      <c r="L59" s="19" t="n"/>
      <c r="M59" s="19" t="inlineStr">
        <is>
          <t>Completed</t>
        </is>
      </c>
      <c r="N59" s="22" t="n">
        <v>348.16</v>
      </c>
      <c r="O59" s="18" t="inlineStr">
        <is>
          <t>USD</t>
        </is>
      </c>
      <c r="P59" s="50" t="n">
        <v>2.85</v>
      </c>
      <c r="Q59" s="50" t="n">
        <v>7.91</v>
      </c>
      <c r="R59" s="37" t="n">
        <v>7.91</v>
      </c>
      <c r="S59" s="22" t="n">
        <v>44</v>
      </c>
      <c r="T59" s="37" t="n">
        <v>2.85</v>
      </c>
      <c r="U59" s="22" t="n">
        <v>122</v>
      </c>
      <c r="V59" s="19" t="n"/>
      <c r="W59" s="22" t="n">
        <v>348.16</v>
      </c>
      <c r="X59" s="19" t="inlineStr">
        <is>
          <t>The company was acquired by Myers Industries (NYS: MYE) for $348.159 million on February 8, 2024. This acquisition enhances Myers' traditional strength of free cash flow generation and advances.</t>
        </is>
      </c>
      <c r="Y59" s="19" t="inlineStr">
        <is>
          <t>Formerly PE-Backed</t>
        </is>
      </c>
      <c r="Z59" s="19" t="inlineStr">
        <is>
          <t>Generating Revenue</t>
        </is>
      </c>
      <c r="AA59" s="19" t="inlineStr">
        <is>
          <t>Myers Industries (NYS: MYE) (Michael McGaugh)</t>
        </is>
      </c>
      <c r="AB59" s="19" t="inlineStr">
        <is>
          <t>Distributors/Wholesale</t>
        </is>
      </c>
      <c r="AC59" s="19" t="inlineStr">
        <is>
          <t>Industrials, Manufacturing</t>
        </is>
      </c>
      <c r="AD59" s="19" t="inlineStr">
        <is>
          <t>Designer, manufacturer and distributor of temporary flooring and fencing products intended for worksite safety and ground protection. The company offers specialty ground surfaces and coverings which include industrial composite matting, turf protection systems and temporary modular flooring for a variety of applications, including tent floors, military compound floors, stadium concerts, ice arenas, gym floor protection, sideline protection, track crossings, garage floors, hangar floors, enabling its clients to avail related commercial uses as per their requirements.</t>
        </is>
      </c>
      <c r="AE59" s="19" t="inlineStr">
        <is>
          <t>Flower Mound, TX</t>
        </is>
      </c>
      <c r="AF59" s="19" t="inlineStr">
        <is>
          <t>www.signature-systems.com</t>
        </is>
      </c>
    </row>
    <row r="60" ht="42" customHeight="1">
      <c r="A60" s="12" t="inlineStr">
        <is>
          <t>USA-059</t>
        </is>
      </c>
      <c r="B60" s="12" t="inlineStr">
        <is>
          <t>USA</t>
        </is>
      </c>
      <c r="C60" s="12" t="inlineStr">
        <is>
          <t>USA</t>
        </is>
      </c>
      <c r="D60" s="13" t="inlineStr">
        <is>
          <t>Kranze Technology Solutions</t>
        </is>
      </c>
      <c r="E60" s="13" t="inlineStr">
        <is>
          <t>SPX Technologies</t>
        </is>
      </c>
      <c r="F60" s="12" t="n"/>
      <c r="G60" s="13" t="n"/>
      <c r="H60" s="14" t="n">
        <v>45740</v>
      </c>
      <c r="I60" s="14" t="n"/>
      <c r="J60" s="15" t="n">
        <v>2025</v>
      </c>
      <c r="K60" s="13" t="inlineStr">
        <is>
          <t>Merger/Acquisition</t>
        </is>
      </c>
      <c r="L60" s="13" t="n"/>
      <c r="M60" s="13" t="inlineStr">
        <is>
          <t>Completed</t>
        </is>
      </c>
      <c r="N60" s="16" t="n">
        <v>342</v>
      </c>
      <c r="O60" s="12" t="inlineStr">
        <is>
          <t>USD</t>
        </is>
      </c>
      <c r="R60" s="36" t="n"/>
      <c r="S60" s="16" t="n"/>
      <c r="T60" s="36" t="n"/>
      <c r="U60" s="16" t="n"/>
      <c r="V60" s="13" t="n"/>
      <c r="W60" s="16" t="n">
        <v>342</v>
      </c>
      <c r="X60" s="13" t="inlineStr">
        <is>
          <t>The company was acquired by SPX Technologies (NYS: SPXC) for $342 million on March 24, 2025. The acquisition helps SPX Technologies with its existing comm tech platform within its Detection &amp; Measurement segment and KTS' differentiated digital interoperability solutions are highly complementary to its existing tactical datalinks and radio frequency (RF) countermeasure offerings and bring significant and further growth opportunities to its business.</t>
        </is>
      </c>
      <c r="Y60" s="13" t="inlineStr">
        <is>
          <t>Corporate Backed or Acquired</t>
        </is>
      </c>
      <c r="Z60" s="13" t="inlineStr">
        <is>
          <t>Generating Revenue</t>
        </is>
      </c>
      <c r="AA60" s="13" t="inlineStr">
        <is>
          <t>SPX Technologies (NYS: SPXC) (Eugene Lowe)</t>
        </is>
      </c>
      <c r="AB60" s="13" t="inlineStr">
        <is>
          <t>Aerospace and Defense</t>
        </is>
      </c>
      <c r="AC60" s="13" t="inlineStr">
        <is>
          <t>Manufacturing</t>
        </is>
      </c>
      <c r="AD60" s="13" t="inlineStr">
        <is>
          <t>Manufacturer of hardware and software product development, systems of systems integration, system test and evaluation support, modeling and simulation analysis, and other engineering services to support the Warfighter. The company specializes in the defense industry specializing in Infrared Countermeasures (IRCM) systems, digital interoperability and networking, and program support for the US Navy, US Marine Corps, and SOCOM.</t>
        </is>
      </c>
      <c r="AE60" s="13" t="inlineStr">
        <is>
          <t>Des Plaines, IL</t>
        </is>
      </c>
      <c r="AF60" s="13" t="inlineStr">
        <is>
          <t>www.kranzetech.com</t>
        </is>
      </c>
    </row>
    <row r="61" ht="42" customHeight="1">
      <c r="A61" s="18" t="inlineStr">
        <is>
          <t>USA-060</t>
        </is>
      </c>
      <c r="B61" s="18" t="inlineStr">
        <is>
          <t>USA</t>
        </is>
      </c>
      <c r="C61" s="18" t="inlineStr">
        <is>
          <t>USA</t>
        </is>
      </c>
      <c r="D61" s="19" t="inlineStr">
        <is>
          <t>Northrop Grumman (Mission Training and Satellite Ground Network Communications Software Business)</t>
        </is>
      </c>
      <c r="E61" s="19" t="inlineStr">
        <is>
          <t>Serco Group</t>
        </is>
      </c>
      <c r="F61" s="18" t="n"/>
      <c r="G61" s="19" t="n"/>
      <c r="H61" s="20" t="n">
        <v>45801</v>
      </c>
      <c r="I61" s="20" t="n"/>
      <c r="J61" s="21" t="n">
        <v>2025</v>
      </c>
      <c r="K61" s="19" t="inlineStr">
        <is>
          <t>Merger/Acquisition</t>
        </is>
      </c>
      <c r="L61" s="19" t="n"/>
      <c r="M61" s="19" t="inlineStr">
        <is>
          <t>Completed</t>
        </is>
      </c>
      <c r="N61" s="22" t="n">
        <v>327</v>
      </c>
      <c r="O61" s="18" t="inlineStr">
        <is>
          <t>USD</t>
        </is>
      </c>
      <c r="P61" s="50" t="n">
        <v>1.09</v>
      </c>
      <c r="R61" s="37" t="n"/>
      <c r="S61" s="22" t="n"/>
      <c r="T61" s="37" t="n">
        <v>1.09</v>
      </c>
      <c r="U61" s="22" t="n">
        <v>300</v>
      </c>
      <c r="V61" s="19" t="inlineStr">
        <is>
          <t>Corporate Divestiture</t>
        </is>
      </c>
      <c r="W61" s="22" t="n">
        <v>327</v>
      </c>
      <c r="X61" s="19" t="inlineStr">
        <is>
          <t>The mission training and satellite ground network communications software (MT&amp;S) business of Northrop Grumman (NYS: NOC) was acquired by Serco Group (LON: SRP) for $327 million on May 24, 2025. This acquisition increases Serco Group's participation in the US market and the international defense sector.</t>
        </is>
      </c>
      <c r="Y61" s="19" t="inlineStr">
        <is>
          <t>Corporate Backed or Acquired</t>
        </is>
      </c>
      <c r="Z61" s="19" t="inlineStr">
        <is>
          <t>Generating Revenue</t>
        </is>
      </c>
      <c r="AA61" s="19" t="inlineStr">
        <is>
          <t>Serco Group (LON: SRP) (Mark Irwin)</t>
        </is>
      </c>
      <c r="AB61" s="19" t="inlineStr">
        <is>
          <t>Buildings and Property</t>
        </is>
      </c>
      <c r="AC61" s="19" t="n"/>
      <c r="AD61" s="19" t="inlineStr">
        <is>
          <t>Provider of training and satellite ground network communications software solutions catering to the US military. The company offers advanced training services for the US military and software that improves the efficiency of satellite ground networks.</t>
        </is>
      </c>
      <c r="AE61" s="19" t="inlineStr">
        <is>
          <t>Falls Church, VA</t>
        </is>
      </c>
      <c r="AF61" s="19" t="n"/>
    </row>
    <row r="62" ht="42" customHeight="1">
      <c r="A62" s="12" t="inlineStr">
        <is>
          <t>USA-061</t>
        </is>
      </c>
      <c r="B62" s="12" t="inlineStr">
        <is>
          <t>USA</t>
        </is>
      </c>
      <c r="C62" s="12" t="inlineStr">
        <is>
          <t>USA</t>
        </is>
      </c>
      <c r="D62" s="13" t="inlineStr">
        <is>
          <t>Geost</t>
        </is>
      </c>
      <c r="E62" s="13" t="inlineStr">
        <is>
          <t>Rocket Lab</t>
        </is>
      </c>
      <c r="F62" s="12" t="n"/>
      <c r="G62" s="13" t="n"/>
      <c r="H62" s="14" t="n">
        <v>45881</v>
      </c>
      <c r="I62" s="14" t="n"/>
      <c r="J62" s="15" t="n">
        <v>2025</v>
      </c>
      <c r="K62" s="13" t="inlineStr">
        <is>
          <t>Merger/Acquisition</t>
        </is>
      </c>
      <c r="L62" s="13" t="n"/>
      <c r="M62" s="13" t="inlineStr">
        <is>
          <t>Completed</t>
        </is>
      </c>
      <c r="N62" s="16" t="n">
        <v>325</v>
      </c>
      <c r="O62" s="12" t="inlineStr">
        <is>
          <t>USD</t>
        </is>
      </c>
      <c r="P62" s="50" t="n">
        <v>3.25</v>
      </c>
      <c r="R62" s="36" t="n"/>
      <c r="S62" s="16" t="n"/>
      <c r="T62" s="36" t="n">
        <v>3.25</v>
      </c>
      <c r="U62" s="16" t="n">
        <v>100</v>
      </c>
      <c r="V62" s="13" t="inlineStr">
        <is>
          <t>Corporate Divestiture</t>
        </is>
      </c>
      <c r="W62" s="16" t="n">
        <v>325</v>
      </c>
      <c r="X62" s="13" t="inlineStr">
        <is>
          <t>The company, a subsidiary of LightRidge Solutions, was acquired by Rocket Lab (NAS: RKLB) for an estimated $325 million on August 12, 2025. The acquisition expands Rocket Lab's end-to-end mission solutions with advanced electro-optical and infrared payloads for missile warning, tracking, and space domain awareness. The company will receive a contingent payout of $50 million upon the completion of successful future revenue targets.</t>
        </is>
      </c>
      <c r="Y62" s="13" t="inlineStr">
        <is>
          <t>Formerly PE-Backed</t>
        </is>
      </c>
      <c r="Z62" s="13" t="inlineStr">
        <is>
          <t>Generating Revenue</t>
        </is>
      </c>
      <c r="AA62" s="13" t="inlineStr">
        <is>
          <t>Rocket Lab (NAS: RKLB) (Peter Beck)</t>
        </is>
      </c>
      <c r="AB62" s="13" t="inlineStr">
        <is>
          <t>Aerospace and Defense</t>
        </is>
      </c>
      <c r="AC62" s="13" t="inlineStr">
        <is>
          <t>Manufacturing</t>
        </is>
      </c>
      <c r="AD62" s="13" t="inlineStr">
        <is>
          <t>Manufacturer of optical collection systems that provide operational advantage using data in and from space. The company offers electro-optical (EO) sensors and sensor payloads, along with the associated sensor processing, analysis, and ground infrastructure, enabling the national security space sector to enhance mission effectiveness and operational reliability.</t>
        </is>
      </c>
      <c r="AE62" s="13" t="inlineStr">
        <is>
          <t>Tucson, AZ</t>
        </is>
      </c>
      <c r="AF62" s="13" t="inlineStr">
        <is>
          <t>www.geost.com</t>
        </is>
      </c>
    </row>
    <row r="63" ht="42" customHeight="1">
      <c r="A63" s="18" t="inlineStr">
        <is>
          <t>USA-062</t>
        </is>
      </c>
      <c r="B63" s="18" t="inlineStr">
        <is>
          <t>USA</t>
        </is>
      </c>
      <c r="C63" s="18" t="inlineStr">
        <is>
          <t>USA</t>
        </is>
      </c>
      <c r="D63" s="19" t="inlineStr">
        <is>
          <t>Aevex (NYS: AVEX)</t>
        </is>
      </c>
      <c r="E63" s="19" t="n"/>
      <c r="F63" s="18" t="n"/>
      <c r="G63" s="19" t="n"/>
      <c r="H63" s="20" t="n">
        <v>46129</v>
      </c>
      <c r="I63" s="20" t="n"/>
      <c r="J63" s="21" t="n">
        <v>2026</v>
      </c>
      <c r="K63" s="19" t="inlineStr">
        <is>
          <t>IPO</t>
        </is>
      </c>
      <c r="L63" s="19" t="n"/>
      <c r="M63" s="19" t="inlineStr">
        <is>
          <t>Completed</t>
        </is>
      </c>
      <c r="N63" s="22" t="n">
        <v>320</v>
      </c>
      <c r="O63" s="18" t="inlineStr">
        <is>
          <t>USD</t>
        </is>
      </c>
      <c r="R63" s="37" t="n">
        <v>4.1</v>
      </c>
      <c r="S63" s="22" t="n">
        <v>77.98999999999999</v>
      </c>
      <c r="T63" s="37" t="n">
        <v>0.54</v>
      </c>
      <c r="U63" s="22" t="n">
        <v>596.37</v>
      </c>
      <c r="V63" s="19" t="n"/>
      <c r="W63" s="22" t="n">
        <v>2232.83</v>
      </c>
      <c r="X63" s="19" t="inlineStr">
        <is>
          <t>The company raised $320 million in its initial public offering on the New York Stock Exchange under the ticker symbol of AVEX on April 17, 2026. A total of 16,000,000 class A shares were sold at a price of $20 class A per share. After the offering, there was a total of 111,641,700 outstanding shares (excluding the over-allotment option) priced at $20 per share, valuing the company at $2.24 billion. The underwriters were granted an option to purchase up to an additional 2,400,000 class A shares from the company to cover-allotments, if any.</t>
        </is>
      </c>
      <c r="Y63" s="19" t="inlineStr">
        <is>
          <t>Formerly PE-Backed</t>
        </is>
      </c>
      <c r="Z63" s="19" t="inlineStr">
        <is>
          <t>Generating Revenue</t>
        </is>
      </c>
      <c r="AA63" s="19" t="n"/>
      <c r="AB63" s="19" t="inlineStr">
        <is>
          <t>Holding Companies</t>
        </is>
      </c>
      <c r="AC63" s="19" t="n"/>
      <c r="AD63" s="19" t="inlineStr">
        <is>
          <t>AEVEX Corp is a defense technology company delivering next-generation navigation and autonomy, uncrewed systems, and adaptable mission solutions engineered to need, delivered at speed, and built for the modern battlespace. Its solutions are sold to agencies and organizations within the DoW, SOF, IC, and allied international partners. The group offers products and solutions such as CompassCore, CompassVision, CompassEngage, Precision Strike Systems, Unmanned Surface Vessels, Long Endurance Aircraft, Additive Manufacturing, Full Spectrum Airborne ISR, Aircraft Modification and Testing, and Others.</t>
        </is>
      </c>
      <c r="AE63" s="19" t="inlineStr">
        <is>
          <t>Solana Beach, CA</t>
        </is>
      </c>
      <c r="AF63" s="19" t="inlineStr">
        <is>
          <t>www.aevex.com</t>
        </is>
      </c>
    </row>
    <row r="64" ht="42" customHeight="1">
      <c r="A64" s="12" t="inlineStr">
        <is>
          <t>USA-063</t>
        </is>
      </c>
      <c r="B64" s="12" t="inlineStr">
        <is>
          <t>USA</t>
        </is>
      </c>
      <c r="C64" s="12" t="inlineStr">
        <is>
          <t>USA</t>
        </is>
      </c>
      <c r="D64" s="13" t="inlineStr">
        <is>
          <t>Crawford United</t>
        </is>
      </c>
      <c r="E64" s="13" t="inlineStr">
        <is>
          <t>SPX Technologies</t>
        </is>
      </c>
      <c r="F64" s="12" t="n"/>
      <c r="G64" s="13" t="n"/>
      <c r="H64" s="14" t="n">
        <v>46059</v>
      </c>
      <c r="I64" s="14" t="n"/>
      <c r="J64" s="15" t="n">
        <v>2026</v>
      </c>
      <c r="K64" s="13" t="inlineStr">
        <is>
          <t>Merger/Acquisition</t>
        </is>
      </c>
      <c r="L64" s="13" t="n"/>
      <c r="M64" s="13" t="inlineStr">
        <is>
          <t>Completed</t>
        </is>
      </c>
      <c r="N64" s="16" t="n">
        <v>314.87</v>
      </c>
      <c r="O64" s="12" t="inlineStr">
        <is>
          <t>USD</t>
        </is>
      </c>
      <c r="P64" s="50" t="n">
        <v>1.79</v>
      </c>
      <c r="Q64" s="50" t="n">
        <v>10.46</v>
      </c>
      <c r="R64" s="36" t="n">
        <v>10.53</v>
      </c>
      <c r="S64" s="16" t="n">
        <v>29.91</v>
      </c>
      <c r="T64" s="36" t="n">
        <v>1.8</v>
      </c>
      <c r="U64" s="16" t="n">
        <v>174.73</v>
      </c>
      <c r="V64" s="13" t="n"/>
      <c r="W64" s="16" t="n">
        <v>314.87</v>
      </c>
      <c r="X64" s="13" t="inlineStr">
        <is>
          <t>The company was acquired by SPX Technologies (NYS: SPXC) for $314.873 million on February 6, 2026. The acquisition will expand SPX's HVAC portfolio of custom air handling solutions and enhance its coil offering, bringing complementary technologies, design capabilities, and manufacturing footprint.</t>
        </is>
      </c>
      <c r="Y64" s="13" t="inlineStr">
        <is>
          <t>Corporate Backed or Acquired</t>
        </is>
      </c>
      <c r="Z64" s="13" t="inlineStr">
        <is>
          <t>Generating Revenue</t>
        </is>
      </c>
      <c r="AA64" s="13" t="inlineStr">
        <is>
          <t>SPX Technologies (NYS: SPXC) (Eugene Lowe)</t>
        </is>
      </c>
      <c r="AB64" s="13" t="inlineStr">
        <is>
          <t>Other Commercial Products</t>
        </is>
      </c>
      <c r="AC64" s="13" t="inlineStr">
        <is>
          <t>Manufacturing, TMT</t>
        </is>
      </c>
      <c r="AD64" s="13" t="inlineStr">
        <is>
          <t>Crawford United Corp is engaged in providing specialty industrial products to diverse markets of healthcare, education, automotive, aerospace, trucking, and petrochemical. The company operates through the following segments, namely Commercial Air Handling Equipment, which is into designing, manufacturing, and installing large-scale commercial, institutional, and industrial custom air handling solutions; and Industrial &amp; Transportation Products which generates majority of the revenue for the company, is into manufacturing of flexible interlocking metal hoses and the distribution of silicone and hydraulic hoses. The company's geographical segments include the United States which is also its key revenue generating market, Puerto Rico, Canada, and Others.</t>
        </is>
      </c>
      <c r="AE64" s="13" t="inlineStr">
        <is>
          <t>Cleveland, OH</t>
        </is>
      </c>
      <c r="AF64" s="13" t="inlineStr">
        <is>
          <t>www.crawfordunited.com</t>
        </is>
      </c>
    </row>
    <row r="65" ht="42" customHeight="1">
      <c r="A65" s="18" t="inlineStr">
        <is>
          <t>USA-064</t>
        </is>
      </c>
      <c r="B65" s="18" t="inlineStr">
        <is>
          <t>USA</t>
        </is>
      </c>
      <c r="C65" s="18" t="inlineStr">
        <is>
          <t>USA</t>
        </is>
      </c>
      <c r="D65" s="19" t="inlineStr">
        <is>
          <t>Applied Insight</t>
        </is>
      </c>
      <c r="E65" s="19" t="inlineStr">
        <is>
          <t>CACI International</t>
        </is>
      </c>
      <c r="F65" s="18" t="n"/>
      <c r="G65" s="19" t="n"/>
      <c r="H65" s="20" t="n">
        <v>45566</v>
      </c>
      <c r="I65" s="20" t="n"/>
      <c r="J65" s="21" t="n">
        <v>2024</v>
      </c>
      <c r="K65" s="19" t="inlineStr">
        <is>
          <t>Merger/Acquisition</t>
        </is>
      </c>
      <c r="L65" s="19" t="n"/>
      <c r="M65" s="19" t="inlineStr">
        <is>
          <t>Completed</t>
        </is>
      </c>
      <c r="N65" s="22" t="n">
        <v>314.2</v>
      </c>
      <c r="O65" s="18" t="inlineStr">
        <is>
          <t>USD</t>
        </is>
      </c>
      <c r="R65" s="37" t="n"/>
      <c r="S65" s="22" t="n"/>
      <c r="T65" s="37" t="n"/>
      <c r="U65" s="22" t="n"/>
      <c r="V65" s="19" t="n"/>
      <c r="W65" s="22" t="n">
        <v>314.2</v>
      </c>
      <c r="X65" s="19" t="inlineStr">
        <is>
          <t>The company was acquired by CACI International (NYS: CACI) for $314.2 million on October 1, 2024. With the close of this acquisition, CACI further establishes its unparalleled reputation for delivering expertise and technology to modernize our customers' enterprise IT infrastructure.</t>
        </is>
      </c>
      <c r="Y65" s="19" t="inlineStr">
        <is>
          <t>Formerly PE-Backed</t>
        </is>
      </c>
      <c r="Z65" s="19" t="inlineStr">
        <is>
          <t>Generating Revenue</t>
        </is>
      </c>
      <c r="AA65" s="19" t="inlineStr">
        <is>
          <t>CACI International (NYS: CACI) (John Mengucci)</t>
        </is>
      </c>
      <c r="AB65" s="19" t="inlineStr">
        <is>
          <t>Systems and Information Management</t>
        </is>
      </c>
      <c r="AC65" s="19" t="inlineStr">
        <is>
          <t>Big Data, Cybersecurity, SaaS</t>
        </is>
      </c>
      <c r="AD65" s="19" t="inlineStr">
        <is>
          <t>Provider of information technology services intended to balance the need for control and compliance through cloud management and emulation. The company provides cloud infrastructure, advanced analytics and cybersecurity services for the national security mission, along with identity management and deployment planning to the federal government, defense, intelligence community and public sectors, enabling them to overcome technical and cultural hurdles to innovation.</t>
        </is>
      </c>
      <c r="AE65" s="19" t="inlineStr">
        <is>
          <t>Reston, VA</t>
        </is>
      </c>
      <c r="AF65" s="19" t="inlineStr">
        <is>
          <t>www.applied-insight.com</t>
        </is>
      </c>
    </row>
    <row r="66" ht="42" customHeight="1">
      <c r="A66" s="12" t="inlineStr">
        <is>
          <t>USA-065</t>
        </is>
      </c>
      <c r="B66" s="12" t="inlineStr">
        <is>
          <t>USA</t>
        </is>
      </c>
      <c r="C66" s="12" t="inlineStr">
        <is>
          <t>USA</t>
        </is>
      </c>
      <c r="D66" s="13" t="inlineStr">
        <is>
          <t>Terran Orbital</t>
        </is>
      </c>
      <c r="E66" s="13" t="inlineStr">
        <is>
          <t>Lockheed Martin</t>
        </is>
      </c>
      <c r="F66" s="12" t="n"/>
      <c r="G66" s="13" t="n"/>
      <c r="H66" s="14" t="n">
        <v>45595</v>
      </c>
      <c r="I66" s="14" t="n"/>
      <c r="J66" s="15" t="n">
        <v>2024</v>
      </c>
      <c r="K66" s="13" t="inlineStr">
        <is>
          <t>Merger/Acquisition</t>
        </is>
      </c>
      <c r="L66" s="13" t="n"/>
      <c r="M66" s="13" t="inlineStr">
        <is>
          <t>Completed</t>
        </is>
      </c>
      <c r="N66" s="16" t="n">
        <v>314</v>
      </c>
      <c r="O66" s="12" t="inlineStr">
        <is>
          <t>USD</t>
        </is>
      </c>
      <c r="P66" s="50" t="n">
        <v>3.06</v>
      </c>
      <c r="R66" s="36" t="n">
        <v>-3.43</v>
      </c>
      <c r="S66" s="16" t="n">
        <v>-91.63</v>
      </c>
      <c r="T66" s="36" t="n">
        <v>2.36</v>
      </c>
      <c r="U66" s="16" t="n">
        <v>133.11</v>
      </c>
      <c r="V66" s="13" t="n"/>
      <c r="W66" s="16" t="n">
        <v>437.94</v>
      </c>
      <c r="X66" s="13" t="inlineStr">
        <is>
          <t>The company was acquired by Lockheed Martin (NYS: LMT) for $314 million on October 30, 2024. The acquisition aligns with Lockheed Martin's broader goal of expanding its footprint in the space industry, particularly as demand for satellite-based communications, Earth observation, and defense systems continues to surge.</t>
        </is>
      </c>
      <c r="Y66" s="13" t="inlineStr">
        <is>
          <t>Formerly VC-backed</t>
        </is>
      </c>
      <c r="Z66" s="13" t="inlineStr">
        <is>
          <t>Generating Revenue</t>
        </is>
      </c>
      <c r="AA66" s="13" t="inlineStr">
        <is>
          <t>Lockheed Martin (NYS: LMT) (Robert Lightfoot)</t>
        </is>
      </c>
      <c r="AB66" s="13" t="inlineStr">
        <is>
          <t>Aerospace and Defense</t>
        </is>
      </c>
      <c r="AC66" s="13" t="inlineStr">
        <is>
          <t>Industrials, Manufacturing, Space Technology</t>
        </is>
      </c>
      <c r="AD66" s="13" t="inlineStr">
        <is>
          <t>Terran Orbital Corp is a manufacturer of satellite products primarily serving the aerospace and defense industries. The company provide end-to-end satellite solutions by combining satellite design, production, launch planning, mission operations, and on-orbit support to meet the needs of our military, civil, and commercial customers. Geographically company operates in United States and Europe. Majority of the revenue is generated from United States.</t>
        </is>
      </c>
      <c r="AE66" s="13" t="inlineStr">
        <is>
          <t>Irvine, CA</t>
        </is>
      </c>
      <c r="AF66" s="13" t="inlineStr">
        <is>
          <t>www.terranorbital.com</t>
        </is>
      </c>
    </row>
    <row r="67" ht="42" customHeight="1">
      <c r="A67" s="18" t="inlineStr">
        <is>
          <t>USA-066</t>
        </is>
      </c>
      <c r="B67" s="18" t="inlineStr">
        <is>
          <t>USA</t>
        </is>
      </c>
      <c r="C67" s="18" t="inlineStr">
        <is>
          <t>USA</t>
        </is>
      </c>
      <c r="D67" s="19" t="inlineStr">
        <is>
          <t>Loar Holdings (NYS: LOAR)</t>
        </is>
      </c>
      <c r="E67" s="19" t="n"/>
      <c r="F67" s="18" t="n"/>
      <c r="G67" s="19" t="n"/>
      <c r="H67" s="20" t="n">
        <v>45407</v>
      </c>
      <c r="I67" s="20" t="n"/>
      <c r="J67" s="21" t="n">
        <v>2024</v>
      </c>
      <c r="K67" s="19" t="inlineStr">
        <is>
          <t>IPO</t>
        </is>
      </c>
      <c r="L67" s="19" t="n"/>
      <c r="M67" s="19" t="inlineStr">
        <is>
          <t>Completed</t>
        </is>
      </c>
      <c r="N67" s="22" t="n">
        <v>308</v>
      </c>
      <c r="O67" s="18" t="inlineStr">
        <is>
          <t>USD</t>
        </is>
      </c>
      <c r="R67" s="37" t="n">
        <v>2.74</v>
      </c>
      <c r="S67" s="22" t="n">
        <v>112.43</v>
      </c>
      <c r="T67" s="37" t="n">
        <v>0.92</v>
      </c>
      <c r="U67" s="22" t="n">
        <v>335.08</v>
      </c>
      <c r="V67" s="19" t="n"/>
      <c r="W67" s="22" t="n">
        <v>2464</v>
      </c>
      <c r="X67" s="19" t="inlineStr">
        <is>
          <t>The company raised $308 million in its initial public offering on the New York Stock Exchange under the ticker symbol of LOAR on April 25, 2024. A total of 11,000,000 shares were sold at $28 per share. After the offering, there was a total of 88,000,000 outstanding shares at $28 per share, valuing the company at $2.46 billion. The underwriters were granted an option to purchase up to an additional 1,650,000 shares from the company to cover over-allotments, if any.</t>
        </is>
      </c>
      <c r="Y67" s="19" t="inlineStr">
        <is>
          <t>Private Equity-Backed</t>
        </is>
      </c>
      <c r="Z67" s="19" t="inlineStr">
        <is>
          <t>Generating Revenue</t>
        </is>
      </c>
      <c r="AA67" s="19" t="n"/>
      <c r="AB67" s="19" t="inlineStr">
        <is>
          <t>Aerospace and Defense</t>
        </is>
      </c>
      <c r="AC67" s="19" t="inlineStr">
        <is>
          <t>Industrials, Manufacturing</t>
        </is>
      </c>
      <c r="AD67" s="19" t="inlineStr">
        <is>
          <t>Loar Holdings Inc in the design, manufacture, and sale of niche aerospace and defense components that are essential for today's aircraft and aerospace and defense systems. Its manufactured products includes auto throttles, lap-belt airbags, two- and three-point seat belts, water purification systems, fire barriers, polyimide washers and bushings, latches, hold-open and tie rods, temperature and fluid sensors and switches, carbon and metallic brake discs, fluid and pneumatic-based ice protection, RAM air components, sealing solutions and motion and actuation devices, among others. Its operations are organized and managed as one segment designed to offer its customers aerospace-related parts and supplies.</t>
        </is>
      </c>
      <c r="AE67" s="19" t="inlineStr">
        <is>
          <t>White Plains, NY</t>
        </is>
      </c>
      <c r="AF67" s="19" t="inlineStr">
        <is>
          <t>www.loargroup.com</t>
        </is>
      </c>
    </row>
    <row r="68" ht="42" customHeight="1">
      <c r="A68" s="12" t="inlineStr">
        <is>
          <t>USA-067</t>
        </is>
      </c>
      <c r="B68" s="12" t="inlineStr">
        <is>
          <t>USA</t>
        </is>
      </c>
      <c r="C68" s="12" t="inlineStr">
        <is>
          <t>USA</t>
        </is>
      </c>
      <c r="D68" s="13" t="inlineStr">
        <is>
          <t>Aerodome</t>
        </is>
      </c>
      <c r="E68" s="13" t="inlineStr">
        <is>
          <t>Flock Safety</t>
        </is>
      </c>
      <c r="F68" s="12" t="n"/>
      <c r="G68" s="13" t="n"/>
      <c r="H68" s="14" t="n">
        <v>45581</v>
      </c>
      <c r="I68" s="14" t="n"/>
      <c r="J68" s="15" t="n">
        <v>2024</v>
      </c>
      <c r="K68" s="13" t="inlineStr">
        <is>
          <t>Merger/Acquisition</t>
        </is>
      </c>
      <c r="L68" s="13" t="n"/>
      <c r="M68" s="13" t="inlineStr">
        <is>
          <t>Completed</t>
        </is>
      </c>
      <c r="N68" s="16" t="n">
        <v>300</v>
      </c>
      <c r="O68" s="12" t="inlineStr">
        <is>
          <t>USD</t>
        </is>
      </c>
      <c r="R68" s="36" t="n"/>
      <c r="S68" s="16" t="n"/>
      <c r="T68" s="36" t="n"/>
      <c r="U68" s="16" t="n"/>
      <c r="V68" s="13" t="n"/>
      <c r="W68" s="16" t="n">
        <v>300</v>
      </c>
      <c r="X68" s="13" t="inlineStr">
        <is>
          <t>The company was acquired by Flock Safety for an estimated $300 million on October 16, 2024.</t>
        </is>
      </c>
      <c r="Y68" s="13" t="inlineStr">
        <is>
          <t>Formerly VC-backed</t>
        </is>
      </c>
      <c r="Z68" s="13" t="inlineStr">
        <is>
          <t>Generating Revenue</t>
        </is>
      </c>
      <c r="AA68" s="13" t="inlineStr">
        <is>
          <t>Flock Safety (Garrett Langley)</t>
        </is>
      </c>
      <c r="AB68" s="13" t="inlineStr">
        <is>
          <t>Operating Systems Software</t>
        </is>
      </c>
      <c r="AC68" s="13" t="inlineStr">
        <is>
          <t>Robotics and Drones</t>
        </is>
      </c>
      <c r="AD68" s="13" t="inlineStr">
        <is>
          <t>Developer of air support and drones as first responder platforms intended to allow agencies to deploy drones for missions. The company's missions include search and rescue, disaster response, and law enforcement, enabling air support staff to efficiently operate their missions.</t>
        </is>
      </c>
      <c r="AE68" s="13" t="inlineStr">
        <is>
          <t>New York, NY</t>
        </is>
      </c>
      <c r="AF68" s="13" t="inlineStr">
        <is>
          <t>www.aerodome.com</t>
        </is>
      </c>
    </row>
    <row r="69" ht="42" customHeight="1">
      <c r="A69" s="18" t="inlineStr">
        <is>
          <t>USA-068</t>
        </is>
      </c>
      <c r="B69" s="18" t="inlineStr">
        <is>
          <t>USA</t>
        </is>
      </c>
      <c r="C69" s="18" t="inlineStr">
        <is>
          <t>USA</t>
        </is>
      </c>
      <c r="D69" s="19" t="inlineStr">
        <is>
          <t>Air Industries Group (ASE: AIRI)</t>
        </is>
      </c>
      <c r="E69" s="19" t="inlineStr">
        <is>
          <t>Tenax Aerospace</t>
        </is>
      </c>
      <c r="F69" s="18" t="n"/>
      <c r="G69" s="19" t="n"/>
      <c r="H69" s="20" t="n">
        <v>46070</v>
      </c>
      <c r="I69" s="20" t="n"/>
      <c r="J69" s="21" t="n">
        <v>2026</v>
      </c>
      <c r="K69" s="19" t="inlineStr">
        <is>
          <t>Merger/Acquisition</t>
        </is>
      </c>
      <c r="L69" s="19" t="n"/>
      <c r="M69" s="19" t="inlineStr">
        <is>
          <t>Announced/In Progress</t>
        </is>
      </c>
      <c r="N69" s="22" t="n">
        <v>300</v>
      </c>
      <c r="O69" s="18" t="inlineStr">
        <is>
          <t>USD</t>
        </is>
      </c>
      <c r="P69" s="50" t="n">
        <v>6.58</v>
      </c>
      <c r="Q69" s="50" t="n">
        <v>83.43000000000001</v>
      </c>
      <c r="R69" s="37" t="n">
        <v>79.43000000000001</v>
      </c>
      <c r="S69" s="22" t="n">
        <v>3.78</v>
      </c>
      <c r="T69" s="37" t="n">
        <v>6.26</v>
      </c>
      <c r="U69" s="22" t="n">
        <v>47.92</v>
      </c>
      <c r="V69" s="19" t="n"/>
      <c r="W69" s="22" t="n">
        <v>315.8</v>
      </c>
      <c r="X69" s="19" t="inlineStr">
        <is>
          <t>The company reached a definitive agreement to be acquired by Tenax Aerospace for $300 million on February 17, 2026.</t>
        </is>
      </c>
      <c r="Y69" s="19" t="inlineStr">
        <is>
          <t>Pending Transaction (M&amp;A)</t>
        </is>
      </c>
      <c r="Z69" s="19" t="inlineStr">
        <is>
          <t>Generating Revenue</t>
        </is>
      </c>
      <c r="AA69" s="19" t="inlineStr">
        <is>
          <t>Tenax Aerospace (Thomas Foley)</t>
        </is>
      </c>
      <c r="AB69" s="19" t="inlineStr">
        <is>
          <t>Air</t>
        </is>
      </c>
      <c r="AC69" s="19" t="inlineStr">
        <is>
          <t>Industrials, Manufacturing</t>
        </is>
      </c>
      <c r="AD69" s="19" t="inlineStr">
        <is>
          <t>Air Industries Group is an aerospace and defense company. Its manufacturers of precision components and assemblies for large aerospace and defense prime contractors. The company products include landing gears, flight controls, engine mounts and components for aircraft jet engines, ground turbines and other complex machines. The ultimate end-user of products is the U.S. Government, international governments, and commercial global airlines.</t>
        </is>
      </c>
      <c r="AE69" s="19" t="inlineStr">
        <is>
          <t>New York, NY</t>
        </is>
      </c>
      <c r="AF69" s="19" t="inlineStr">
        <is>
          <t>www.airindustriesgroup.com</t>
        </is>
      </c>
    </row>
    <row r="70" ht="42" customHeight="1">
      <c r="A70" s="12" t="inlineStr">
        <is>
          <t>USA-069</t>
        </is>
      </c>
      <c r="B70" s="12" t="inlineStr">
        <is>
          <t>USA</t>
        </is>
      </c>
      <c r="C70" s="12" t="inlineStr">
        <is>
          <t>USA</t>
        </is>
      </c>
      <c r="D70" s="13" t="inlineStr">
        <is>
          <t>Narda-MITEQ</t>
        </is>
      </c>
      <c r="E70" s="13" t="inlineStr">
        <is>
          <t>Amphenol</t>
        </is>
      </c>
      <c r="F70" s="12" t="n"/>
      <c r="G70" s="13" t="n"/>
      <c r="H70" s="14" t="n">
        <v>45861</v>
      </c>
      <c r="I70" s="14" t="n"/>
      <c r="J70" s="15" t="n">
        <v>2025</v>
      </c>
      <c r="K70" s="13" t="inlineStr">
        <is>
          <t>Merger/Acquisition</t>
        </is>
      </c>
      <c r="L70" s="13" t="n"/>
      <c r="M70" s="13" t="inlineStr">
        <is>
          <t>Completed</t>
        </is>
      </c>
      <c r="N70" s="16" t="n">
        <v>300</v>
      </c>
      <c r="O70" s="12" t="inlineStr">
        <is>
          <t>USD</t>
        </is>
      </c>
      <c r="R70" s="36" t="n"/>
      <c r="S70" s="16" t="n"/>
      <c r="T70" s="36" t="n"/>
      <c r="U70" s="16" t="n"/>
      <c r="V70" s="13" t="n"/>
      <c r="W70" s="16" t="n">
        <v>300</v>
      </c>
      <c r="X70" s="13" t="inlineStr">
        <is>
          <t>The company was acquired by Amphenol (NYS: APH) for an estimated $300 million on July 23, 2025.</t>
        </is>
      </c>
      <c r="Y70" s="13" t="inlineStr">
        <is>
          <t>Formerly PE-Backed</t>
        </is>
      </c>
      <c r="Z70" s="13" t="inlineStr">
        <is>
          <t>Generating Revenue</t>
        </is>
      </c>
      <c r="AA70" s="13" t="inlineStr">
        <is>
          <t>Amphenol (NYS: APH) (Richard Norwitt)</t>
        </is>
      </c>
      <c r="AB70" s="13" t="inlineStr">
        <is>
          <t>Aerospace and Defense</t>
        </is>
      </c>
      <c r="AC70" s="13" t="inlineStr">
        <is>
          <t>Industrials, Manufacturing, Space Technology, TMT</t>
        </is>
      </c>
      <c r="AD70" s="13" t="inlineStr">
        <is>
          <t>Designer and manufacturer of custom radiofrequency, microwave subsystems and components intended for defense and commercial end markets. The company offers a wide range of products including RF microwave products, fiber optic products, space-borne products, low-noise amplifiers, logarithmic amplifiers, and related custom products, facilitating the conditioning, management, and transfer of RF and microwave energy in demanding operating environments across a variety of applications.</t>
        </is>
      </c>
      <c r="AE70" s="13" t="inlineStr">
        <is>
          <t>New York, NY</t>
        </is>
      </c>
      <c r="AF70" s="13" t="inlineStr">
        <is>
          <t>www.nardamiteq.com</t>
        </is>
      </c>
    </row>
    <row r="71" ht="42" customHeight="1">
      <c r="A71" s="18" t="inlineStr">
        <is>
          <t>USA-070</t>
        </is>
      </c>
      <c r="B71" s="18" t="inlineStr">
        <is>
          <t>USA</t>
        </is>
      </c>
      <c r="C71" s="18" t="inlineStr">
        <is>
          <t>USA</t>
        </is>
      </c>
      <c r="D71" s="19" t="inlineStr">
        <is>
          <t>Momentive Performance Materials</t>
        </is>
      </c>
      <c r="E71" s="19" t="inlineStr">
        <is>
          <t>KCC</t>
        </is>
      </c>
      <c r="F71" s="18" t="n"/>
      <c r="G71" s="19" t="n"/>
      <c r="H71" s="20" t="n">
        <v>45426</v>
      </c>
      <c r="I71" s="20" t="n"/>
      <c r="J71" s="21" t="n">
        <v>2024</v>
      </c>
      <c r="K71" s="19" t="inlineStr">
        <is>
          <t>Merger/Acquisition</t>
        </is>
      </c>
      <c r="L71" s="19" t="n"/>
      <c r="M71" s="19" t="inlineStr">
        <is>
          <t>Completed</t>
        </is>
      </c>
      <c r="N71" s="22" t="n">
        <v>294.87</v>
      </c>
      <c r="O71" s="18" t="inlineStr">
        <is>
          <t>USD</t>
        </is>
      </c>
      <c r="R71" s="37" t="n"/>
      <c r="S71" s="22" t="n"/>
      <c r="T71" s="37" t="n"/>
      <c r="U71" s="22" t="n"/>
      <c r="V71" s="19" t="n"/>
      <c r="W71" s="22" t="n">
        <v>540.9400000000001</v>
      </c>
      <c r="X71" s="19" t="inlineStr">
        <is>
          <t>The company was acquired by KCC (KRX: 002380) for an estimated KRW 405 billion on May 14, 2024. The transaction values the company at an estimated KRW 742.98 billion.</t>
        </is>
      </c>
      <c r="Y71" s="19" t="inlineStr">
        <is>
          <t>Formerly PE-Backed</t>
        </is>
      </c>
      <c r="Z71" s="19" t="inlineStr">
        <is>
          <t>Generating Revenue</t>
        </is>
      </c>
      <c r="AA71" s="19" t="inlineStr">
        <is>
          <t>KCC (KRX: 002380) (Chung Mong-Jin)</t>
        </is>
      </c>
      <c r="AB71" s="19" t="inlineStr">
        <is>
          <t>Specialty Chemicals</t>
        </is>
      </c>
      <c r="AC71" s="19" t="inlineStr">
        <is>
          <t>Manufacturing</t>
        </is>
      </c>
      <c r="AD71" s="19" t="inlineStr">
        <is>
          <t>Manufacturer of silicones, silicone derivatives, and products from quartz and specialty ceramics intended for aerospace, agriculture, appliances, automotive, construction, and electronics industries. The company specializes in manufacturing fused quartz, ceramic materials, siloxane polymers, silanes, specialty fluids, and urethane additives used in bath and shower caulk, pressure-sensitive adhesive labels, foam products, cosmetics, and tires, thereby enabling clients to enhance attributes, resistance to heat, ultraviolet light, and chemicals, lubrication, adhesion, and viscosity of their products.</t>
        </is>
      </c>
      <c r="AE71" s="19" t="inlineStr">
        <is>
          <t>Niskayuna, NY</t>
        </is>
      </c>
      <c r="AF71" s="19" t="inlineStr">
        <is>
          <t>www.momentive.com</t>
        </is>
      </c>
    </row>
    <row r="72" ht="42" customHeight="1">
      <c r="A72" s="12" t="inlineStr">
        <is>
          <t>USA-071</t>
        </is>
      </c>
      <c r="B72" s="12" t="inlineStr">
        <is>
          <t>USA</t>
        </is>
      </c>
      <c r="C72" s="12" t="inlineStr">
        <is>
          <t>USA</t>
        </is>
      </c>
      <c r="D72" s="13" t="inlineStr">
        <is>
          <t>Peerless Aerospace</t>
        </is>
      </c>
      <c r="E72" s="13" t="inlineStr">
        <is>
          <t>Diploma</t>
        </is>
      </c>
      <c r="F72" s="12" t="n"/>
      <c r="G72" s="13" t="n"/>
      <c r="H72" s="14" t="n">
        <v>45413</v>
      </c>
      <c r="I72" s="14" t="n"/>
      <c r="J72" s="15" t="n">
        <v>2024</v>
      </c>
      <c r="K72" s="13" t="inlineStr">
        <is>
          <t>Merger/Acquisition</t>
        </is>
      </c>
      <c r="L72" s="13" t="n"/>
      <c r="M72" s="13" t="inlineStr">
        <is>
          <t>Completed</t>
        </is>
      </c>
      <c r="N72" s="16" t="n">
        <v>289.5</v>
      </c>
      <c r="O72" s="12" t="inlineStr">
        <is>
          <t>USD</t>
        </is>
      </c>
      <c r="R72" s="36" t="n"/>
      <c r="S72" s="16" t="n"/>
      <c r="T72" s="36" t="n"/>
      <c r="U72" s="16" t="n"/>
      <c r="V72" s="13" t="n"/>
      <c r="W72" s="16" t="n">
        <v>289.5</v>
      </c>
      <c r="X72" s="13" t="inlineStr">
        <is>
          <t>The company was acquired by Diploma (LON: DPLM) for $289.5 million on May 1, 2024. the acquisition have increased Diploma position in aerospace, organically and through the recent acquisition of company and have also seen strong growth in space, motorsport, defence, medical, energy and data centres.</t>
        </is>
      </c>
      <c r="Y72" s="13" t="inlineStr">
        <is>
          <t>Corporate Backed or Acquired</t>
        </is>
      </c>
      <c r="Z72" s="13" t="inlineStr">
        <is>
          <t>Generating Revenue</t>
        </is>
      </c>
      <c r="AA72" s="13" t="inlineStr">
        <is>
          <t>Diploma (LON: DPLM) (Johnny Thomson)</t>
        </is>
      </c>
      <c r="AB72" s="13" t="inlineStr">
        <is>
          <t>Industrial Supplies and Parts</t>
        </is>
      </c>
      <c r="AC72" s="13" t="n"/>
      <c r="AD72" s="13" t="inlineStr">
        <is>
          <t>Provider of standard, oversized, and non-standard parts intended to serve the aerospace industry. The company offers services such as inventory management, kitting, long-term agreements, and aircraft on the ground.</t>
        </is>
      </c>
      <c r="AE72" s="13" t="inlineStr">
        <is>
          <t>Farmingdale, NY</t>
        </is>
      </c>
      <c r="AF72" s="13" t="inlineStr">
        <is>
          <t>pafcorp.com</t>
        </is>
      </c>
    </row>
    <row r="73" ht="42" customHeight="1">
      <c r="A73" s="18" t="inlineStr">
        <is>
          <t>USA-072</t>
        </is>
      </c>
      <c r="B73" s="18" t="inlineStr">
        <is>
          <t>USA</t>
        </is>
      </c>
      <c r="C73" s="18" t="inlineStr">
        <is>
          <t>USA</t>
        </is>
      </c>
      <c r="D73" s="19" t="inlineStr">
        <is>
          <t>Vacco Industries</t>
        </is>
      </c>
      <c r="E73" s="19" t="inlineStr">
        <is>
          <t>RBC Bearings</t>
        </is>
      </c>
      <c r="F73" s="18" t="n"/>
      <c r="G73" s="19" t="n"/>
      <c r="H73" s="20" t="n">
        <v>45856</v>
      </c>
      <c r="I73" s="20" t="n"/>
      <c r="J73" s="21" t="n">
        <v>2025</v>
      </c>
      <c r="K73" s="19" t="inlineStr">
        <is>
          <t>Merger/Acquisition</t>
        </is>
      </c>
      <c r="L73" s="19" t="n"/>
      <c r="M73" s="19" t="inlineStr">
        <is>
          <t>Completed</t>
        </is>
      </c>
      <c r="N73" s="22" t="n">
        <v>275</v>
      </c>
      <c r="O73" s="18" t="inlineStr">
        <is>
          <t>USD</t>
        </is>
      </c>
      <c r="P73" s="50" t="n">
        <v>2.33</v>
      </c>
      <c r="R73" s="37" t="n"/>
      <c r="S73" s="22" t="n"/>
      <c r="T73" s="37" t="n">
        <v>2.33</v>
      </c>
      <c r="U73" s="22" t="n">
        <v>118</v>
      </c>
      <c r="V73" s="19" t="inlineStr">
        <is>
          <t>Corporate Divestiture</t>
        </is>
      </c>
      <c r="W73" s="22" t="n">
        <v>275</v>
      </c>
      <c r="X73" s="19" t="inlineStr">
        <is>
          <t>The company, a subsidiary of ESCO Technologies (NYS: ESE), was acquired by RBC Bearings (NYS: RBC) for $275 million on July 18, 2025. The acquisition will enable RBC Bearings to better serve the evolving needs of customers in the secularly growing space and naval submarine channels.</t>
        </is>
      </c>
      <c r="Y73" s="19" t="inlineStr">
        <is>
          <t>Corporate Backed or Acquired</t>
        </is>
      </c>
      <c r="Z73" s="19" t="inlineStr">
        <is>
          <t>Generating Revenue</t>
        </is>
      </c>
      <c r="AA73" s="19" t="inlineStr">
        <is>
          <t>RBC Bearings (NYS: RBC) (Michael Hartnett)</t>
        </is>
      </c>
      <c r="AB73" s="19" t="inlineStr">
        <is>
          <t>Industrial Supplies and Parts</t>
        </is>
      </c>
      <c r="AC73" s="19" t="inlineStr">
        <is>
          <t>Manufacturing</t>
        </is>
      </c>
      <c r="AD73" s="19" t="inlineStr">
        <is>
          <t>Manufacturer of specialty metal products intended to offer innovative engineered solutions to critical mission organizations. The company offers specialty valves, filters, and advanced fluid control products, enabling defense, space, and commercial markets to perform efficiently.</t>
        </is>
      </c>
      <c r="AE73" s="19" t="inlineStr">
        <is>
          <t>South El Monte, CA</t>
        </is>
      </c>
      <c r="AF73" s="19" t="inlineStr">
        <is>
          <t>www.vacco.com</t>
        </is>
      </c>
    </row>
    <row r="74" ht="42" customHeight="1">
      <c r="A74" s="12" t="inlineStr">
        <is>
          <t>USA-073</t>
        </is>
      </c>
      <c r="B74" s="12" t="inlineStr">
        <is>
          <t>USA</t>
        </is>
      </c>
      <c r="C74" s="12" t="inlineStr">
        <is>
          <t>USA</t>
        </is>
      </c>
      <c r="D74" s="13" t="inlineStr">
        <is>
          <t>Inertial Labs</t>
        </is>
      </c>
      <c r="E74" s="13" t="inlineStr">
        <is>
          <t>Viavi Solutions</t>
        </is>
      </c>
      <c r="F74" s="12" t="n"/>
      <c r="G74" s="13" t="n"/>
      <c r="H74" s="14" t="n">
        <v>45685</v>
      </c>
      <c r="I74" s="14" t="n"/>
      <c r="J74" s="15" t="n">
        <v>2025</v>
      </c>
      <c r="K74" s="13" t="inlineStr">
        <is>
          <t>Merger/Acquisition</t>
        </is>
      </c>
      <c r="L74" s="13" t="n"/>
      <c r="M74" s="13" t="inlineStr">
        <is>
          <t>Completed</t>
        </is>
      </c>
      <c r="N74" s="16" t="n">
        <v>270.6</v>
      </c>
      <c r="O74" s="12" t="inlineStr">
        <is>
          <t>USD</t>
        </is>
      </c>
      <c r="P74" s="50" t="n">
        <v>54.12</v>
      </c>
      <c r="R74" s="36" t="n"/>
      <c r="S74" s="16" t="n"/>
      <c r="T74" s="36" t="n">
        <v>54.12</v>
      </c>
      <c r="U74" s="16" t="n">
        <v>5</v>
      </c>
      <c r="V74" s="13" t="n"/>
      <c r="W74" s="16" t="n">
        <v>270.6</v>
      </c>
      <c r="X74" s="13" t="inlineStr">
        <is>
          <t>The company was acquired by Viavi Solutions (NAS: VIAV) for $270.6 million on January 28, 2025. The company will receive a contingent consideration of up to $175.0 million, payable upon the achievement of certain revenue targets.</t>
        </is>
      </c>
      <c r="Y74" s="13" t="inlineStr">
        <is>
          <t>Formerly PE-Backed</t>
        </is>
      </c>
      <c r="Z74" s="13" t="inlineStr">
        <is>
          <t>Generating Revenue</t>
        </is>
      </c>
      <c r="AA74" s="13" t="inlineStr">
        <is>
          <t>Viavi Solutions (NAS: VIAV) (Oleg Khaykin)</t>
        </is>
      </c>
      <c r="AB74" s="13" t="inlineStr">
        <is>
          <t>Electronic Equipment and Instruments</t>
        </is>
      </c>
      <c r="AC74" s="13" t="inlineStr">
        <is>
          <t>Industrials, Manufacturing</t>
        </is>
      </c>
      <c r="AD74" s="13" t="inlineStr">
        <is>
          <t>Developer and manufacturer of position and orientation technologies designed for assistance in commercial, industrial, aerospace, and defense applications. The company's inertial-oriented products and services combine inertial sensors with various other sensing technologies, enabling industry practitioners to develop small and cost-efficient sensor systems for their respective performance classes.</t>
        </is>
      </c>
      <c r="AE74" s="13" t="inlineStr">
        <is>
          <t>Paeonian Springs, VA</t>
        </is>
      </c>
      <c r="AF74" s="13" t="inlineStr">
        <is>
          <t>www.inertiallabs.com</t>
        </is>
      </c>
    </row>
    <row r="75" ht="42" customHeight="1">
      <c r="A75" s="18" t="inlineStr">
        <is>
          <t>USA-074</t>
        </is>
      </c>
      <c r="B75" s="18" t="inlineStr">
        <is>
          <t>USA</t>
        </is>
      </c>
      <c r="C75" s="18" t="inlineStr">
        <is>
          <t>USA</t>
        </is>
      </c>
      <c r="D75" s="19" t="inlineStr">
        <is>
          <t>Kochav Defense Acquisition (NAS: KCHV)</t>
        </is>
      </c>
      <c r="E75" s="19" t="n"/>
      <c r="F75" s="18" t="n"/>
      <c r="G75" s="19" t="n"/>
      <c r="H75" s="20" t="n">
        <v>45805</v>
      </c>
      <c r="I75" s="20" t="n"/>
      <c r="J75" s="21" t="n">
        <v>2025</v>
      </c>
      <c r="K75" s="19" t="inlineStr">
        <is>
          <t>IPO</t>
        </is>
      </c>
      <c r="L75" s="19" t="n"/>
      <c r="M75" s="19" t="inlineStr">
        <is>
          <t>Completed</t>
        </is>
      </c>
      <c r="N75" s="22" t="n">
        <v>253</v>
      </c>
      <c r="O75" s="18" t="inlineStr">
        <is>
          <t>USD</t>
        </is>
      </c>
      <c r="R75" s="37" t="n"/>
      <c r="S75" s="22" t="n"/>
      <c r="T75" s="37" t="n"/>
      <c r="U75" s="22" t="n"/>
      <c r="V75" s="19" t="n"/>
      <c r="W75" s="22" t="n">
        <v>331.13</v>
      </c>
      <c r="X75" s="19" t="inlineStr">
        <is>
          <t>The company raised $253 million in its initial public offering on the Nasdaq stock exchange under the ticker symbol of KCHVU on May 28, 2025. A total of 25,300,000 units (including overallotment option) were sold at $10 per unit. Each unit consists of one Class A ordinary share and one Share Right to receive one seventh (1/7) of a Class A ordinary share. After the offering, there was a total of 33,112,833 outstanding shares (including over-allotment) at $10 per share, valuing the company at $331.12 million. The underwriters were granted an option to purchase up to an additional 3,300,000 units from the company to cover over-allotments, if any.</t>
        </is>
      </c>
      <c r="Y75" s="19" t="inlineStr">
        <is>
          <t>Corporation</t>
        </is>
      </c>
      <c r="Z75" s="19" t="inlineStr">
        <is>
          <t>Generating Revenue</t>
        </is>
      </c>
      <c r="AA75" s="19" t="n"/>
      <c r="AB75" s="19" t="inlineStr">
        <is>
          <t>Special Purpose Acquisition Company (SPAC)</t>
        </is>
      </c>
      <c r="AC75" s="19" t="n"/>
      <c r="AD75" s="19" t="inlineStr">
        <is>
          <t>Kochav Defense Acquisition Corp is a blank check company.</t>
        </is>
      </c>
      <c r="AE75" s="19" t="inlineStr">
        <is>
          <t>New York, NY</t>
        </is>
      </c>
      <c r="AF75" s="19" t="inlineStr">
        <is>
          <t>www.kochav.co</t>
        </is>
      </c>
    </row>
    <row r="76" ht="42" customHeight="1">
      <c r="A76" s="12" t="inlineStr">
        <is>
          <t>USA-075</t>
        </is>
      </c>
      <c r="B76" s="12" t="inlineStr">
        <is>
          <t>USA</t>
        </is>
      </c>
      <c r="C76" s="12" t="inlineStr">
        <is>
          <t>USA</t>
        </is>
      </c>
      <c r="D76" s="13" t="inlineStr">
        <is>
          <t>Drone Racing League</t>
        </is>
      </c>
      <c r="E76" s="13" t="inlineStr">
        <is>
          <t>Napster</t>
        </is>
      </c>
      <c r="F76" s="12" t="n"/>
      <c r="G76" s="13" t="n"/>
      <c r="H76" s="14" t="n">
        <v>45401</v>
      </c>
      <c r="I76" s="14" t="n"/>
      <c r="J76" s="15" t="n">
        <v>2024</v>
      </c>
      <c r="K76" s="13" t="inlineStr">
        <is>
          <t>Merger/Acquisition</t>
        </is>
      </c>
      <c r="L76" s="13" t="n"/>
      <c r="M76" s="13" t="inlineStr">
        <is>
          <t>Completed</t>
        </is>
      </c>
      <c r="N76" s="16" t="n">
        <v>250</v>
      </c>
      <c r="O76" s="12" t="inlineStr">
        <is>
          <t>USD</t>
        </is>
      </c>
      <c r="R76" s="36" t="n"/>
      <c r="S76" s="16" t="n"/>
      <c r="T76" s="36" t="n"/>
      <c r="U76" s="16" t="n"/>
      <c r="V76" s="13" t="n"/>
      <c r="W76" s="16" t="n">
        <v>250</v>
      </c>
      <c r="X76" s="13" t="inlineStr">
        <is>
          <t>The company was acquired by Infinite Reality, a subsidiary of Display Social, for $250 million on April 19, 2024. The acquisition will help Infinite Reality to bolster its capabilities and IP and boost its valuation to $3.5 billion.</t>
        </is>
      </c>
      <c r="Y76" s="13" t="inlineStr">
        <is>
          <t>Formerly VC-backed</t>
        </is>
      </c>
      <c r="Z76" s="13" t="inlineStr">
        <is>
          <t>Generating Revenue</t>
        </is>
      </c>
      <c r="AA76" s="13" t="inlineStr">
        <is>
          <t>Napster (John Acunto)</t>
        </is>
      </c>
      <c r="AB76" s="13" t="inlineStr">
        <is>
          <t>Movies, Music and Entertainment</t>
        </is>
      </c>
      <c r="AC76" s="13" t="inlineStr">
        <is>
          <t>Mobility Tech, Robotics and Drones</t>
        </is>
      </c>
      <c r="AD76" s="13" t="inlineStr">
        <is>
          <t>Operator of drone racing competitions and events intended to create three-dimensional (3D) drone racing content for mass appeal. The company's competitions and events include organizing first-person view drone racing, featuring pilots flying custom-designed, hand-built identical drones through complex, thematic, and 3D racecourses, enabling participants to enjoy different types of drone-based games.</t>
        </is>
      </c>
      <c r="AE76" s="13" t="inlineStr">
        <is>
          <t>New York, NY</t>
        </is>
      </c>
      <c r="AF76" s="13" t="inlineStr">
        <is>
          <t>www.drl.io</t>
        </is>
      </c>
    </row>
    <row r="77" ht="42" customHeight="1">
      <c r="A77" s="18" t="inlineStr">
        <is>
          <t>USA-076</t>
        </is>
      </c>
      <c r="B77" s="18" t="inlineStr">
        <is>
          <t>USA</t>
        </is>
      </c>
      <c r="C77" s="18" t="inlineStr">
        <is>
          <t>USA</t>
        </is>
      </c>
      <c r="D77" s="19" t="inlineStr">
        <is>
          <t>Harper Engineering Co.</t>
        </is>
      </c>
      <c r="E77" s="19" t="inlineStr">
        <is>
          <t>Loar Holdings</t>
        </is>
      </c>
      <c r="F77" s="18" t="n"/>
      <c r="G77" s="19" t="n"/>
      <c r="H77" s="20" t="n">
        <v>46044</v>
      </c>
      <c r="I77" s="20" t="n"/>
      <c r="J77" s="21" t="n">
        <v>2026</v>
      </c>
      <c r="K77" s="19" t="inlineStr">
        <is>
          <t>Merger/Acquisition</t>
        </is>
      </c>
      <c r="L77" s="19" t="n"/>
      <c r="M77" s="19" t="inlineStr">
        <is>
          <t>Completed</t>
        </is>
      </c>
      <c r="N77" s="22" t="n">
        <v>250</v>
      </c>
      <c r="O77" s="18" t="inlineStr">
        <is>
          <t>USD</t>
        </is>
      </c>
      <c r="R77" s="37" t="n"/>
      <c r="S77" s="22" t="n"/>
      <c r="T77" s="37" t="n"/>
      <c r="U77" s="22" t="n"/>
      <c r="V77" s="19" t="n"/>
      <c r="W77" s="22" t="n">
        <v>250</v>
      </c>
      <c r="X77" s="19" t="inlineStr">
        <is>
          <t>The company was acquired by Loar Holdings (NYS: LOAR) for $250 million on January 22, 2026.</t>
        </is>
      </c>
      <c r="Y77" s="19" t="inlineStr">
        <is>
          <t>Private Equity-Backed</t>
        </is>
      </c>
      <c r="Z77" s="19" t="inlineStr">
        <is>
          <t>Generating Revenue</t>
        </is>
      </c>
      <c r="AA77" s="19" t="inlineStr">
        <is>
          <t>Loar Holdings (NYS: LOAR) (Dirkson Charles)</t>
        </is>
      </c>
      <c r="AB77" s="19" t="inlineStr">
        <is>
          <t>Aerospace and Defense</t>
        </is>
      </c>
      <c r="AC77" s="19" t="inlineStr">
        <is>
          <t>Manufacturing</t>
        </is>
      </c>
      <c r="AD77" s="19" t="inlineStr">
        <is>
          <t>Manufacturer of aerospace components intended to serve the aircraft and aerospace industry. The company specializes in latching and fastening systems, seat track fittings, bracket systems, hinge systems, composite parts, and precision-machined components, thereby helping clients obtain engineered mechanical components and assemblies for aerospace specifications.</t>
        </is>
      </c>
      <c r="AE77" s="19" t="inlineStr">
        <is>
          <t>Renton, WA</t>
        </is>
      </c>
      <c r="AF77" s="19" t="inlineStr">
        <is>
          <t>www.harperengineering.com</t>
        </is>
      </c>
    </row>
    <row r="78" ht="42" customHeight="1">
      <c r="A78" s="12" t="inlineStr">
        <is>
          <t>USA-077</t>
        </is>
      </c>
      <c r="B78" s="12" t="inlineStr">
        <is>
          <t>USA</t>
        </is>
      </c>
      <c r="C78" s="12" t="inlineStr">
        <is>
          <t>USA</t>
        </is>
      </c>
      <c r="D78" s="13" t="inlineStr">
        <is>
          <t>Cornell Dubilier Electronics</t>
        </is>
      </c>
      <c r="E78" s="13" t="inlineStr">
        <is>
          <t>Knowles</t>
        </is>
      </c>
      <c r="F78" s="12" t="n"/>
      <c r="G78" s="13" t="n"/>
      <c r="H78" s="14" t="n">
        <v>45231</v>
      </c>
      <c r="I78" s="14" t="n"/>
      <c r="J78" s="15" t="n">
        <v>2023</v>
      </c>
      <c r="K78" s="13" t="inlineStr">
        <is>
          <t>Merger/Acquisition</t>
        </is>
      </c>
      <c r="L78" s="13" t="n"/>
      <c r="M78" s="13" t="inlineStr">
        <is>
          <t>Completed</t>
        </is>
      </c>
      <c r="N78" s="16" t="n">
        <v>246.8</v>
      </c>
      <c r="O78" s="12" t="inlineStr">
        <is>
          <t>USD</t>
        </is>
      </c>
      <c r="R78" s="36" t="n"/>
      <c r="S78" s="16" t="n"/>
      <c r="T78" s="36" t="n"/>
      <c r="U78" s="16" t="n"/>
      <c r="V78" s="13" t="n"/>
      <c r="W78" s="16" t="n">
        <v>246.8</v>
      </c>
      <c r="X78" s="13" t="inlineStr">
        <is>
          <t>The company was acquired by Knowles Corporation (NYS: KN) for $246.8 million on November 1, 2023.The acquisition will help Knowles Corporation to expand its capabilities in capacitor technology and the applications for Knowles' products. The consideration consists of a cash payment of $140 million and an interest-free seller note of $123 million, with $50 million maturing one year from closing and the remaining $73 million maturing two years from closing.</t>
        </is>
      </c>
      <c r="Y78" s="13" t="inlineStr">
        <is>
          <t>Corporate Backed or Acquired</t>
        </is>
      </c>
      <c r="Z78" s="13" t="inlineStr">
        <is>
          <t>Generating Revenue</t>
        </is>
      </c>
      <c r="AA78" s="13" t="inlineStr">
        <is>
          <t>Knowles (Electronics Manufacturing) (NYS: KN) (Jeffrey Niew)</t>
        </is>
      </c>
      <c r="AB78" s="13" t="inlineStr">
        <is>
          <t>Electrical Equipment</t>
        </is>
      </c>
      <c r="AC78" s="13" t="inlineStr">
        <is>
          <t>Manufacturing</t>
        </is>
      </c>
      <c r="AD78" s="13" t="inlineStr">
        <is>
          <t>Manufacturer of film, electrolytic and mica capacitors intended for medtech, military, aerospace and industrial electrification applications. The company specializes in capacitor solutions for power electronics, capacitors, custom designs, electric vehicles, inverters, aluminum electrolytic, power conversion, and supercapacitors.</t>
        </is>
      </c>
      <c r="AE78" s="13" t="inlineStr">
        <is>
          <t>Liberty, SC</t>
        </is>
      </c>
      <c r="AF78" s="13" t="inlineStr">
        <is>
          <t>www.cde.com</t>
        </is>
      </c>
    </row>
    <row r="79" ht="42" customHeight="1">
      <c r="A79" s="18" t="inlineStr">
        <is>
          <t>USA-078</t>
        </is>
      </c>
      <c r="B79" s="18" t="inlineStr">
        <is>
          <t>USA</t>
        </is>
      </c>
      <c r="C79" s="18" t="inlineStr">
        <is>
          <t>USA</t>
        </is>
      </c>
      <c r="D79" s="19" t="inlineStr">
        <is>
          <t>Stellar Blu Solutions</t>
        </is>
      </c>
      <c r="E79" s="19" t="inlineStr">
        <is>
          <t>Gilat Satellite Networks</t>
        </is>
      </c>
      <c r="F79" s="18" t="n"/>
      <c r="G79" s="19" t="n"/>
      <c r="H79" s="20" t="n">
        <v>45663</v>
      </c>
      <c r="I79" s="20" t="n"/>
      <c r="J79" s="21" t="n">
        <v>2025</v>
      </c>
      <c r="K79" s="19" t="inlineStr">
        <is>
          <t>Merger/Acquisition</t>
        </is>
      </c>
      <c r="L79" s="19" t="n"/>
      <c r="M79" s="19" t="inlineStr">
        <is>
          <t>Completed</t>
        </is>
      </c>
      <c r="N79" s="22" t="n">
        <v>245</v>
      </c>
      <c r="O79" s="18" t="inlineStr">
        <is>
          <t>USD</t>
        </is>
      </c>
      <c r="R79" s="37" t="n"/>
      <c r="S79" s="22" t="n"/>
      <c r="T79" s="37" t="n"/>
      <c r="U79" s="22" t="n"/>
      <c r="V79" s="19" t="n"/>
      <c r="W79" s="22" t="n">
        <v>250</v>
      </c>
      <c r="X79" s="19" t="inlineStr">
        <is>
          <t>The company was acquired by Gilat Satellite Networks (NAS: GILT) for an $245 million on January 6, 2025. The consideration paid at closing was $98 million in cash. The company will receive a contingent payout of $147 million upon the completion of future performance terms. The acquisition will allow Gilat Satellite Networks' initiative to increase its presence in the growing IFC market.</t>
        </is>
      </c>
      <c r="Y79" s="19" t="inlineStr">
        <is>
          <t>Corporate Backed or Acquired</t>
        </is>
      </c>
      <c r="Z79" s="19" t="inlineStr">
        <is>
          <t>Generating Revenue</t>
        </is>
      </c>
      <c r="AA79" s="19" t="inlineStr">
        <is>
          <t>Gilat Satellite Networks (NAS: GILT) (Adi Sfadia)</t>
        </is>
      </c>
      <c r="AB79" s="19" t="inlineStr">
        <is>
          <t>Business/Productivity Software</t>
        </is>
      </c>
      <c r="AC79" s="19" t="n"/>
      <c r="AD79" s="19" t="inlineStr">
        <is>
          <t>Developer of software for connectivity, network and avionics solutions of satellite networks serving commercial and business aviation, government and military industries. The company offers a suite of satellite communications terminals for business jets and airlines and a multi-network aviation terminal and in-flight connectivity to its passengers.</t>
        </is>
      </c>
      <c r="AE79" s="19" t="inlineStr">
        <is>
          <t>Dallas, TX</t>
        </is>
      </c>
      <c r="AF79" s="19" t="inlineStr">
        <is>
          <t>www.stellar-blu.com</t>
        </is>
      </c>
    </row>
    <row r="80" ht="42" customHeight="1">
      <c r="A80" s="12" t="inlineStr">
        <is>
          <t>USA-079</t>
        </is>
      </c>
      <c r="B80" s="12" t="inlineStr">
        <is>
          <t>USA</t>
        </is>
      </c>
      <c r="C80" s="12" t="inlineStr">
        <is>
          <t>USA</t>
        </is>
      </c>
      <c r="D80" s="13" t="inlineStr">
        <is>
          <t>Fusus</t>
        </is>
      </c>
      <c r="E80" s="13" t="inlineStr">
        <is>
          <t>Axon Enterprise</t>
        </is>
      </c>
      <c r="F80" s="12" t="n"/>
      <c r="G80" s="13" t="n"/>
      <c r="H80" s="14" t="n">
        <v>45322</v>
      </c>
      <c r="I80" s="14" t="n"/>
      <c r="J80" s="15" t="n">
        <v>2024</v>
      </c>
      <c r="K80" s="13" t="inlineStr">
        <is>
          <t>Merger/Acquisition</t>
        </is>
      </c>
      <c r="L80" s="13" t="n"/>
      <c r="M80" s="13" t="inlineStr">
        <is>
          <t>Completed</t>
        </is>
      </c>
      <c r="N80" s="16" t="n">
        <v>241.3</v>
      </c>
      <c r="O80" s="12" t="inlineStr">
        <is>
          <t>USD</t>
        </is>
      </c>
      <c r="R80" s="36" t="n"/>
      <c r="S80" s="16" t="n"/>
      <c r="T80" s="36" t="n"/>
      <c r="U80" s="16" t="n"/>
      <c r="V80" s="13" t="n"/>
      <c r="W80" s="16" t="n">
        <v>302.76</v>
      </c>
      <c r="X80" s="13" t="inlineStr">
        <is>
          <t>The company was acquired by Axon Enterprise for 241.3 million on January 31, 2024. The acquisition will help acquiree Axon Enterprise to grow presence in retail, healthcare, private security and the federal space.</t>
        </is>
      </c>
      <c r="Y80" s="13" t="inlineStr">
        <is>
          <t>Formerly VC-backed</t>
        </is>
      </c>
      <c r="Z80" s="13" t="inlineStr">
        <is>
          <t>Generating Revenue</t>
        </is>
      </c>
      <c r="AA80" s="13" t="inlineStr">
        <is>
          <t>Axon Enterprise (NAS: AXON) (Henrik Kühl)</t>
        </is>
      </c>
      <c r="AB80" s="13" t="inlineStr">
        <is>
          <t>Other Commercial Services</t>
        </is>
      </c>
      <c r="AC80" s="13" t="inlineStr">
        <is>
          <t>Robotics and Drones, SaaS</t>
        </is>
      </c>
      <c r="AD80" s="13" t="inlineStr">
        <is>
          <t>Developer of cloud-based video situational analysis software designed to offer situational awareness and investigative capabilities. The company's platform removes barriers and analyses videos through a map-based interface that combines public and private streams into a single stream, enabling enforcement and public safety agencies to send alerts, transmit location, and enhance public safety and investigation assets for law enforcement and security personnel.</t>
        </is>
      </c>
      <c r="AE80" s="13" t="inlineStr">
        <is>
          <t>Peachtree Corners, GA</t>
        </is>
      </c>
      <c r="AF80" s="13" t="inlineStr">
        <is>
          <t>www.fusus.com</t>
        </is>
      </c>
    </row>
    <row r="81" ht="42" customHeight="1">
      <c r="A81" s="18" t="inlineStr">
        <is>
          <t>USA-080</t>
        </is>
      </c>
      <c r="B81" s="18" t="inlineStr">
        <is>
          <t>USA</t>
        </is>
      </c>
      <c r="C81" s="18" t="inlineStr">
        <is>
          <t>USA</t>
        </is>
      </c>
      <c r="D81" s="19" t="inlineStr">
        <is>
          <t>Ghost Robotics</t>
        </is>
      </c>
      <c r="E81" s="19" t="inlineStr">
        <is>
          <t>Korea Investment Private Equity, LIG Defense &amp; Aerospace</t>
        </is>
      </c>
      <c r="F81" s="18" t="n"/>
      <c r="G81" s="19" t="n"/>
      <c r="H81" s="20" t="n">
        <v>45499</v>
      </c>
      <c r="I81" s="20" t="n"/>
      <c r="J81" s="21" t="n">
        <v>2024</v>
      </c>
      <c r="K81" s="19" t="inlineStr">
        <is>
          <t>Merger/Acquisition</t>
        </is>
      </c>
      <c r="L81" s="19" t="n"/>
      <c r="M81" s="19" t="inlineStr">
        <is>
          <t>Completed</t>
        </is>
      </c>
      <c r="N81" s="22" t="n">
        <v>240</v>
      </c>
      <c r="O81" s="18" t="inlineStr">
        <is>
          <t>USD</t>
        </is>
      </c>
      <c r="P81" s="50" t="n">
        <v>6.84</v>
      </c>
      <c r="R81" s="37" t="n"/>
      <c r="S81" s="22" t="n"/>
      <c r="T81" s="37" t="n">
        <v>4.1</v>
      </c>
      <c r="U81" s="22" t="n">
        <v>58.49</v>
      </c>
      <c r="V81" s="19" t="n"/>
      <c r="W81" s="22" t="n">
        <v>400</v>
      </c>
      <c r="X81" s="19" t="inlineStr">
        <is>
          <t>The company was acquired by LIG Nex1 and Korea Investment Private Equity for $240 million on July 26, 2024.</t>
        </is>
      </c>
      <c r="Y81" s="19" t="inlineStr">
        <is>
          <t>Private Equity-Backed</t>
        </is>
      </c>
      <c r="Z81" s="19" t="inlineStr">
        <is>
          <t>Generating Revenue</t>
        </is>
      </c>
      <c r="AA81" s="19" t="inlineStr">
        <is>
          <t>Korea Investment Private Equity, LIG Defense &amp; Aerospace (KRX: 079550) (Shin Ick-Hyun)</t>
        </is>
      </c>
      <c r="AB81" s="19" t="inlineStr">
        <is>
          <t>Machinery (B2B)</t>
        </is>
      </c>
      <c r="AC81" s="19" t="inlineStr">
        <is>
          <t>Artificial Intelligence &amp; Machine Learning, Industrials, Manufacturing, Robotics and Drones</t>
        </is>
      </c>
      <c r="AD81" s="19" t="inlineStr">
        <is>
          <t>Manufacturer of legged robots designed for military, industrial, mining, energy, public safety, and last-mile delivery applications. The company's robots specialize in operability over wheeled and tracked devices on unstructured terrain and in rough environments to reduce mechanical complexity with total software control and reduce the cost to build and deploy autonomous robots, enabling industrial professionals to maximize productivity.</t>
        </is>
      </c>
      <c r="AE81" s="19" t="inlineStr">
        <is>
          <t>Philadelphia, PA</t>
        </is>
      </c>
      <c r="AF81" s="19" t="inlineStr">
        <is>
          <t>www.ghostrobotics.io</t>
        </is>
      </c>
    </row>
    <row r="82" ht="42" customHeight="1">
      <c r="A82" s="12" t="inlineStr">
        <is>
          <t>USA-081</t>
        </is>
      </c>
      <c r="B82" s="12" t="inlineStr">
        <is>
          <t>USA</t>
        </is>
      </c>
      <c r="C82" s="12" t="inlineStr">
        <is>
          <t>USA</t>
        </is>
      </c>
      <c r="D82" s="13" t="inlineStr">
        <is>
          <t>eMagin</t>
        </is>
      </c>
      <c r="E82" s="13" t="inlineStr">
        <is>
          <t>Samsung Electronics</t>
        </is>
      </c>
      <c r="F82" s="12" t="n"/>
      <c r="G82" s="13" t="n"/>
      <c r="H82" s="14" t="n">
        <v>45217</v>
      </c>
      <c r="I82" s="14" t="n"/>
      <c r="J82" s="15" t="n">
        <v>2023</v>
      </c>
      <c r="K82" s="13" t="inlineStr">
        <is>
          <t>Merger/Acquisition</t>
        </is>
      </c>
      <c r="L82" s="13" t="n"/>
      <c r="M82" s="13" t="inlineStr">
        <is>
          <t>Completed</t>
        </is>
      </c>
      <c r="N82" s="16" t="n">
        <v>230.44</v>
      </c>
      <c r="O82" s="12" t="inlineStr">
        <is>
          <t>USD</t>
        </is>
      </c>
      <c r="P82" s="50" t="n">
        <v>8.24</v>
      </c>
      <c r="R82" s="36" t="n">
        <v>-24.01</v>
      </c>
      <c r="S82" s="16" t="n">
        <v>-9.6</v>
      </c>
      <c r="T82" s="36" t="n">
        <v>8.359999999999999</v>
      </c>
      <c r="U82" s="16" t="n">
        <v>27.56</v>
      </c>
      <c r="V82" s="13" t="n"/>
      <c r="W82" s="16" t="n">
        <v>230.44</v>
      </c>
      <c r="X82" s="13" t="inlineStr">
        <is>
          <t>The company was acquired by Samsung Electronics (KRX: 005930) for KRW 310.455 billion on October 18, 2023. The acquisition enables Samsung Electronics to offer innovative products to more customers and strengthen its XR-related business.</t>
        </is>
      </c>
      <c r="Y82" s="13" t="inlineStr">
        <is>
          <t>Corporate Backed or Acquired</t>
        </is>
      </c>
      <c r="Z82" s="13" t="inlineStr">
        <is>
          <t>Generating Revenue</t>
        </is>
      </c>
      <c r="AA82" s="13" t="inlineStr">
        <is>
          <t>Samsung Electronics (KRX: 005930) (Jamie Choi)</t>
        </is>
      </c>
      <c r="AB82" s="13" t="inlineStr">
        <is>
          <t>General Purpose Semiconductors</t>
        </is>
      </c>
      <c r="AC82" s="13" t="inlineStr">
        <is>
          <t>Manufacturing, TMT</t>
        </is>
      </c>
      <c r="AD82" s="13" t="inlineStr">
        <is>
          <t>eMagin Corp designs, develop, manufactures, and markets organic light-emitting diode, or OLED miniature displays, OLED-on-silicon microdisplays, virtual imaging products that utilize OLED micro displays, and related products. The company's OLED displays are used in a variety of products, including military aviation helmets, military weapons sights and targeting systems, night vision &amp; thermal imaging devices, training and simulation, visualization for ocular surgery, mobile ultrasound, and augmented reality applications.</t>
        </is>
      </c>
      <c r="AE82" s="13" t="inlineStr">
        <is>
          <t>Hopewell Junction, NY</t>
        </is>
      </c>
      <c r="AF82" s="13" t="inlineStr">
        <is>
          <t>www.emagin.com</t>
        </is>
      </c>
    </row>
    <row r="83" ht="42" customHeight="1">
      <c r="A83" s="18" t="inlineStr">
        <is>
          <t>USA-082</t>
        </is>
      </c>
      <c r="B83" s="18" t="inlineStr">
        <is>
          <t>USA</t>
        </is>
      </c>
      <c r="C83" s="18" t="inlineStr">
        <is>
          <t>USA</t>
        </is>
      </c>
      <c r="D83" s="19" t="inlineStr">
        <is>
          <t>Moser Energy Systems</t>
        </is>
      </c>
      <c r="E83" s="19" t="inlineStr">
        <is>
          <t>Atlas Energy Solutions</t>
        </is>
      </c>
      <c r="F83" s="18" t="n"/>
      <c r="G83" s="19" t="n"/>
      <c r="H83" s="20" t="n">
        <v>45712</v>
      </c>
      <c r="I83" s="20" t="n"/>
      <c r="J83" s="21" t="n">
        <v>2025</v>
      </c>
      <c r="K83" s="19" t="inlineStr">
        <is>
          <t>Merger/Acquisition</t>
        </is>
      </c>
      <c r="L83" s="19" t="n"/>
      <c r="M83" s="19" t="inlineStr">
        <is>
          <t>Completed</t>
        </is>
      </c>
      <c r="N83" s="22" t="n">
        <v>221.44</v>
      </c>
      <c r="O83" s="18" t="inlineStr">
        <is>
          <t>USD</t>
        </is>
      </c>
      <c r="R83" s="37" t="n"/>
      <c r="S83" s="22" t="n"/>
      <c r="T83" s="37" t="n"/>
      <c r="U83" s="22" t="n"/>
      <c r="V83" s="19" t="n"/>
      <c r="W83" s="22" t="n">
        <v>221.44</v>
      </c>
      <c r="X83" s="19" t="inlineStr">
        <is>
          <t>The company was acquired by Atlas Energy Solutions (NYS: AESI) for $221.439 million on February 24, 2025. The acquisition expanded Atlas Energy Solutions' current operations into distributed power end markets.</t>
        </is>
      </c>
      <c r="Y83" s="19" t="inlineStr">
        <is>
          <t>Formerly PE-Backed</t>
        </is>
      </c>
      <c r="Z83" s="19" t="inlineStr">
        <is>
          <t>Generating Revenue</t>
        </is>
      </c>
      <c r="AA83" s="19" t="inlineStr">
        <is>
          <t>Atlas Energy Solutions (NYS: AESI) (John Turner)</t>
        </is>
      </c>
      <c r="AB83" s="19" t="inlineStr">
        <is>
          <t>Electrical Equipment</t>
        </is>
      </c>
      <c r="AC83" s="19" t="inlineStr">
        <is>
          <t>Manufacturing, Oil &amp; Gas</t>
        </is>
      </c>
      <c r="AD83" s="19" t="inlineStr">
        <is>
          <t>Manufacturer of industrial natural gas power generators intended for oilfield services and commercial, industrial, and military applications. The company offers prime power, REV station, standby, hybrid gen, and portable generators with eco-conscious technologies including industry-leading development of proprietary oilfield generator systems utilizing raw wellhead gas, thereby helping customers with a significant reduction in operating expenses.</t>
        </is>
      </c>
      <c r="AE83" s="19" t="inlineStr">
        <is>
          <t>Evansville, WY</t>
        </is>
      </c>
      <c r="AF83" s="19" t="inlineStr">
        <is>
          <t>www.moserenergy.com</t>
        </is>
      </c>
    </row>
    <row r="84" ht="42" customHeight="1">
      <c r="A84" s="12" t="inlineStr">
        <is>
          <t>USA-083</t>
        </is>
      </c>
      <c r="B84" s="12" t="inlineStr">
        <is>
          <t>USA</t>
        </is>
      </c>
      <c r="C84" s="12" t="inlineStr">
        <is>
          <t>USA</t>
        </is>
      </c>
      <c r="D84" s="13" t="inlineStr">
        <is>
          <t>Calca Solutions</t>
        </is>
      </c>
      <c r="E84" s="13" t="inlineStr">
        <is>
          <t>Newmarket</t>
        </is>
      </c>
      <c r="F84" s="12" t="n"/>
      <c r="G84" s="13" t="n"/>
      <c r="H84" s="14" t="n">
        <v>45931</v>
      </c>
      <c r="I84" s="14" t="n"/>
      <c r="J84" s="15" t="n">
        <v>2025</v>
      </c>
      <c r="K84" s="13" t="inlineStr">
        <is>
          <t>Merger/Acquisition</t>
        </is>
      </c>
      <c r="L84" s="13" t="n"/>
      <c r="M84" s="13" t="inlineStr">
        <is>
          <t>Completed</t>
        </is>
      </c>
      <c r="N84" s="16" t="n">
        <v>218</v>
      </c>
      <c r="O84" s="12" t="inlineStr">
        <is>
          <t>USD</t>
        </is>
      </c>
      <c r="R84" s="36" t="n"/>
      <c r="S84" s="16" t="n"/>
      <c r="T84" s="36" t="n"/>
      <c r="U84" s="16" t="n"/>
      <c r="V84" s="13" t="n"/>
      <c r="W84" s="16" t="n">
        <v>218</v>
      </c>
      <c r="X84" s="13" t="inlineStr">
        <is>
          <t>The company was acquired by Newmarket (NYS: NEU) for approximately $218 million on October 1, 2025.</t>
        </is>
      </c>
      <c r="Y84" s="13" t="inlineStr">
        <is>
          <t>Formerly PE-Backed</t>
        </is>
      </c>
      <c r="Z84" s="13" t="inlineStr">
        <is>
          <t>Generating Revenue</t>
        </is>
      </c>
      <c r="AA84" s="13" t="inlineStr">
        <is>
          <t>Newmarket (NYS: NEU) (Thomas Gottwald)</t>
        </is>
      </c>
      <c r="AB84" s="13" t="inlineStr">
        <is>
          <t>Specialty Chemicals</t>
        </is>
      </c>
      <c r="AC84" s="13" t="inlineStr">
        <is>
          <t>Manufacturing</t>
        </is>
      </c>
      <c r="AD84" s="13" t="inlineStr">
        <is>
          <t>Manufacturer of hydrazine products intended for diverse national security applications, including in-space propellant, military aircraft, pharmaceuticals, and water treatment. The company specializes in producing and distributing related products and propellants, thereby helping its clients to meet their needs while ensuring long-term sustainability.</t>
        </is>
      </c>
      <c r="AE84" s="13" t="inlineStr">
        <is>
          <t>Westlake, LA</t>
        </is>
      </c>
      <c r="AF84" s="13" t="inlineStr">
        <is>
          <t>www.calcasolutions.com</t>
        </is>
      </c>
    </row>
    <row r="85" ht="42" customHeight="1">
      <c r="A85" s="18" t="inlineStr">
        <is>
          <t>USA-084</t>
        </is>
      </c>
      <c r="B85" s="18" t="inlineStr">
        <is>
          <t>USA</t>
        </is>
      </c>
      <c r="C85" s="18" t="inlineStr">
        <is>
          <t>USA</t>
        </is>
      </c>
      <c r="D85" s="19" t="inlineStr">
        <is>
          <t>Advanced Micro Instruments</t>
        </is>
      </c>
      <c r="E85" s="19" t="inlineStr">
        <is>
          <t>Enpro</t>
        </is>
      </c>
      <c r="F85" s="18" t="n"/>
      <c r="G85" s="19" t="n"/>
      <c r="H85" s="20" t="n">
        <v>45320</v>
      </c>
      <c r="I85" s="20" t="n"/>
      <c r="J85" s="21" t="n">
        <v>2024</v>
      </c>
      <c r="K85" s="19" t="inlineStr">
        <is>
          <t>Merger/Acquisition</t>
        </is>
      </c>
      <c r="L85" s="19" t="n"/>
      <c r="M85" s="19" t="inlineStr">
        <is>
          <t>Completed</t>
        </is>
      </c>
      <c r="N85" s="22" t="n">
        <v>209.4</v>
      </c>
      <c r="O85" s="18" t="inlineStr">
        <is>
          <t>USD</t>
        </is>
      </c>
      <c r="R85" s="37" t="n"/>
      <c r="S85" s="22" t="n"/>
      <c r="T85" s="37" t="n"/>
      <c r="U85" s="22" t="n"/>
      <c r="V85" s="19" t="n"/>
      <c r="W85" s="22" t="n">
        <v>209.4</v>
      </c>
      <c r="X85" s="19" t="inlineStr">
        <is>
          <t>The company was acquired by EnPro Industries (NYS: NPO) for USD 209.4 million on January 29, 2024.</t>
        </is>
      </c>
      <c r="Y85" s="19" t="inlineStr">
        <is>
          <t>Formerly PE-Backed</t>
        </is>
      </c>
      <c r="Z85" s="19" t="inlineStr">
        <is>
          <t>Generating Revenue</t>
        </is>
      </c>
      <c r="AA85" s="19" t="inlineStr">
        <is>
          <t>Enpro (NYS: NPO) (Eric Vaillancourt)</t>
        </is>
      </c>
      <c r="AB85" s="19" t="inlineStr">
        <is>
          <t>Electronic Equipment and Instruments</t>
        </is>
      </c>
      <c r="AC85" s="19" t="inlineStr">
        <is>
          <t>Manufacturing</t>
        </is>
      </c>
      <c r="AD85" s="19" t="inlineStr">
        <is>
          <t>Designer and manufacturer of gas analyzers intended for the oilfield, laboratory, aerospace and water utility industries. The company offers a wide range of oxygen, hydrogen sulfide and TDL moisture analyzers, sensors, oxygen deficiency monitors as well as specially designed accessories, providing its customers with gas analyzers that incorporate reliability and functionality while maintaining an attractive price point.</t>
        </is>
      </c>
      <c r="AE85" s="19" t="inlineStr">
        <is>
          <t>Costa Mesa, CA</t>
        </is>
      </c>
      <c r="AF85" s="19" t="inlineStr">
        <is>
          <t>www.amio2.com</t>
        </is>
      </c>
    </row>
    <row r="86" ht="42" customHeight="1">
      <c r="A86" s="12" t="inlineStr">
        <is>
          <t>USA-085</t>
        </is>
      </c>
      <c r="B86" s="12" t="inlineStr">
        <is>
          <t>USA</t>
        </is>
      </c>
      <c r="C86" s="12" t="inlineStr">
        <is>
          <t>USA</t>
        </is>
      </c>
      <c r="D86" s="13" t="inlineStr">
        <is>
          <t>Bren-Tronics</t>
        </is>
      </c>
      <c r="E86" s="13" t="inlineStr">
        <is>
          <t>EnerSys</t>
        </is>
      </c>
      <c r="F86" s="12" t="n"/>
      <c r="G86" s="13" t="n"/>
      <c r="H86" s="14" t="n">
        <v>45499</v>
      </c>
      <c r="I86" s="14" t="n"/>
      <c r="J86" s="15" t="n">
        <v>2024</v>
      </c>
      <c r="K86" s="13" t="inlineStr">
        <is>
          <t>Merger/Acquisition</t>
        </is>
      </c>
      <c r="L86" s="13" t="n"/>
      <c r="M86" s="13" t="inlineStr">
        <is>
          <t>Completed</t>
        </is>
      </c>
      <c r="N86" s="16" t="n">
        <v>206.37</v>
      </c>
      <c r="O86" s="12" t="inlineStr">
        <is>
          <t>USD</t>
        </is>
      </c>
      <c r="R86" s="36" t="n"/>
      <c r="S86" s="16" t="n"/>
      <c r="T86" s="36" t="n"/>
      <c r="U86" s="16" t="n"/>
      <c r="V86" s="13" t="n"/>
      <c r="W86" s="16" t="n">
        <v>206.37</v>
      </c>
      <c r="X86" s="13" t="inlineStr">
        <is>
          <t>The company was acquired by EnerSys (NYS: ENS) for $206.374 million on July 26, 2024. The acquisition is a strategic move that will strengthen EnerSys's position as a critical enabler of the energy transition and supports their growth in the attractive and growing military and defense end market.</t>
        </is>
      </c>
      <c r="Y86" s="13" t="inlineStr">
        <is>
          <t>Corporate Backed or Acquired</t>
        </is>
      </c>
      <c r="Z86" s="13" t="inlineStr">
        <is>
          <t>Generating Revenue</t>
        </is>
      </c>
      <c r="AA86" s="13" t="inlineStr">
        <is>
          <t>EnerSys (Energy Storage) (NYS: ENS) (David Shaffer)</t>
        </is>
      </c>
      <c r="AB86" s="13" t="inlineStr">
        <is>
          <t>Electrical Equipment</t>
        </is>
      </c>
      <c r="AC86" s="13" t="inlineStr">
        <is>
          <t>Manufacturing</t>
        </is>
      </c>
      <c r="AD86" s="13" t="inlineStr">
        <is>
          <t>Manufacturer of portable power solutions and charging systems intended to serve the military and defense sector. The company produces and supplies batteries, chargers, accessories and power systems.</t>
        </is>
      </c>
      <c r="AE86" s="13" t="inlineStr">
        <is>
          <t>Commack, NY</t>
        </is>
      </c>
      <c r="AF86" s="13" t="inlineStr">
        <is>
          <t>www.bren-tronics.com</t>
        </is>
      </c>
    </row>
    <row r="87" ht="42" customHeight="1">
      <c r="A87" s="18" t="inlineStr">
        <is>
          <t>USA-086</t>
        </is>
      </c>
      <c r="B87" s="18" t="inlineStr">
        <is>
          <t>USA</t>
        </is>
      </c>
      <c r="C87" s="18" t="inlineStr">
        <is>
          <t>USA</t>
        </is>
      </c>
      <c r="D87" s="19" t="inlineStr">
        <is>
          <t>SilverEdge Government Solutions</t>
        </is>
      </c>
      <c r="E87" s="19" t="inlineStr">
        <is>
          <t>Science Applications International</t>
        </is>
      </c>
      <c r="F87" s="18" t="n"/>
      <c r="G87" s="19" t="n"/>
      <c r="H87" s="20" t="n">
        <v>45936</v>
      </c>
      <c r="I87" s="20" t="n"/>
      <c r="J87" s="21" t="n">
        <v>2025</v>
      </c>
      <c r="K87" s="19" t="inlineStr">
        <is>
          <t>Merger/Acquisition</t>
        </is>
      </c>
      <c r="L87" s="19" t="n"/>
      <c r="M87" s="19" t="inlineStr">
        <is>
          <t>Announced/In Progress</t>
        </is>
      </c>
      <c r="N87" s="22" t="n">
        <v>205</v>
      </c>
      <c r="O87" s="18" t="inlineStr">
        <is>
          <t>USD</t>
        </is>
      </c>
      <c r="P87" s="50" t="n">
        <v>2.44</v>
      </c>
      <c r="R87" s="37" t="n"/>
      <c r="S87" s="22" t="n"/>
      <c r="T87" s="37" t="n">
        <v>2.44</v>
      </c>
      <c r="U87" s="22" t="n">
        <v>84</v>
      </c>
      <c r="V87" s="19" t="n"/>
      <c r="W87" s="22" t="n">
        <v>205</v>
      </c>
      <c r="X87" s="19" t="inlineStr">
        <is>
          <t>The company reached a definitive agreement to be acquired by Science Applications International (NAS: SAIC) for $205 million on October 6, 2025. This acquisition advances Science Applications International's strategy of bringing mission-focused, IP-based solutions and commercial products to its customers and by integrating the company's SaaS products and expertise, Science Applications International will further enhance its ability to deliver real-time mission-based solutions with speed, efficiency, and agility.</t>
        </is>
      </c>
      <c r="Y87" s="19" t="inlineStr">
        <is>
          <t>Pending Transaction (M&amp;A)</t>
        </is>
      </c>
      <c r="Z87" s="19" t="inlineStr">
        <is>
          <t>Generating Revenue</t>
        </is>
      </c>
      <c r="AA87" s="19" t="inlineStr">
        <is>
          <t>Science Applications International (NAS: SAIC) (Toni Townes-Whitley)</t>
        </is>
      </c>
      <c r="AB87" s="19" t="inlineStr">
        <is>
          <t>IT Consulting and Outsourcing</t>
        </is>
      </c>
      <c r="AC87" s="19" t="inlineStr">
        <is>
          <t>Cybersecurity, SaaS</t>
        </is>
      </c>
      <c r="AD87" s="19" t="inlineStr">
        <is>
          <t>Provider of cyber security, information technology, intelligence analysis, and a software suite intended for the defense and intelligence communities. The company offers hyper-automation, intelligence, and data analysis, as well as specialized digital systems design, intelligence expertise and solutions, thereby enabling its customers to meet the evolving challenges and obstacles they face daily in their quest to help the nation's leaders and make the world safer.</t>
        </is>
      </c>
      <c r="AE87" s="19" t="inlineStr">
        <is>
          <t>Columbia, MD</t>
        </is>
      </c>
      <c r="AF87" s="19" t="inlineStr">
        <is>
          <t>www.silveredge-gs.com</t>
        </is>
      </c>
    </row>
    <row r="88" ht="42" customHeight="1">
      <c r="A88" s="12" t="inlineStr">
        <is>
          <t>USA-087</t>
        </is>
      </c>
      <c r="B88" s="12" t="inlineStr">
        <is>
          <t>USA</t>
        </is>
      </c>
      <c r="C88" s="12" t="inlineStr">
        <is>
          <t>USA</t>
        </is>
      </c>
      <c r="D88" s="13" t="inlineStr">
        <is>
          <t>ESAero</t>
        </is>
      </c>
      <c r="E88" s="13" t="inlineStr">
        <is>
          <t>AeroVironment</t>
        </is>
      </c>
      <c r="F88" s="12" t="n"/>
      <c r="G88" s="13" t="n"/>
      <c r="H88" s="14" t="n">
        <v>46094</v>
      </c>
      <c r="I88" s="14" t="n"/>
      <c r="J88" s="15" t="n">
        <v>2026</v>
      </c>
      <c r="K88" s="13" t="inlineStr">
        <is>
          <t>Merger/Acquisition</t>
        </is>
      </c>
      <c r="L88" s="13" t="n"/>
      <c r="M88" s="13" t="inlineStr">
        <is>
          <t>Completed</t>
        </is>
      </c>
      <c r="N88" s="16" t="n">
        <v>200</v>
      </c>
      <c r="O88" s="12" t="inlineStr">
        <is>
          <t>USD</t>
        </is>
      </c>
      <c r="R88" s="36" t="n"/>
      <c r="S88" s="16" t="n"/>
      <c r="T88" s="36" t="n"/>
      <c r="U88" s="16" t="n"/>
      <c r="V88" s="13" t="n"/>
      <c r="W88" s="16" t="n">
        <v>200</v>
      </c>
      <c r="X88" s="13" t="inlineStr">
        <is>
          <t>The company was acquired by AeroVironment (NAS: AVAV) for $200 million on March 13, 2026. The acquisition will further solidify AV's position as a global defense technology leader spanning air, land, sea, space, and cyber domains and enhance the its ability to seamlessly transition from innovative design to advanced manufacturing.</t>
        </is>
      </c>
      <c r="Y88" s="13" t="inlineStr">
        <is>
          <t>Corporate Backed or Acquired</t>
        </is>
      </c>
      <c r="Z88" s="13" t="inlineStr">
        <is>
          <t>Generating Revenue</t>
        </is>
      </c>
      <c r="AA88" s="13" t="inlineStr">
        <is>
          <t>AeroVironment (NAS: AVAV) (Wahid Nawabi)</t>
        </is>
      </c>
      <c r="AB88" s="13" t="inlineStr">
        <is>
          <t>Aerospace and Defense</t>
        </is>
      </c>
      <c r="AC88" s="13" t="inlineStr">
        <is>
          <t>Manufacturing</t>
        </is>
      </c>
      <c r="AD88" s="13" t="inlineStr">
        <is>
          <t>Manufacturer of unmanned aerial systems and urban air mobility system design for the aerospace industry. The company holds expertise in a range of fields including concept development, aircraft modifications, military and commercial conceptual air vehicle designs, sub-scale technology demonstrators, hybrid propulsion system research and development and niche engineering support, enabling clients to take full advantage of cutting-edge system designs, development, testing and demonstration solutions.</t>
        </is>
      </c>
      <c r="AE88" s="13" t="inlineStr">
        <is>
          <t>San Luis Obispo, CA</t>
        </is>
      </c>
      <c r="AF88" s="13" t="inlineStr">
        <is>
          <t>www.esaero.com</t>
        </is>
      </c>
    </row>
    <row r="89" ht="42" customHeight="1">
      <c r="A89" s="18" t="inlineStr">
        <is>
          <t>USA-088</t>
        </is>
      </c>
      <c r="B89" s="18" t="inlineStr">
        <is>
          <t>USA</t>
        </is>
      </c>
      <c r="C89" s="18" t="inlineStr">
        <is>
          <t>USA</t>
        </is>
      </c>
      <c r="D89" s="19" t="inlineStr">
        <is>
          <t>Walmart Advanced Systems &amp; Robotics</t>
        </is>
      </c>
      <c r="E89" s="19" t="inlineStr">
        <is>
          <t>Symbotic</t>
        </is>
      </c>
      <c r="F89" s="18" t="n"/>
      <c r="G89" s="19" t="n"/>
      <c r="H89" s="20" t="n">
        <v>45684</v>
      </c>
      <c r="I89" s="20" t="n"/>
      <c r="J89" s="21" t="n">
        <v>2025</v>
      </c>
      <c r="K89" s="19" t="inlineStr">
        <is>
          <t>Merger/Acquisition</t>
        </is>
      </c>
      <c r="L89" s="19" t="n"/>
      <c r="M89" s="19" t="inlineStr">
        <is>
          <t>Completed</t>
        </is>
      </c>
      <c r="N89" s="22" t="n">
        <v>200</v>
      </c>
      <c r="O89" s="18" t="inlineStr">
        <is>
          <t>USD</t>
        </is>
      </c>
      <c r="R89" s="37" t="n"/>
      <c r="S89" s="22" t="n"/>
      <c r="T89" s="37" t="n"/>
      <c r="U89" s="22" t="n"/>
      <c r="V89" s="19" t="inlineStr">
        <is>
          <t>Corporate Divestiture</t>
        </is>
      </c>
      <c r="W89" s="22" t="n">
        <v>200</v>
      </c>
      <c r="X89" s="19" t="inlineStr">
        <is>
          <t>The company, a subsidiary of Walmart (NYS: WMT), was acquired by Symbotic (NAS: SYM) for $200 million on January 27, 2025.</t>
        </is>
      </c>
      <c r="Y89" s="19" t="inlineStr">
        <is>
          <t>Formerly VC-backed</t>
        </is>
      </c>
      <c r="Z89" s="19" t="inlineStr">
        <is>
          <t>Generating Revenue</t>
        </is>
      </c>
      <c r="AA89" s="19" t="inlineStr">
        <is>
          <t>Symbotic (NAS: SYM) (Richard Cohen)</t>
        </is>
      </c>
      <c r="AB89" s="19" t="inlineStr">
        <is>
          <t>Other Hardware</t>
        </is>
      </c>
      <c r="AC89" s="19" t="inlineStr">
        <is>
          <t>Artificial Intelligence &amp; Machine Learning, Manufacturing, Robotics and Drones</t>
        </is>
      </c>
      <c r="AD89" s="19" t="inlineStr">
        <is>
          <t>Operator of a robotics automation company intended to improve the way people shop and retailers operate. The company offers supermarkets featuring automated service rather than self-service, which can help clients with high-density storage and machine learning complex distribution challenges, enabling clients to improve customer experience and store operating economics.</t>
        </is>
      </c>
      <c r="AE89" s="19" t="inlineStr">
        <is>
          <t>Andover, MA</t>
        </is>
      </c>
      <c r="AF89" s="19" t="inlineStr">
        <is>
          <t>www.walmartasr.com</t>
        </is>
      </c>
    </row>
    <row r="90" ht="42" customHeight="1">
      <c r="A90" s="12" t="inlineStr">
        <is>
          <t>USA-089</t>
        </is>
      </c>
      <c r="B90" s="12" t="inlineStr">
        <is>
          <t>USA</t>
        </is>
      </c>
      <c r="C90" s="12" t="inlineStr">
        <is>
          <t>USA</t>
        </is>
      </c>
      <c r="D90" s="13" t="inlineStr">
        <is>
          <t>Kellstrom Aerospace</t>
        </is>
      </c>
      <c r="E90" s="13" t="inlineStr">
        <is>
          <t>VSE</t>
        </is>
      </c>
      <c r="F90" s="12" t="n"/>
      <c r="G90" s="13" t="n"/>
      <c r="H90" s="14" t="n">
        <v>45629</v>
      </c>
      <c r="I90" s="14" t="n"/>
      <c r="J90" s="15" t="n">
        <v>2024</v>
      </c>
      <c r="K90" s="13" t="inlineStr">
        <is>
          <t>Merger/Acquisition</t>
        </is>
      </c>
      <c r="L90" s="13" t="n"/>
      <c r="M90" s="13" t="inlineStr">
        <is>
          <t>Completed</t>
        </is>
      </c>
      <c r="N90" s="16" t="n">
        <v>191.02</v>
      </c>
      <c r="O90" s="12" t="inlineStr">
        <is>
          <t>USD</t>
        </is>
      </c>
      <c r="P90" s="50" t="n">
        <v>1.09</v>
      </c>
      <c r="R90" s="36" t="n"/>
      <c r="S90" s="16" t="n"/>
      <c r="T90" s="36" t="n">
        <v>1.09</v>
      </c>
      <c r="U90" s="16" t="n">
        <v>175</v>
      </c>
      <c r="V90" s="13" t="n"/>
      <c r="W90" s="16" t="n">
        <v>191.02</v>
      </c>
      <c r="X90" s="13" t="inlineStr">
        <is>
          <t>The company was acquired by VSE (NAS: VSEC) for approximately $191.02 million on December 3, 2024. The acquisition comprises approximately $170.7 million in cash and approximately $20.26 million of VSE's common stock shares. This acquisition improves VSE's position in the commercial aviation aftermarket, reinforces its OEM-focused strategy, expands its aftermarket product and capability offerings, and broadens its global footprint.</t>
        </is>
      </c>
      <c r="Y90" s="13" t="inlineStr">
        <is>
          <t>Formerly PE-Backed</t>
        </is>
      </c>
      <c r="Z90" s="13" t="inlineStr">
        <is>
          <t>Generating Revenue</t>
        </is>
      </c>
      <c r="AA90" s="13" t="inlineStr">
        <is>
          <t>VSE (Aerospace and Defense) (NAS: VSEC) (John Cuomo)</t>
        </is>
      </c>
      <c r="AB90" s="13" t="inlineStr">
        <is>
          <t>Aerospace and Defense</t>
        </is>
      </c>
      <c r="AC90" s="13" t="inlineStr">
        <is>
          <t>Industrials</t>
        </is>
      </c>
      <c r="AD90" s="13" t="inlineStr">
        <is>
          <t>Distributor of engines, aircraft, and spare parts intended to serve the commercial aerospace engine aftermarket. The company buys, refurbishes, and resells or leases jet engines and jet engine parts and provides innovative, service-led inventory supply chain programs to global commercial airlines, thereby enabling clients to get cost-saving or value-added services at each phase of the aircraft's life cycle.</t>
        </is>
      </c>
      <c r="AE90" s="13" t="inlineStr">
        <is>
          <t>Davie, FL</t>
        </is>
      </c>
      <c r="AF90" s="13" t="inlineStr">
        <is>
          <t>www.kellstromaerospace.com</t>
        </is>
      </c>
    </row>
    <row r="91" ht="42" customHeight="1">
      <c r="A91" s="18" t="inlineStr">
        <is>
          <t>USA-090</t>
        </is>
      </c>
      <c r="B91" s="18" t="inlineStr">
        <is>
          <t>USA</t>
        </is>
      </c>
      <c r="C91" s="18" t="inlineStr">
        <is>
          <t>USA</t>
        </is>
      </c>
      <c r="D91" s="19" t="inlineStr">
        <is>
          <t>Paulo</t>
        </is>
      </c>
      <c r="E91" s="19" t="inlineStr">
        <is>
          <t>Aalberts</t>
        </is>
      </c>
      <c r="F91" s="18" t="n"/>
      <c r="G91" s="19" t="n"/>
      <c r="H91" s="20" t="n">
        <v>45778</v>
      </c>
      <c r="I91" s="20" t="n"/>
      <c r="J91" s="21" t="n">
        <v>2025</v>
      </c>
      <c r="K91" s="19" t="inlineStr">
        <is>
          <t>Merger/Acquisition</t>
        </is>
      </c>
      <c r="L91" s="19" t="n"/>
      <c r="M91" s="19" t="inlineStr">
        <is>
          <t>Completed</t>
        </is>
      </c>
      <c r="N91" s="22" t="n">
        <v>188.67</v>
      </c>
      <c r="O91" s="18" t="inlineStr">
        <is>
          <t>USD</t>
        </is>
      </c>
      <c r="P91" s="50" t="n">
        <v>1.8</v>
      </c>
      <c r="R91" s="37" t="n"/>
      <c r="S91" s="22" t="n"/>
      <c r="T91" s="37" t="n">
        <v>1.8</v>
      </c>
      <c r="U91" s="22" t="n">
        <v>105</v>
      </c>
      <c r="V91" s="19" t="n"/>
      <c r="W91" s="22" t="n">
        <v>188.67</v>
      </c>
      <c r="X91" s="19" t="inlineStr">
        <is>
          <t>The company was acquired by Aalberts (AMS: AALB) for an undisclosed amount on May 1, 2025. This acquisition will strengthen Aalberts' geographical footprint in the USA.</t>
        </is>
      </c>
      <c r="Y91" s="19" t="inlineStr">
        <is>
          <t>Corporate Backed or Acquired</t>
        </is>
      </c>
      <c r="Z91" s="19" t="inlineStr">
        <is>
          <t>Generating Revenue</t>
        </is>
      </c>
      <c r="AA91" s="19" t="inlineStr">
        <is>
          <t>Aalberts (Specialty Chemicals) (AMS: AALB) (Stéphane Simonetta)</t>
        </is>
      </c>
      <c r="AB91" s="19" t="inlineStr">
        <is>
          <t>Other Commercial Services</t>
        </is>
      </c>
      <c r="AC91" s="19" t="n"/>
      <c r="AD91" s="19" t="inlineStr">
        <is>
          <t>Provider of heat treatment services catering to automotive &amp; heavy truck, aerospace &amp; defense, agriculture, firearms, and medical industries. The company specializes in industrial heat treatment and related services that are critical to achieving strength, hardness, and other metallurgical properties required in various industrial applications, thereby helping clients select and design the heat-treating process that will deliver the right results every time, on time.</t>
        </is>
      </c>
      <c r="AE91" s="19" t="inlineStr">
        <is>
          <t>Saint Louis, MO</t>
        </is>
      </c>
      <c r="AF91" s="19" t="inlineStr">
        <is>
          <t>www.paulo.com</t>
        </is>
      </c>
    </row>
    <row r="92" ht="42" customHeight="1">
      <c r="A92" s="12" t="inlineStr">
        <is>
          <t>USA-091</t>
        </is>
      </c>
      <c r="B92" s="12" t="inlineStr">
        <is>
          <t>USA</t>
        </is>
      </c>
      <c r="C92" s="12" t="inlineStr">
        <is>
          <t>USA</t>
        </is>
      </c>
      <c r="D92" s="13" t="inlineStr">
        <is>
          <t>Spyce</t>
        </is>
      </c>
      <c r="E92" s="13" t="inlineStr">
        <is>
          <t>Wonder Group</t>
        </is>
      </c>
      <c r="F92" s="12" t="n"/>
      <c r="G92" s="13" t="n"/>
      <c r="H92" s="14" t="n">
        <v>45967</v>
      </c>
      <c r="I92" s="14" t="n"/>
      <c r="J92" s="15" t="n">
        <v>2025</v>
      </c>
      <c r="K92" s="13" t="inlineStr">
        <is>
          <t>Merger/Acquisition</t>
        </is>
      </c>
      <c r="L92" s="13" t="n"/>
      <c r="M92" s="13" t="inlineStr">
        <is>
          <t>Completed</t>
        </is>
      </c>
      <c r="N92" s="16" t="n">
        <v>186.4</v>
      </c>
      <c r="O92" s="12" t="inlineStr">
        <is>
          <t>USD</t>
        </is>
      </c>
      <c r="R92" s="36" t="n"/>
      <c r="S92" s="16" t="n"/>
      <c r="T92" s="36" t="n"/>
      <c r="U92" s="16" t="n"/>
      <c r="V92" s="13" t="n"/>
      <c r="W92" s="16" t="n">
        <v>186.4</v>
      </c>
      <c r="X92" s="13" t="inlineStr">
        <is>
          <t>The company was acquired by Wonder Group for $186.4 million on November 6, 2025.</t>
        </is>
      </c>
      <c r="Y92" s="13" t="inlineStr">
        <is>
          <t>Formerly VC-backed</t>
        </is>
      </c>
      <c r="Z92" s="13" t="inlineStr">
        <is>
          <t>Generating Revenue</t>
        </is>
      </c>
      <c r="AA92" s="13" t="inlineStr">
        <is>
          <t>Wonder Group (Marc Lore)</t>
        </is>
      </c>
      <c r="AB92" s="13" t="inlineStr">
        <is>
          <t>Other Hardware</t>
        </is>
      </c>
      <c r="AC92" s="13" t="inlineStr">
        <is>
          <t>FoodTech, Robotics and Drones</t>
        </is>
      </c>
      <c r="AD92" s="13" t="inlineStr">
        <is>
          <t>Developer of a fully robotic kitchen designed to enhance fast-food production. The company's full-functioning automated kitchen combines a fridge, dishwasher, stove-top, and a robotic chef in one device to serve meals from fresh ingredients with no human involvement, enabling consumers to access cheap, healthy fast food without compromising quality.</t>
        </is>
      </c>
      <c r="AE92" s="13" t="inlineStr">
        <is>
          <t>Somerville, MA</t>
        </is>
      </c>
      <c r="AF92" s="13" t="inlineStr">
        <is>
          <t>www.spyce.com</t>
        </is>
      </c>
    </row>
    <row r="93" ht="42" customHeight="1">
      <c r="A93" s="18" t="inlineStr">
        <is>
          <t>USA-092</t>
        </is>
      </c>
      <c r="B93" s="18" t="inlineStr">
        <is>
          <t>USA</t>
        </is>
      </c>
      <c r="C93" s="18" t="inlineStr">
        <is>
          <t>USA</t>
        </is>
      </c>
      <c r="D93" s="19" t="inlineStr">
        <is>
          <t>Sealing Technologies</t>
        </is>
      </c>
      <c r="E93" s="19" t="inlineStr">
        <is>
          <t>Parsons</t>
        </is>
      </c>
      <c r="F93" s="18" t="n"/>
      <c r="G93" s="19" t="n"/>
      <c r="H93" s="20" t="n">
        <v>45161</v>
      </c>
      <c r="I93" s="20" t="n"/>
      <c r="J93" s="21" t="n">
        <v>2023</v>
      </c>
      <c r="K93" s="19" t="inlineStr">
        <is>
          <t>Merger/Acquisition</t>
        </is>
      </c>
      <c r="L93" s="19" t="n"/>
      <c r="M93" s="19" t="inlineStr">
        <is>
          <t>Completed</t>
        </is>
      </c>
      <c r="N93" s="22" t="n">
        <v>185.14</v>
      </c>
      <c r="O93" s="18" t="inlineStr">
        <is>
          <t>USD</t>
        </is>
      </c>
      <c r="R93" s="37" t="n"/>
      <c r="S93" s="22" t="n"/>
      <c r="T93" s="37" t="n"/>
      <c r="U93" s="22" t="n"/>
      <c r="V93" s="19" t="n"/>
      <c r="W93" s="22" t="n">
        <v>185.14</v>
      </c>
      <c r="X93" s="19" t="inlineStr">
        <is>
          <t>The company was acquired by Parsons (NYS: PSN) for $185.14 million on August 23, 2023. The company will receive a contingent payout of $3.45 million. This acquisition expands Parsons' customer base across the Department of Defense and Intelligence Community and further enhances the company's capabilities in defensive cyber operations.</t>
        </is>
      </c>
      <c r="Y93" s="19" t="inlineStr">
        <is>
          <t>Corporate Backed or Acquired</t>
        </is>
      </c>
      <c r="Z93" s="19" t="inlineStr">
        <is>
          <t>Generating Revenue</t>
        </is>
      </c>
      <c r="AA93" s="19" t="inlineStr">
        <is>
          <t>Parsons (NYS: PSN) (Carey Smith)</t>
        </is>
      </c>
      <c r="AB93" s="19" t="inlineStr">
        <is>
          <t>IT Consulting and Outsourcing</t>
        </is>
      </c>
      <c r="AC93" s="19" t="inlineStr">
        <is>
          <t>Artificial Intelligence &amp; Machine Learning, Big Data, Cybersecurity, TMT</t>
        </is>
      </c>
      <c r="AD93" s="19" t="inlineStr">
        <is>
          <t>Provider of cyber security services intended to support the federal government and private industries in accomplishing their cybersecurity and defense objectives. The company specializes in engineering and architecture, testing and evaluation, piloting and prototyping, integration and logistics and cyber operations and provides defensive cybersecurity operations, secure enterprise modernization and security-enhanced information sharing, thereby providing clients with the ability to get information to and from the warfighter at speed and vast amounts.</t>
        </is>
      </c>
      <c r="AE93" s="19" t="inlineStr">
        <is>
          <t>Columbia, MD</t>
        </is>
      </c>
      <c r="AF93" s="19" t="inlineStr">
        <is>
          <t>www.sealingtech.com</t>
        </is>
      </c>
    </row>
    <row r="94" ht="42" customHeight="1">
      <c r="A94" s="12" t="inlineStr">
        <is>
          <t>USA-093</t>
        </is>
      </c>
      <c r="B94" s="12" t="inlineStr">
        <is>
          <t>USA</t>
        </is>
      </c>
      <c r="C94" s="12" t="inlineStr">
        <is>
          <t>USA</t>
        </is>
      </c>
      <c r="D94" s="13" t="inlineStr">
        <is>
          <t>Vector Atomic</t>
        </is>
      </c>
      <c r="E94" s="13" t="inlineStr">
        <is>
          <t>IonQ</t>
        </is>
      </c>
      <c r="F94" s="12" t="n"/>
      <c r="G94" s="13" t="n"/>
      <c r="H94" s="14" t="n">
        <v>45932</v>
      </c>
      <c r="I94" s="14" t="n"/>
      <c r="J94" s="15" t="n">
        <v>2025</v>
      </c>
      <c r="K94" s="13" t="inlineStr">
        <is>
          <t>Merger/Acquisition</t>
        </is>
      </c>
      <c r="L94" s="13" t="n"/>
      <c r="M94" s="13" t="inlineStr">
        <is>
          <t>Completed</t>
        </is>
      </c>
      <c r="N94" s="16" t="n">
        <v>181.5</v>
      </c>
      <c r="O94" s="12" t="inlineStr">
        <is>
          <t>USD</t>
        </is>
      </c>
      <c r="R94" s="36" t="n"/>
      <c r="S94" s="16" t="n"/>
      <c r="T94" s="36" t="n"/>
      <c r="U94" s="16" t="n"/>
      <c r="V94" s="13" t="n"/>
      <c r="W94" s="16" t="n">
        <v>181.5</v>
      </c>
      <c r="X94" s="13" t="inlineStr">
        <is>
          <t>The company was acquired by IonQ (NYS: IONQ) for approximately $181.5 million on October 2, 2025. The acquisition supports IonQ 's mission to develop fully integrated quantum systems by adding sensing capabilities to its existing quantum products.</t>
        </is>
      </c>
      <c r="Y94" s="13" t="inlineStr">
        <is>
          <t>Corporate Backed or Acquired</t>
        </is>
      </c>
      <c r="Z94" s="13" t="inlineStr">
        <is>
          <t>Generating Revenue</t>
        </is>
      </c>
      <c r="AA94" s="13" t="inlineStr">
        <is>
          <t>IonQ (NYS: IONQ) (Niccolo Masi)</t>
        </is>
      </c>
      <c r="AB94" s="13" t="inlineStr">
        <is>
          <t>Electronic Equipment and Instruments</t>
        </is>
      </c>
      <c r="AC94" s="13" t="inlineStr">
        <is>
          <t>Manufacturing</t>
        </is>
      </c>
      <c r="AD94" s="13" t="inlineStr">
        <is>
          <t>Manufacturer of quantum precision hardware solutions designed to focus on delivering near-term products that take advantage of the exquisite properties of quantum systems. The company's devices include GPS-free navigation, telecommunications, and computing that are designed with the cost, form, fit, and function for the real world, enabling customers to understand and employ tools from the physical sciences and the emerging quantum landscape.</t>
        </is>
      </c>
      <c r="AE94" s="13" t="inlineStr">
        <is>
          <t>Pleasanton, CA</t>
        </is>
      </c>
      <c r="AF94" s="13" t="inlineStr">
        <is>
          <t>www.vectoratomic.com</t>
        </is>
      </c>
    </row>
    <row r="95" ht="42" customHeight="1">
      <c r="A95" s="18" t="inlineStr">
        <is>
          <t>USA-094</t>
        </is>
      </c>
      <c r="B95" s="18" t="inlineStr">
        <is>
          <t>USA</t>
        </is>
      </c>
      <c r="C95" s="18" t="inlineStr">
        <is>
          <t>USA</t>
        </is>
      </c>
      <c r="D95" s="19" t="inlineStr">
        <is>
          <t>Mistral</t>
        </is>
      </c>
      <c r="E95" s="19" t="inlineStr">
        <is>
          <t>Ondas</t>
        </is>
      </c>
      <c r="F95" s="18" t="n"/>
      <c r="G95" s="19" t="n"/>
      <c r="H95" s="20" t="n">
        <v>46136</v>
      </c>
      <c r="I95" s="20" t="n"/>
      <c r="J95" s="21" t="n">
        <v>2026</v>
      </c>
      <c r="K95" s="19" t="inlineStr">
        <is>
          <t>Merger/Acquisition</t>
        </is>
      </c>
      <c r="L95" s="19" t="n"/>
      <c r="M95" s="19" t="inlineStr">
        <is>
          <t>Completed</t>
        </is>
      </c>
      <c r="N95" s="22" t="n">
        <v>175</v>
      </c>
      <c r="O95" s="18" t="inlineStr">
        <is>
          <t>USD</t>
        </is>
      </c>
      <c r="R95" s="37" t="n"/>
      <c r="S95" s="22" t="n"/>
      <c r="T95" s="37" t="n"/>
      <c r="U95" s="22" t="n"/>
      <c r="V95" s="19" t="n"/>
      <c r="W95" s="22" t="n">
        <v>175</v>
      </c>
      <c r="X95" s="19" t="inlineStr">
        <is>
          <t>The company was acquired by Ondas (NAS: ONDS) for $175 million on April 24, 2026. The acquisition strengthens ondas' position as a next-generation defense prime, accelerating deployment of autonomous systems across U.S. defense and homeland security markets.</t>
        </is>
      </c>
      <c r="Y95" s="19" t="inlineStr">
        <is>
          <t>Corporate Backed or Acquired</t>
        </is>
      </c>
      <c r="Z95" s="19" t="inlineStr">
        <is>
          <t>Generating Revenue</t>
        </is>
      </c>
      <c r="AA95" s="19" t="inlineStr">
        <is>
          <t>Ondas (NAS: ONDS) (Eric Brock)</t>
        </is>
      </c>
      <c r="AB95" s="19" t="inlineStr">
        <is>
          <t>Aerospace and Defense</t>
        </is>
      </c>
      <c r="AC95" s="19" t="inlineStr">
        <is>
          <t>Manufacturing, Robotics and Drones</t>
        </is>
      </c>
      <c r="AD95" s="19" t="inlineStr">
        <is>
          <t>Manufacturer of defense and public safety systems and technologies intended for the United States military and defense, Canadian special forces, federal agencies, and law enforcement agencies. The company offers blast management products, communication shelters, counter UAV, C4ISR sensors, indirect fires, trace detection and identification field test kits, tactical tools, underwater communications and navigation, robotics, and autonomous tools to its customers, thereby helping them with emerging technologies and upgrading their defense.</t>
        </is>
      </c>
      <c r="AE95" s="19" t="inlineStr">
        <is>
          <t>Bethesda, MD</t>
        </is>
      </c>
      <c r="AF95" s="19" t="inlineStr">
        <is>
          <t>www.mistralinc.com</t>
        </is>
      </c>
    </row>
    <row r="96" ht="42" customHeight="1">
      <c r="A96" s="12" t="inlineStr">
        <is>
          <t>USA-095</t>
        </is>
      </c>
      <c r="B96" s="12" t="inlineStr">
        <is>
          <t>USA</t>
        </is>
      </c>
      <c r="C96" s="12" t="inlineStr">
        <is>
          <t>USA</t>
        </is>
      </c>
      <c r="D96" s="13" t="inlineStr">
        <is>
          <t>IPVideo</t>
        </is>
      </c>
      <c r="E96" s="13" t="inlineStr">
        <is>
          <t>Motorola Solutions</t>
        </is>
      </c>
      <c r="F96" s="12" t="n"/>
      <c r="G96" s="13" t="n"/>
      <c r="H96" s="14" t="n">
        <v>45275</v>
      </c>
      <c r="I96" s="14" t="n"/>
      <c r="J96" s="15" t="n">
        <v>2023</v>
      </c>
      <c r="K96" s="13" t="inlineStr">
        <is>
          <t>Merger/Acquisition</t>
        </is>
      </c>
      <c r="L96" s="13" t="n"/>
      <c r="M96" s="13" t="inlineStr">
        <is>
          <t>Completed</t>
        </is>
      </c>
      <c r="N96" s="16" t="n">
        <v>170</v>
      </c>
      <c r="O96" s="12" t="inlineStr">
        <is>
          <t>USD</t>
        </is>
      </c>
      <c r="R96" s="36" t="n"/>
      <c r="S96" s="16" t="n"/>
      <c r="T96" s="36" t="n"/>
      <c r="U96" s="16" t="n"/>
      <c r="V96" s="13" t="n"/>
      <c r="W96" s="16" t="n">
        <v>170</v>
      </c>
      <c r="X96" s="13" t="inlineStr">
        <is>
          <t>The company was acquired by Motorola Solutions (NYS: MSI), a subsidiary of Motorola Mobility, for $170 million and The company will receive a contingent payout of $15 million upon the completion on December 15, 2023. The acquisition reinforces Motorola Solutions' commitment to improving safety and security by offering a cost-effective sensor that is easy to deploy and operate for enterprises of all sizes.</t>
        </is>
      </c>
      <c r="Y96" s="13" t="inlineStr">
        <is>
          <t>Corporate Backed or Acquired</t>
        </is>
      </c>
      <c r="Z96" s="13" t="inlineStr">
        <is>
          <t>Generating Revenue</t>
        </is>
      </c>
      <c r="AA96" s="13" t="inlineStr">
        <is>
          <t>Motorola Solutions (NYS: MSI) (Mahesh Saptharishi)</t>
        </is>
      </c>
      <c r="AB96" s="13" t="inlineStr">
        <is>
          <t>Electronic Equipment and Instruments</t>
        </is>
      </c>
      <c r="AC96" s="13" t="inlineStr">
        <is>
          <t>Artificial Intelligence &amp; Machine Learning, Internet of Things, Manufacturing</t>
        </is>
      </c>
      <c r="AD96" s="13" t="inlineStr">
        <is>
          <t>Manufacturer of intelligent sensor devices intended to help protect people and spaces even where video security solutions are not permitted. The company offers multifunctional safety and security devices with built-in vape detection and air quality monitoring, gunshot detection, abnormal noise and motion detection and emergency keyword detection, thereby helping to make the world a safer and healthier place.</t>
        </is>
      </c>
      <c r="AE96" s="13" t="inlineStr">
        <is>
          <t>Bay Shore, NY</t>
        </is>
      </c>
      <c r="AF96" s="13" t="inlineStr">
        <is>
          <t>www.ipvideocorp.com</t>
        </is>
      </c>
    </row>
    <row r="97" ht="42" customHeight="1">
      <c r="A97" s="18" t="inlineStr">
        <is>
          <t>USA-096</t>
        </is>
      </c>
      <c r="B97" s="18" t="inlineStr">
        <is>
          <t>USA</t>
        </is>
      </c>
      <c r="C97" s="18" t="inlineStr">
        <is>
          <t>USA</t>
        </is>
      </c>
      <c r="D97" s="19" t="inlineStr">
        <is>
          <t>Origin AI (Network Management Software)</t>
        </is>
      </c>
      <c r="E97" s="19" t="inlineStr">
        <is>
          <t>ADT</t>
        </is>
      </c>
      <c r="F97" s="18" t="n"/>
      <c r="G97" s="19" t="n"/>
      <c r="H97" s="20" t="n">
        <v>46073</v>
      </c>
      <c r="I97" s="20" t="n"/>
      <c r="J97" s="21" t="n">
        <v>2026</v>
      </c>
      <c r="K97" s="19" t="inlineStr">
        <is>
          <t>Merger/Acquisition</t>
        </is>
      </c>
      <c r="L97" s="19" t="n"/>
      <c r="M97" s="19" t="inlineStr">
        <is>
          <t>Completed</t>
        </is>
      </c>
      <c r="N97" s="22" t="n">
        <v>170</v>
      </c>
      <c r="O97" s="18" t="inlineStr">
        <is>
          <t>USD</t>
        </is>
      </c>
      <c r="P97" s="50" t="n">
        <v>7.3</v>
      </c>
      <c r="R97" s="37" t="n"/>
      <c r="S97" s="22" t="n"/>
      <c r="T97" s="37" t="n">
        <v>7.3</v>
      </c>
      <c r="U97" s="22" t="n">
        <v>23.3</v>
      </c>
      <c r="V97" s="19" t="n"/>
      <c r="W97" s="22" t="n">
        <v>170</v>
      </c>
      <c r="X97" s="19" t="inlineStr">
        <is>
          <t>The company was acquired by ADT (NYS: ADT) for $170 million on February 20, 2026.</t>
        </is>
      </c>
      <c r="Y97" s="19" t="inlineStr">
        <is>
          <t>Formerly VC-backed</t>
        </is>
      </c>
      <c r="Z97" s="19" t="inlineStr">
        <is>
          <t>Generating Revenue</t>
        </is>
      </c>
      <c r="AA97" s="19" t="inlineStr">
        <is>
          <t>ADT (Boca Raton) (NYS: ADT) (Omar Khan)</t>
        </is>
      </c>
      <c r="AB97" s="19" t="inlineStr">
        <is>
          <t>Network Management Software</t>
        </is>
      </c>
      <c r="AC97" s="19" t="inlineStr">
        <is>
          <t>Artificial Intelligence &amp; Machine Learning, SaaS</t>
        </is>
      </c>
      <c r="AD97" s="19" t="inlineStr">
        <is>
          <t>Developer of a wireless sensing device designed to provide consumers with a wide range of information in various applications. The company's platform provides various applications like indoor monitoring and security with the use of commercial WiFi devices, indoor positioning and tracking, presence and occupancy detection, sleep monitoring, child presence detection in a car, and more, enabling companies to build a wide range of Wi-Fi smart home, security, internet service provider applications with high performance, low cost, and ease of use.</t>
        </is>
      </c>
      <c r="AE97" s="19" t="inlineStr">
        <is>
          <t>Rockville, MD</t>
        </is>
      </c>
      <c r="AF97" s="19" t="inlineStr">
        <is>
          <t>www.originwirelessai.com</t>
        </is>
      </c>
    </row>
    <row r="98" ht="42" customHeight="1">
      <c r="A98" s="12" t="inlineStr">
        <is>
          <t>USA-097</t>
        </is>
      </c>
      <c r="B98" s="12" t="inlineStr">
        <is>
          <t>USA</t>
        </is>
      </c>
      <c r="C98" s="12" t="inlineStr">
        <is>
          <t>USA</t>
        </is>
      </c>
      <c r="D98" s="13" t="inlineStr">
        <is>
          <t>Tyr Tactical</t>
        </is>
      </c>
      <c r="E98" s="13" t="inlineStr">
        <is>
          <t>Cadre Holdings</t>
        </is>
      </c>
      <c r="F98" s="12" t="n"/>
      <c r="G98" s="13" t="n"/>
      <c r="H98" s="14" t="n">
        <v>46052</v>
      </c>
      <c r="I98" s="14" t="n"/>
      <c r="J98" s="15" t="n">
        <v>2026</v>
      </c>
      <c r="K98" s="13" t="inlineStr">
        <is>
          <t>Merger/Acquisition</t>
        </is>
      </c>
      <c r="L98" s="13" t="n"/>
      <c r="M98" s="13" t="inlineStr">
        <is>
          <t>Completed</t>
        </is>
      </c>
      <c r="N98" s="16" t="n">
        <v>170</v>
      </c>
      <c r="O98" s="12" t="inlineStr">
        <is>
          <t>USD</t>
        </is>
      </c>
      <c r="R98" s="36" t="n"/>
      <c r="S98" s="16" t="n"/>
      <c r="T98" s="36" t="n"/>
      <c r="U98" s="16" t="n"/>
      <c r="V98" s="13" t="n"/>
      <c r="W98" s="16" t="n">
        <v>170</v>
      </c>
      <c r="X98" s="13" t="inlineStr">
        <is>
          <t>The company was acquired by Cadre Holdings (NYS: CDRE) for an estimated $170 million on January 30, 2026. The purchase price consisted of $120 million of cash and $24 million of Cadre Holdings common stock, as well as $1 million of Cadre Holdings common stock in the form of restricted stock unit awards to be granted to certain employees of Tyr Tactical. The company will receive a contingent payout of $25 million based on the achievement of specified net revenue targets for the calendar years 2026, 2027, and 2028. The addition of Tyr Tactical is expected to be immediately accretive to the acquirer's earnings and adjusted EBITDA margins.</t>
        </is>
      </c>
      <c r="Y98" s="13" t="inlineStr">
        <is>
          <t>Corporate Backed or Acquired</t>
        </is>
      </c>
      <c r="Z98" s="13" t="inlineStr">
        <is>
          <t>Generating Revenue</t>
        </is>
      </c>
      <c r="AA98" s="13" t="inlineStr">
        <is>
          <t>Cadre Holdings (NYS: CDRE) (Warren Kanders)</t>
        </is>
      </c>
      <c r="AB98" s="13" t="inlineStr">
        <is>
          <t>Aerospace and Defense</t>
        </is>
      </c>
      <c r="AC98" s="13" t="inlineStr">
        <is>
          <t>Manufacturing</t>
        </is>
      </c>
      <c r="AD98" s="13" t="inlineStr">
        <is>
          <t>Manufacturer of tactical gear and equipment catering to the military and law enforcement industry. The company offers body armor, ballistic vests, plate carriers, backpacks, shooting accessories, tactical belts, shields and bags, enabling clients to avail of the required defense products.</t>
        </is>
      </c>
      <c r="AE98" s="13" t="inlineStr">
        <is>
          <t>Peoria, AZ</t>
        </is>
      </c>
      <c r="AF98" s="13" t="inlineStr">
        <is>
          <t>www.tyrtactical.com</t>
        </is>
      </c>
    </row>
    <row r="99" ht="42" customHeight="1">
      <c r="A99" s="18" t="inlineStr">
        <is>
          <t>USA-098</t>
        </is>
      </c>
      <c r="B99" s="18" t="inlineStr">
        <is>
          <t>USA</t>
        </is>
      </c>
      <c r="C99" s="18" t="inlineStr">
        <is>
          <t>USA</t>
        </is>
      </c>
      <c r="D99" s="19" t="inlineStr">
        <is>
          <t>CGI (Industrial Supplies and Parts)</t>
        </is>
      </c>
      <c r="E99" s="19" t="inlineStr">
        <is>
          <t>The Timken</t>
        </is>
      </c>
      <c r="F99" s="18" t="n"/>
      <c r="G99" s="19" t="n"/>
      <c r="H99" s="20" t="n">
        <v>45544</v>
      </c>
      <c r="I99" s="20" t="n"/>
      <c r="J99" s="21" t="n">
        <v>2024</v>
      </c>
      <c r="K99" s="19" t="inlineStr">
        <is>
          <t>Merger/Acquisition</t>
        </is>
      </c>
      <c r="L99" s="19" t="n"/>
      <c r="M99" s="19" t="inlineStr">
        <is>
          <t>Completed</t>
        </is>
      </c>
      <c r="N99" s="22" t="n">
        <v>167.1</v>
      </c>
      <c r="O99" s="18" t="inlineStr">
        <is>
          <t>USD</t>
        </is>
      </c>
      <c r="P99" s="50" t="n">
        <v>3.71</v>
      </c>
      <c r="R99" s="37" t="n"/>
      <c r="S99" s="22" t="n"/>
      <c r="T99" s="37" t="n">
        <v>3.71</v>
      </c>
      <c r="U99" s="22" t="n">
        <v>45</v>
      </c>
      <c r="V99" s="19" t="n"/>
      <c r="W99" s="22" t="n">
        <v>167.1</v>
      </c>
      <c r="X99" s="19" t="inlineStr">
        <is>
          <t>The company was acquired by The Timken (NYS: TKR) for $167.1 million on September 9, 2024. The acquisition will offer the Timken, an attractive product portfolio, strong presence in high-growth medical applications, state-of-the-art manufacturing and consistently strong operating margins.</t>
        </is>
      </c>
      <c r="Y99" s="19" t="inlineStr">
        <is>
          <t>Corporate Backed or Acquired</t>
        </is>
      </c>
      <c r="Z99" s="19" t="inlineStr">
        <is>
          <t>Generating Revenue</t>
        </is>
      </c>
      <c r="AA99" s="19" t="inlineStr">
        <is>
          <t>The Timken (NYS: TKR) (Christopher Coughlin)</t>
        </is>
      </c>
      <c r="AB99" s="19" t="inlineStr">
        <is>
          <t>Industrial Supplies and Parts</t>
        </is>
      </c>
      <c r="AC99" s="19" t="inlineStr">
        <is>
          <t>Industrials, Manufacturing</t>
        </is>
      </c>
      <c r="AD99" s="19" t="inlineStr">
        <is>
          <t>Manufacturer of precision servo gearboxes intended to serve a wide range of industrial applications. The company's products are utilized in the robotics and automation industry, and its offerings include precision machined components, precision gearboxes, precision gears, precision machining, mechanical sub-assembly, engineering tools and electromechanical assembly solutions, spanning from aerospace systems to semiconductor applications.</t>
        </is>
      </c>
      <c r="AE99" s="19" t="inlineStr">
        <is>
          <t>Carson City, NV</t>
        </is>
      </c>
      <c r="AF99" s="19" t="inlineStr">
        <is>
          <t>www.cgimotion.com</t>
        </is>
      </c>
    </row>
    <row r="100" ht="42" customHeight="1">
      <c r="A100" s="12" t="inlineStr">
        <is>
          <t>USA-099</t>
        </is>
      </c>
      <c r="B100" s="12" t="inlineStr">
        <is>
          <t>USA</t>
        </is>
      </c>
      <c r="C100" s="12" t="inlineStr">
        <is>
          <t>USA</t>
        </is>
      </c>
      <c r="D100" s="13" t="inlineStr">
        <is>
          <t>Markforged</t>
        </is>
      </c>
      <c r="E100" s="13" t="inlineStr">
        <is>
          <t>Nano Dimension</t>
        </is>
      </c>
      <c r="F100" s="12" t="n"/>
      <c r="G100" s="13" t="n"/>
      <c r="H100" s="14" t="n">
        <v>45772</v>
      </c>
      <c r="I100" s="14" t="n"/>
      <c r="J100" s="15" t="n">
        <v>2025</v>
      </c>
      <c r="K100" s="13" t="inlineStr">
        <is>
          <t>Merger/Acquisition</t>
        </is>
      </c>
      <c r="L100" s="13" t="n"/>
      <c r="M100" s="13" t="inlineStr">
        <is>
          <t>Completed</t>
        </is>
      </c>
      <c r="N100" s="16" t="n">
        <v>155.78</v>
      </c>
      <c r="O100" s="12" t="inlineStr">
        <is>
          <t>USD</t>
        </is>
      </c>
      <c r="P100" s="50" t="n">
        <v>1.2</v>
      </c>
      <c r="R100" s="36" t="n">
        <v>-1.85</v>
      </c>
      <c r="S100" s="16" t="n">
        <v>-84.2</v>
      </c>
      <c r="T100" s="36" t="n">
        <v>1.83</v>
      </c>
      <c r="U100" s="16" t="n">
        <v>85.09</v>
      </c>
      <c r="V100" s="13" t="n"/>
      <c r="W100" s="16" t="n">
        <v>155.78</v>
      </c>
      <c r="X100" s="13" t="inlineStr">
        <is>
          <t>The company was acquired by Nano Dimension (NAS: NNDM) for $155.781 million on April 25, 2025. This acquisition enables Nano Dimension to strengthen strong foothold in metal and composite manufacturing solutions and take a leap forward in AI-enhanced manufacturing.</t>
        </is>
      </c>
      <c r="Y100" s="13" t="inlineStr">
        <is>
          <t>Formerly VC-backed</t>
        </is>
      </c>
      <c r="Z100" s="13" t="inlineStr">
        <is>
          <t>Generating Revenue</t>
        </is>
      </c>
      <c r="AA100" s="13" t="inlineStr">
        <is>
          <t>Nano Dimension (NAS: NNDM) (Ofir Baharav)</t>
        </is>
      </c>
      <c r="AB100" s="13" t="inlineStr">
        <is>
          <t>Machinery (B2B)</t>
        </is>
      </c>
      <c r="AC100" s="13" t="inlineStr">
        <is>
          <t>3D Printing, Advanced Manufacturing, Manufacturing</t>
        </is>
      </c>
      <c r="AD100" s="13" t="inlineStr">
        <is>
          <t>Manufacturer of industrial 3D printing machinery parts intended to serve aerospace, automotive, energy, medical and food and beverage industries. The company offers a full ecosystem of 3D printers for metal, composite, and plastic parts; purpose-built metal &amp; carbon-reinforced materials for strength and cloud software for turning drawings into high-strength printing.</t>
        </is>
      </c>
      <c r="AE100" s="13" t="inlineStr">
        <is>
          <t>Waltham, MA</t>
        </is>
      </c>
      <c r="AF100" s="13" t="inlineStr">
        <is>
          <t>www.markforged.com</t>
        </is>
      </c>
    </row>
    <row r="101" ht="42" customHeight="1">
      <c r="A101" s="18" t="inlineStr">
        <is>
          <t>USA-100</t>
        </is>
      </c>
      <c r="B101" s="18" t="inlineStr">
        <is>
          <t>USA</t>
        </is>
      </c>
      <c r="C101" s="18" t="inlineStr">
        <is>
          <t>USA</t>
        </is>
      </c>
      <c r="D101" s="19" t="inlineStr">
        <is>
          <t>World View</t>
        </is>
      </c>
      <c r="E101" s="19" t="inlineStr">
        <is>
          <t>Ondas</t>
        </is>
      </c>
      <c r="F101" s="18" t="n"/>
      <c r="G101" s="19" t="n"/>
      <c r="H101" s="20" t="n">
        <v>46104</v>
      </c>
      <c r="I101" s="20" t="n"/>
      <c r="J101" s="21" t="n">
        <v>2026</v>
      </c>
      <c r="K101" s="19" t="inlineStr">
        <is>
          <t>Merger/Acquisition</t>
        </is>
      </c>
      <c r="L101" s="19" t="n"/>
      <c r="M101" s="19" t="inlineStr">
        <is>
          <t>Completed</t>
        </is>
      </c>
      <c r="N101" s="22" t="n">
        <v>150</v>
      </c>
      <c r="O101" s="18" t="inlineStr">
        <is>
          <t>USD</t>
        </is>
      </c>
      <c r="R101" s="37" t="n"/>
      <c r="S101" s="22" t="n"/>
      <c r="T101" s="37" t="n"/>
      <c r="U101" s="22" t="n"/>
      <c r="V101" s="19" t="n"/>
      <c r="W101" s="22" t="n">
        <v>150</v>
      </c>
      <c r="X101" s="19" t="inlineStr">
        <is>
          <t>The company was acquired by Ondas (NAS: ONDS) for $150 million on March 23, 2026.</t>
        </is>
      </c>
      <c r="Y101" s="19" t="inlineStr">
        <is>
          <t>Formerly VC-backed</t>
        </is>
      </c>
      <c r="Z101" s="19" t="inlineStr">
        <is>
          <t>Generating Revenue</t>
        </is>
      </c>
      <c r="AA101" s="19" t="inlineStr">
        <is>
          <t>Ondas (NAS: ONDS) (Eric Brock)</t>
        </is>
      </c>
      <c r="AB101" s="19" t="inlineStr">
        <is>
          <t>Aerospace and Defense</t>
        </is>
      </c>
      <c r="AC101" s="19" t="inlineStr">
        <is>
          <t>Artificial Intelligence &amp; Machine Learning, Mobility Tech, Robotics and Drones, Space Technology</t>
        </is>
      </c>
      <c r="AD101" s="19" t="inlineStr">
        <is>
          <t>World View Inc Formerly World View Enterprises Inc is a leading stratospheric exploration and flight company offering on-demand and high-resolution sensing. World View's patent-protected technology provides for persistent coverage and daily imaging of areas of interest and is an affordable alternative to satellites, drones, and other comparable imagery providers. Using its information-gathering platform, World View conducts stratospheric flight operations to provide high-resolution data and analytics for domestic and international use cases and customers.</t>
        </is>
      </c>
      <c r="AE101" s="19" t="inlineStr">
        <is>
          <t>Tucson, AZ</t>
        </is>
      </c>
      <c r="AF101" s="19" t="inlineStr">
        <is>
          <t>www.worldview.space</t>
        </is>
      </c>
    </row>
    <row r="102" ht="42" customHeight="1">
      <c r="A102" s="12" t="inlineStr">
        <is>
          <t>USA-101</t>
        </is>
      </c>
      <c r="B102" s="12" t="inlineStr">
        <is>
          <t>USA</t>
        </is>
      </c>
      <c r="C102" s="12" t="inlineStr">
        <is>
          <t>USA</t>
        </is>
      </c>
      <c r="D102" s="13" t="inlineStr">
        <is>
          <t>W International</t>
        </is>
      </c>
      <c r="E102" s="13" t="inlineStr">
        <is>
          <t>Huntington Ingalls Industries</t>
        </is>
      </c>
      <c r="F102" s="12" t="n"/>
      <c r="G102" s="13" t="n"/>
      <c r="H102" s="14" t="n">
        <v>45658</v>
      </c>
      <c r="I102" s="14" t="n"/>
      <c r="J102" s="15" t="n">
        <v>2025</v>
      </c>
      <c r="K102" s="13" t="inlineStr">
        <is>
          <t>Merger/Acquisition</t>
        </is>
      </c>
      <c r="L102" s="13" t="n"/>
      <c r="M102" s="13" t="inlineStr">
        <is>
          <t>Completed</t>
        </is>
      </c>
      <c r="N102" s="16" t="n">
        <v>140</v>
      </c>
      <c r="O102" s="12" t="inlineStr">
        <is>
          <t>USD</t>
        </is>
      </c>
      <c r="R102" s="36" t="n"/>
      <c r="S102" s="16" t="n"/>
      <c r="T102" s="36" t="n"/>
      <c r="U102" s="16" t="n"/>
      <c r="V102" s="13" t="n"/>
      <c r="W102" s="16" t="n">
        <v>140</v>
      </c>
      <c r="X102" s="13" t="inlineStr">
        <is>
          <t>The company was acquired by Huntington Ingalls Industries (NYS: HII) for $140 million approximately in January 2025.</t>
        </is>
      </c>
      <c r="Y102" s="13" t="inlineStr">
        <is>
          <t>Corporate Backed or Acquired</t>
        </is>
      </c>
      <c r="Z102" s="13" t="inlineStr">
        <is>
          <t>Generating Revenue</t>
        </is>
      </c>
      <c r="AA102" s="13" t="inlineStr">
        <is>
          <t>Huntington Ingalls Industries (NYS: HII)</t>
        </is>
      </c>
      <c r="AB102" s="13" t="inlineStr">
        <is>
          <t>Industrial Supplies and Parts</t>
        </is>
      </c>
      <c r="AC102" s="13" t="inlineStr">
        <is>
          <t>Manufacturing</t>
        </is>
      </c>
      <c r="AD102" s="13" t="inlineStr">
        <is>
          <t>Manufacturer of large complex metal fabrications intended to serve the aerospace, automotive, commercial, defense and energy markets. The company offers various materials including armor, aluminum, titanium, invar, mild and high-strength steel.</t>
        </is>
      </c>
      <c r="AE102" s="13" t="inlineStr">
        <is>
          <t>Goose Creek, SC</t>
        </is>
      </c>
      <c r="AF102" s="13" t="inlineStr">
        <is>
          <t>www.w-international.com</t>
        </is>
      </c>
    </row>
    <row r="103" ht="42" customHeight="1">
      <c r="A103" s="18" t="inlineStr">
        <is>
          <t>USA-102</t>
        </is>
      </c>
      <c r="B103" s="18" t="inlineStr">
        <is>
          <t>USA</t>
        </is>
      </c>
      <c r="C103" s="18" t="inlineStr">
        <is>
          <t>USA</t>
        </is>
      </c>
      <c r="D103" s="19" t="inlineStr">
        <is>
          <t>The Elmet Group (NAS: ELMT)</t>
        </is>
      </c>
      <c r="E103" s="19" t="n"/>
      <c r="F103" s="18" t="n"/>
      <c r="G103" s="19" t="n"/>
      <c r="H103" s="20" t="n">
        <v>46135</v>
      </c>
      <c r="I103" s="20" t="n"/>
      <c r="J103" s="21" t="n">
        <v>2026</v>
      </c>
      <c r="K103" s="19" t="inlineStr">
        <is>
          <t>IPO</t>
        </is>
      </c>
      <c r="L103" s="19" t="n"/>
      <c r="M103" s="19" t="inlineStr">
        <is>
          <t>Completed</t>
        </is>
      </c>
      <c r="N103" s="22" t="n">
        <v>138</v>
      </c>
      <c r="O103" s="18" t="inlineStr">
        <is>
          <t>USD</t>
        </is>
      </c>
      <c r="R103" s="37" t="n">
        <v>15.7</v>
      </c>
      <c r="S103" s="22" t="n">
        <v>8.789999999999999</v>
      </c>
      <c r="T103" s="37" t="n">
        <v>0.65</v>
      </c>
      <c r="U103" s="22" t="n">
        <v>211.26</v>
      </c>
      <c r="V103" s="19" t="n"/>
      <c r="W103" s="22" t="n">
        <v>421.87</v>
      </c>
      <c r="X103" s="19" t="inlineStr">
        <is>
          <t>The company raised $138 million in its initial public offering on the Nasdaq stock exchange under the ticker symbol of ELMT on April 23, 2026. A total of 9,857,142 shares (including the over-allotment option) were sold at $14 per share. After the offering, there was a total of 30,133,363 outstanding shares (including the over-allotment option) at $14 per share, valuing the company at $421.87 million. The underwriters were granted an option to purchase up to an additional 1,285,714 shares from the company to cover over-allotments, if any. The over allotment option was exercised in full by the underwriters.</t>
        </is>
      </c>
      <c r="Y103" s="19" t="inlineStr">
        <is>
          <t>Corporation</t>
        </is>
      </c>
      <c r="Z103" s="19" t="inlineStr">
        <is>
          <t>Profitable</t>
        </is>
      </c>
      <c r="AA103" s="19" t="n"/>
      <c r="AB103" s="19" t="inlineStr">
        <is>
          <t>Holding Companies</t>
        </is>
      </c>
      <c r="AC103" s="19" t="n"/>
      <c r="AD103" s="19" t="inlineStr">
        <is>
          <t>The Elmet Group Co provides precision-engineered components and high-energy systems for the Aerospace, Defense and Government, Industrial, Medical, Semiconductor and Electronics, and Energy industries. The company is organized into two business divisions, Critical Materials Components and Engineered Microwave Products, offering a platform with expertise across interconnected markets. The company operates an integrated engineering-to-production system, covering custom design, development, and processing across Critical Materials and High-Power Microwave. Its Engineered Microwave capabilities helps to deliver tailored microwave energy solutions, while its Critical Materials expertise allows to design reliable solutions for some of the demanding environments in the world.</t>
        </is>
      </c>
      <c r="AE103" s="19" t="inlineStr">
        <is>
          <t>Portland, ME</t>
        </is>
      </c>
      <c r="AF103" s="19" t="inlineStr">
        <is>
          <t>www.theelmetgroup.com</t>
        </is>
      </c>
    </row>
    <row r="104" ht="42" customHeight="1">
      <c r="A104" s="12" t="inlineStr">
        <is>
          <t>USA-103</t>
        </is>
      </c>
      <c r="B104" s="12" t="inlineStr">
        <is>
          <t>USA</t>
        </is>
      </c>
      <c r="C104" s="12" t="inlineStr">
        <is>
          <t>USA</t>
        </is>
      </c>
      <c r="D104" s="13" t="inlineStr">
        <is>
          <t>ADI American Distributors</t>
        </is>
      </c>
      <c r="E104" s="13" t="inlineStr">
        <is>
          <t>AAR</t>
        </is>
      </c>
      <c r="F104" s="12" t="n"/>
      <c r="G104" s="13" t="n"/>
      <c r="H104" s="14" t="n">
        <v>45925</v>
      </c>
      <c r="I104" s="14" t="n"/>
      <c r="J104" s="15" t="n">
        <v>2025</v>
      </c>
      <c r="K104" s="13" t="inlineStr">
        <is>
          <t>Merger/Acquisition</t>
        </is>
      </c>
      <c r="L104" s="13" t="n"/>
      <c r="M104" s="13" t="inlineStr">
        <is>
          <t>Completed</t>
        </is>
      </c>
      <c r="N104" s="16" t="n">
        <v>137.7</v>
      </c>
      <c r="O104" s="12" t="inlineStr">
        <is>
          <t>USD</t>
        </is>
      </c>
      <c r="P104" s="50" t="n">
        <v>0.92</v>
      </c>
      <c r="Q104" s="50" t="n">
        <v>9.06</v>
      </c>
      <c r="R104" s="36" t="n">
        <v>9.06</v>
      </c>
      <c r="S104" s="16" t="n">
        <v>15.2</v>
      </c>
      <c r="T104" s="36" t="n">
        <v>0.92</v>
      </c>
      <c r="U104" s="16" t="n">
        <v>149</v>
      </c>
      <c r="V104" s="13" t="n"/>
      <c r="W104" s="16" t="n">
        <v>137.7</v>
      </c>
      <c r="X104" s="13" t="inlineStr">
        <is>
          <t>The company was acquired by AAR (NYS: AIR) for $137.7 million on September 25, 2025. The acquisition is expected to broaden AAR's new parts distribution offerings, particularly in electronics product lines, and add new OEM partnerships while deepening existing relationships.</t>
        </is>
      </c>
      <c r="Y104" s="13" t="inlineStr">
        <is>
          <t>Formerly PE-Backed</t>
        </is>
      </c>
      <c r="Z104" s="13" t="inlineStr">
        <is>
          <t>Generating Revenue</t>
        </is>
      </c>
      <c r="AA104" s="13" t="inlineStr">
        <is>
          <t>AAR (NYS: AIR) (John Holmes)</t>
        </is>
      </c>
      <c r="AB104" s="13" t="inlineStr">
        <is>
          <t>Distributors/Wholesale</t>
        </is>
      </c>
      <c r="AC104" s="13" t="inlineStr">
        <is>
          <t>Manufacturing</t>
        </is>
      </c>
      <c r="AD104" s="13" t="inlineStr">
        <is>
          <t>Distributor of electronic and electromechanical components and assemblies intended for aerospace, defense, medical, and industrial sectors. The company offers a range of products, including capacitors, chip resistors, coils and chokes, connectors, crystals, and other related products, as well as provides custom contract manufacturing, assembly, supply chain, logistics, and engineering services, enabling its clients to maintain their systems and component inventories without seeking multiple vendors efficiently.</t>
        </is>
      </c>
      <c r="AE104" s="13" t="inlineStr">
        <is>
          <t>Randolph, NJ</t>
        </is>
      </c>
      <c r="AF104" s="13" t="inlineStr">
        <is>
          <t>www.americandistr.com</t>
        </is>
      </c>
    </row>
    <row r="105" ht="42" customHeight="1">
      <c r="A105" s="18" t="inlineStr">
        <is>
          <t>USA-104</t>
        </is>
      </c>
      <c r="B105" s="18" t="inlineStr">
        <is>
          <t>USA</t>
        </is>
      </c>
      <c r="C105" s="18" t="inlineStr">
        <is>
          <t>USA</t>
        </is>
      </c>
      <c r="D105" s="19" t="inlineStr">
        <is>
          <t>Tomahawk Robotics</t>
        </is>
      </c>
      <c r="E105" s="19" t="inlineStr">
        <is>
          <t>AeroVironment</t>
        </is>
      </c>
      <c r="F105" s="18" t="n"/>
      <c r="G105" s="19" t="n"/>
      <c r="H105" s="20" t="n">
        <v>45184</v>
      </c>
      <c r="I105" s="20" t="n"/>
      <c r="J105" s="21" t="n">
        <v>2023</v>
      </c>
      <c r="K105" s="19" t="inlineStr">
        <is>
          <t>Merger/Acquisition</t>
        </is>
      </c>
      <c r="L105" s="19" t="n"/>
      <c r="M105" s="19" t="inlineStr">
        <is>
          <t>Completed</t>
        </is>
      </c>
      <c r="N105" s="22" t="n">
        <v>134.46</v>
      </c>
      <c r="O105" s="18" t="inlineStr">
        <is>
          <t>USD</t>
        </is>
      </c>
      <c r="R105" s="37" t="n"/>
      <c r="S105" s="22" t="n"/>
      <c r="T105" s="37" t="n"/>
      <c r="U105" s="22" t="n"/>
      <c r="V105" s="19" t="n"/>
      <c r="W105" s="22" t="n">
        <v>134.46</v>
      </c>
      <c r="X105" s="19" t="inlineStr">
        <is>
          <t>The company was acquired by AeroVironment (NAS: AVAV) for $134.46 million on September 15, 2023.</t>
        </is>
      </c>
      <c r="Y105" s="19" t="inlineStr">
        <is>
          <t>Formerly VC-backed</t>
        </is>
      </c>
      <c r="Z105" s="19" t="inlineStr">
        <is>
          <t>Generating Revenue</t>
        </is>
      </c>
      <c r="AA105" s="19" t="inlineStr">
        <is>
          <t>AeroVironment (NAS: AVAV) (Wahid Nawabi)</t>
        </is>
      </c>
      <c r="AB105" s="19" t="inlineStr">
        <is>
          <t>Electronic Equipment and Instruments</t>
        </is>
      </c>
      <c r="AC105" s="19" t="inlineStr">
        <is>
          <t>Artificial Intelligence &amp; Machine Learning, Big Data, Internet of Things, Robotics and Drones</t>
        </is>
      </c>
      <c r="AD105" s="19" t="inlineStr">
        <is>
          <t>Developer of robotic control systems designed to drive enterprise adoption of robotics. The company's system helps to seamlessly manipulate the environment from across the room or around the world and delivers targeted situational awareness and precision strike capabilities for the human-machine team across the battlespace, enabling businesses to successfully address dull, dirty, and dangerous tasks with remote systems.</t>
        </is>
      </c>
      <c r="AE105" s="19" t="inlineStr">
        <is>
          <t>Melbourne, FL</t>
        </is>
      </c>
      <c r="AF105" s="19" t="inlineStr">
        <is>
          <t>www.tomahawkrobotics.com</t>
        </is>
      </c>
    </row>
    <row r="106" ht="42" customHeight="1">
      <c r="A106" s="12" t="inlineStr">
        <is>
          <t>USA-105</t>
        </is>
      </c>
      <c r="B106" s="12" t="inlineStr">
        <is>
          <t>USA</t>
        </is>
      </c>
      <c r="C106" s="12" t="inlineStr">
        <is>
          <t>USA</t>
        </is>
      </c>
      <c r="D106" s="13" t="inlineStr">
        <is>
          <t>Servotronics</t>
        </is>
      </c>
      <c r="E106" s="13" t="inlineStr">
        <is>
          <t>TransDigm Group</t>
        </is>
      </c>
      <c r="F106" s="12" t="n"/>
      <c r="G106" s="13" t="n"/>
      <c r="H106" s="14" t="n">
        <v>45839</v>
      </c>
      <c r="I106" s="14" t="n"/>
      <c r="J106" s="15" t="n">
        <v>2025</v>
      </c>
      <c r="K106" s="13" t="inlineStr">
        <is>
          <t>Merger/Acquisition</t>
        </is>
      </c>
      <c r="L106" s="13" t="n"/>
      <c r="M106" s="13" t="inlineStr">
        <is>
          <t>Completed</t>
        </is>
      </c>
      <c r="N106" s="16" t="n">
        <v>134</v>
      </c>
      <c r="O106" s="12" t="inlineStr">
        <is>
          <t>USD</t>
        </is>
      </c>
      <c r="P106" s="50" t="n">
        <v>2.69</v>
      </c>
      <c r="Q106" s="50" t="n">
        <v>285.08</v>
      </c>
      <c r="R106" s="36" t="n">
        <v>308.05</v>
      </c>
      <c r="S106" s="16" t="n">
        <v>0.44</v>
      </c>
      <c r="T106" s="36" t="n">
        <v>2.9</v>
      </c>
      <c r="U106" s="16" t="n">
        <v>46.17</v>
      </c>
      <c r="V106" s="13" t="n"/>
      <c r="W106" s="16" t="n">
        <v>134</v>
      </c>
      <c r="X106" s="13" t="inlineStr">
        <is>
          <t>The company was acquired by TransDigm Group (NYS: TDG) for $134 million on July 1, 2025.</t>
        </is>
      </c>
      <c r="Y106" s="13" t="inlineStr">
        <is>
          <t>Corporate Backed or Acquired</t>
        </is>
      </c>
      <c r="Z106" s="13" t="inlineStr">
        <is>
          <t>Generating Revenue</t>
        </is>
      </c>
      <c r="AA106" s="13" t="inlineStr">
        <is>
          <t>TransDigm Group (NYS: TDG) (Kevin Stein)</t>
        </is>
      </c>
      <c r="AB106" s="13" t="inlineStr">
        <is>
          <t>Aerospace and Defense</t>
        </is>
      </c>
      <c r="AC106" s="13" t="inlineStr">
        <is>
          <t>Manufacturing</t>
        </is>
      </c>
      <c r="AD106" s="13" t="inlineStr">
        <is>
          <t>Servotronics Inc is a U.S based company that designs, manufactures, and markets servo valves, including torque motor, hydraulic, and pneumatic valves. The company has single reportable segment which is aerospace Its products are marketed and sold throughout the United States and in select foreign markets. These products are sold to commercial aviation manufacturers, government prime contractors, government subcontractors, and end-users. Geographically, the company generates the majority of its revenue from the Domestic market.</t>
        </is>
      </c>
      <c r="AE106" s="13" t="inlineStr">
        <is>
          <t>Elma, NY</t>
        </is>
      </c>
      <c r="AF106" s="13" t="inlineStr">
        <is>
          <t>www.servotronics.com</t>
        </is>
      </c>
    </row>
    <row r="107" ht="42" customHeight="1">
      <c r="A107" s="18" t="inlineStr">
        <is>
          <t>USA-106</t>
        </is>
      </c>
      <c r="B107" s="18" t="inlineStr">
        <is>
          <t>USA</t>
        </is>
      </c>
      <c r="C107" s="18" t="inlineStr">
        <is>
          <t>USA</t>
        </is>
      </c>
      <c r="D107" s="19" t="inlineStr">
        <is>
          <t>Desser Aerospace</t>
        </is>
      </c>
      <c r="E107" s="19" t="inlineStr">
        <is>
          <t>VSE</t>
        </is>
      </c>
      <c r="F107" s="18" t="n"/>
      <c r="G107" s="19" t="n"/>
      <c r="H107" s="20" t="n">
        <v>45110</v>
      </c>
      <c r="I107" s="20" t="n"/>
      <c r="J107" s="21" t="n">
        <v>2023</v>
      </c>
      <c r="K107" s="19" t="inlineStr">
        <is>
          <t>Merger/Acquisition</t>
        </is>
      </c>
      <c r="L107" s="19" t="n"/>
      <c r="M107" s="19" t="inlineStr">
        <is>
          <t>Completed</t>
        </is>
      </c>
      <c r="N107" s="22" t="n">
        <v>133.8</v>
      </c>
      <c r="O107" s="18" t="inlineStr">
        <is>
          <t>USD</t>
        </is>
      </c>
      <c r="R107" s="37" t="n"/>
      <c r="S107" s="22" t="n"/>
      <c r="T107" s="37" t="n"/>
      <c r="U107" s="22" t="n"/>
      <c r="V107" s="19" t="n"/>
      <c r="W107" s="22" t="n">
        <v>133.8</v>
      </c>
      <c r="X107" s="19" t="inlineStr">
        <is>
          <t>The company was acquired by VSE (NAS: VSEC) for $133.8 million on July 3, 2023. The acquisition supports the aircraft distribution and MRO services strategy of VSE and provides access to the highly fragmented commercial and B&amp;GA aftermarkets.</t>
        </is>
      </c>
      <c r="Y107" s="19" t="inlineStr">
        <is>
          <t>Formerly PE-Backed</t>
        </is>
      </c>
      <c r="Z107" s="19" t="inlineStr">
        <is>
          <t>Generating Revenue</t>
        </is>
      </c>
      <c r="AA107" s="19" t="inlineStr">
        <is>
          <t>VSE (Aerospace and Defense) (NAS: VSEC) (John Cuomo)</t>
        </is>
      </c>
      <c r="AB107" s="19" t="inlineStr">
        <is>
          <t>Distributors/Wholesale</t>
        </is>
      </c>
      <c r="AC107" s="19" t="inlineStr">
        <is>
          <t>Industrials, Manufacturing</t>
        </is>
      </c>
      <c r="AD107" s="19" t="inlineStr">
        <is>
          <t>Distributor and retreader of specialty aviation tires and other aircraft components to the commercial, business, military and general aviation (GA) aftermarkets. The company specializes in FAA-approved, OEM replacement parts for use in the maintenance of aircraft engines and accessories and also offers complete and comprehensive repair support, enabling aircraft carriers with enhanced reliability coupled with bottom-line savings.</t>
        </is>
      </c>
      <c r="AE107" s="19" t="inlineStr">
        <is>
          <t>Montebello, CA</t>
        </is>
      </c>
      <c r="AF107" s="19" t="inlineStr">
        <is>
          <t>www.desser.com</t>
        </is>
      </c>
    </row>
    <row r="108" ht="42" customHeight="1">
      <c r="A108" s="12" t="inlineStr">
        <is>
          <t>USA-107</t>
        </is>
      </c>
      <c r="B108" s="12" t="inlineStr">
        <is>
          <t>USA</t>
        </is>
      </c>
      <c r="C108" s="12" t="inlineStr">
        <is>
          <t>USA</t>
        </is>
      </c>
      <c r="D108" s="13" t="inlineStr">
        <is>
          <t>Wolfspeed (Radio Frequency Business in Durham, United States)</t>
        </is>
      </c>
      <c r="E108" s="13" t="inlineStr">
        <is>
          <t>MACOM</t>
        </is>
      </c>
      <c r="F108" s="12" t="n"/>
      <c r="G108" s="13" t="n"/>
      <c r="H108" s="14" t="n">
        <v>45262</v>
      </c>
      <c r="I108" s="14" t="n"/>
      <c r="J108" s="15" t="n">
        <v>2023</v>
      </c>
      <c r="K108" s="13" t="inlineStr">
        <is>
          <t>Merger/Acquisition</t>
        </is>
      </c>
      <c r="L108" s="13" t="n"/>
      <c r="M108" s="13" t="inlineStr">
        <is>
          <t>Completed</t>
        </is>
      </c>
      <c r="N108" s="16" t="n">
        <v>132.73</v>
      </c>
      <c r="O108" s="12" t="inlineStr">
        <is>
          <t>USD</t>
        </is>
      </c>
      <c r="R108" s="36" t="n"/>
      <c r="S108" s="16" t="n"/>
      <c r="T108" s="36" t="n"/>
      <c r="U108" s="16" t="n"/>
      <c r="V108" s="13" t="inlineStr">
        <is>
          <t>Corporate Divestiture</t>
        </is>
      </c>
      <c r="W108" s="16" t="n">
        <v>132.73</v>
      </c>
      <c r="X108" s="13" t="inlineStr">
        <is>
          <t>The Radio Frequency Business in Durham, United States of Wolfspeed (NYS: WOLF) was acquired by MACOM Technology Solutions (NAS: MTSI) for $132.733 million on December 2, 2023.</t>
        </is>
      </c>
      <c r="Y108" s="13" t="inlineStr">
        <is>
          <t>Corporate Backed or Acquired</t>
        </is>
      </c>
      <c r="Z108" s="13" t="inlineStr">
        <is>
          <t>Generating Revenue</t>
        </is>
      </c>
      <c r="AA108" s="13" t="inlineStr">
        <is>
          <t>MACOM (NAS: MTSI) (Stephen Daly)</t>
        </is>
      </c>
      <c r="AB108" s="13" t="inlineStr">
        <is>
          <t>Application Specific Semiconductors</t>
        </is>
      </c>
      <c r="AC108" s="13" t="n"/>
      <c r="AD108" s="13" t="inlineStr">
        <is>
          <t>Operator of radio frequency business catering to aerospace, defense, industrial and telecommunications sectors. The business includes a portfolio of Gallium Nitride on Silicon Carbide products and expertise in epitaxy, circuit design, semiconductor processing and packaging used in high-performance RF and microwave applications and provides services to a broad customer base of leading aerospace, defense, industrial and telecommunications customers.</t>
        </is>
      </c>
      <c r="AE108" s="13" t="inlineStr">
        <is>
          <t>Durham, NC</t>
        </is>
      </c>
      <c r="AF108" s="13" t="n"/>
    </row>
    <row r="109" ht="42" customHeight="1">
      <c r="A109" s="18" t="inlineStr">
        <is>
          <t>USA-108</t>
        </is>
      </c>
      <c r="B109" s="18" t="inlineStr">
        <is>
          <t>USA</t>
        </is>
      </c>
      <c r="C109" s="18" t="inlineStr">
        <is>
          <t>USA</t>
        </is>
      </c>
      <c r="D109" s="19" t="inlineStr">
        <is>
          <t>Syqwest</t>
        </is>
      </c>
      <c r="E109" s="19" t="inlineStr">
        <is>
          <t>CTS</t>
        </is>
      </c>
      <c r="F109" s="18" t="n"/>
      <c r="G109" s="19" t="n"/>
      <c r="H109" s="20" t="n">
        <v>45502</v>
      </c>
      <c r="I109" s="20" t="n"/>
      <c r="J109" s="21" t="n">
        <v>2024</v>
      </c>
      <c r="K109" s="19" t="inlineStr">
        <is>
          <t>Merger/Acquisition</t>
        </is>
      </c>
      <c r="L109" s="19" t="n"/>
      <c r="M109" s="19" t="inlineStr">
        <is>
          <t>Completed</t>
        </is>
      </c>
      <c r="N109" s="22" t="n">
        <v>128.01</v>
      </c>
      <c r="O109" s="18" t="inlineStr">
        <is>
          <t>USD</t>
        </is>
      </c>
      <c r="R109" s="37" t="n"/>
      <c r="S109" s="22" t="n"/>
      <c r="T109" s="37" t="n"/>
      <c r="U109" s="22" t="n"/>
      <c r="V109" s="19" t="n"/>
      <c r="W109" s="22" t="n">
        <v>128.01</v>
      </c>
      <c r="X109" s="19" t="inlineStr">
        <is>
          <t>The company was acquired by CTS (NYS: CTS) for $128.01 million on July 29, 2024. The acquisition allows CTS to enhance its scale in underwater acoustic applications in the defense end market. The transaction includes a contingent payout of $6.1 million.</t>
        </is>
      </c>
      <c r="Y109" s="19" t="inlineStr">
        <is>
          <t>Corporate Backed or Acquired</t>
        </is>
      </c>
      <c r="Z109" s="19" t="inlineStr">
        <is>
          <t>Generating Revenue</t>
        </is>
      </c>
      <c r="AA109" s="19" t="inlineStr">
        <is>
          <t>CTS (Lisle) (NYS: CTS) (Kieran O'Sullivan)</t>
        </is>
      </c>
      <c r="AB109" s="19" t="inlineStr">
        <is>
          <t>Aerospace and Defense</t>
        </is>
      </c>
      <c r="AC109" s="19" t="n"/>
      <c r="AD109" s="19" t="inlineStr">
        <is>
          <t>Manufacturer and designer of a broad set of sonar and acoustic sensing solutions primarily for naval applications. The company offers a range of products including surface ship and submarine hull-mounted sensors, transducers, hydrophones and outboard electronics, as well as acoustic payloads and components for torpedoes and autonomous underwater vehicles.</t>
        </is>
      </c>
      <c r="AE109" s="19" t="inlineStr">
        <is>
          <t>Cranston, RI</t>
        </is>
      </c>
      <c r="AF109" s="19" t="inlineStr">
        <is>
          <t>www.syqwestinc.com</t>
        </is>
      </c>
    </row>
    <row r="110" ht="42" customHeight="1">
      <c r="A110" s="12" t="inlineStr">
        <is>
          <t>USA-109</t>
        </is>
      </c>
      <c r="B110" s="12" t="inlineStr">
        <is>
          <t>USA</t>
        </is>
      </c>
      <c r="C110" s="12" t="inlineStr">
        <is>
          <t>USA</t>
        </is>
      </c>
      <c r="D110" s="13" t="inlineStr">
        <is>
          <t>Satelles</t>
        </is>
      </c>
      <c r="E110" s="13" t="inlineStr">
        <is>
          <t>Iridium Communications</t>
        </is>
      </c>
      <c r="F110" s="12" t="n"/>
      <c r="G110" s="13" t="n"/>
      <c r="H110" s="14" t="n">
        <v>45383</v>
      </c>
      <c r="I110" s="14" t="n"/>
      <c r="J110" s="15" t="n">
        <v>2024</v>
      </c>
      <c r="K110" s="13" t="inlineStr">
        <is>
          <t>Merger/Acquisition</t>
        </is>
      </c>
      <c r="L110" s="13" t="n"/>
      <c r="M110" s="13" t="inlineStr">
        <is>
          <t>Completed</t>
        </is>
      </c>
      <c r="N110" s="16" t="n">
        <v>125.5</v>
      </c>
      <c r="O110" s="12" t="inlineStr">
        <is>
          <t>USD</t>
        </is>
      </c>
      <c r="R110" s="36" t="n"/>
      <c r="S110" s="16" t="n"/>
      <c r="T110" s="36" t="n"/>
      <c r="U110" s="16" t="n"/>
      <c r="V110" s="13" t="n"/>
      <c r="W110" s="16" t="n">
        <v>155.9</v>
      </c>
      <c r="X110" s="13" t="inlineStr">
        <is>
          <t>The company was acquired by Iridium Communications (NAS: IRDM) for approximately $125.5 million on April 1, 2024.</t>
        </is>
      </c>
      <c r="Y110" s="13" t="inlineStr">
        <is>
          <t>Formerly VC-backed</t>
        </is>
      </c>
      <c r="Z110" s="13" t="inlineStr">
        <is>
          <t>Generating Revenue</t>
        </is>
      </c>
      <c r="AA110" s="13" t="inlineStr">
        <is>
          <t>Iridium Communications (NAS: IRDM) (Matthew Desch)</t>
        </is>
      </c>
      <c r="AB110" s="13" t="inlineStr">
        <is>
          <t>Wireless Communications Equipment</t>
        </is>
      </c>
      <c r="AC110" s="13" t="inlineStr">
        <is>
          <t>Internet of Things, Space Technology, TMT</t>
        </is>
      </c>
      <c r="AD110" s="13" t="inlineStr">
        <is>
          <t>Developer of satellite management technology designed to deliver secure time and location signals with the help of the Global Positioning System. The company's technology delivers assured positioning, navigation and timing (PNT) via a secure satellite broadcast signal that is strong and secure to enhance performance, indoor GNSS signal reception, GNSS and inertial navigation integration, enabling enterprises and governments to have stability, reliability and trust required across a range of critical infrastructure, IoT and cybersecurity applications.</t>
        </is>
      </c>
      <c r="AE110" s="13" t="inlineStr">
        <is>
          <t>Reston, VA</t>
        </is>
      </c>
      <c r="AF110" s="13" t="inlineStr">
        <is>
          <t>www.satelles.com</t>
        </is>
      </c>
    </row>
    <row r="111" ht="42" customHeight="1">
      <c r="A111" s="18" t="inlineStr">
        <is>
          <t>USA-110</t>
        </is>
      </c>
      <c r="B111" s="18" t="inlineStr">
        <is>
          <t>USA</t>
        </is>
      </c>
      <c r="C111" s="18" t="inlineStr">
        <is>
          <t>USA</t>
        </is>
      </c>
      <c r="D111" s="19" t="inlineStr">
        <is>
          <t>Turbine Controls</t>
        </is>
      </c>
      <c r="E111" s="19" t="inlineStr">
        <is>
          <t>VSE</t>
        </is>
      </c>
      <c r="F111" s="18" t="n"/>
      <c r="G111" s="19" t="n"/>
      <c r="H111" s="20" t="n">
        <v>45406</v>
      </c>
      <c r="I111" s="20" t="n"/>
      <c r="J111" s="21" t="n">
        <v>2024</v>
      </c>
      <c r="K111" s="19" t="inlineStr">
        <is>
          <t>Merger/Acquisition</t>
        </is>
      </c>
      <c r="L111" s="19" t="n"/>
      <c r="M111" s="19" t="inlineStr">
        <is>
          <t>Completed</t>
        </is>
      </c>
      <c r="N111" s="22" t="n">
        <v>122.35</v>
      </c>
      <c r="O111" s="18" t="inlineStr">
        <is>
          <t>USD</t>
        </is>
      </c>
      <c r="P111" s="50" t="n">
        <v>18.82</v>
      </c>
      <c r="R111" s="37" t="n"/>
      <c r="S111" s="22" t="n"/>
      <c r="T111" s="37" t="n">
        <v>18.82</v>
      </c>
      <c r="U111" s="22" t="n">
        <v>6.5</v>
      </c>
      <c r="V111" s="19" t="n"/>
      <c r="W111" s="22" t="n">
        <v>122.35</v>
      </c>
      <c r="X111" s="19" t="inlineStr">
        <is>
          <t>The company was acquired by VSE (Aerospace and Defense) (NAS: VSEC) for $122.35 million on April 24, 2024. The acquisition will help VSE to broaden its OEM-authorized MRO capabilities, expand into new markets and serve new customers.</t>
        </is>
      </c>
      <c r="Y111" s="19" t="inlineStr">
        <is>
          <t>Corporate Backed or Acquired</t>
        </is>
      </c>
      <c r="Z111" s="19" t="inlineStr">
        <is>
          <t>Generating Revenue</t>
        </is>
      </c>
      <c r="AA111" s="19" t="inlineStr">
        <is>
          <t>VSE (Aerospace and Defense) (NAS: VSEC) (John Cuomo)</t>
        </is>
      </c>
      <c r="AB111" s="19" t="inlineStr">
        <is>
          <t>Air</t>
        </is>
      </c>
      <c r="AC111" s="19" t="n"/>
      <c r="AD111" s="19" t="inlineStr">
        <is>
          <t>Provider of aftermarket maintenance, repair and overhaul support services catering to complex aircraft engine components of commercial and military applications. The company offers a variety of engine components including static, rotating and life-limited parts by utilizing the latest refurbishment techniques and a range of airframe and engine accessory repairs for pneumatic, fuel, oil and hydraulic applications.</t>
        </is>
      </c>
      <c r="AE111" s="19" t="inlineStr">
        <is>
          <t>Bloomfield, CT</t>
        </is>
      </c>
      <c r="AF111" s="19" t="inlineStr">
        <is>
          <t>www.tcimro.com</t>
        </is>
      </c>
    </row>
    <row r="112" ht="42" customHeight="1">
      <c r="A112" s="12" t="inlineStr">
        <is>
          <t>USA-111</t>
        </is>
      </c>
      <c r="B112" s="12" t="inlineStr">
        <is>
          <t>USA</t>
        </is>
      </c>
      <c r="C112" s="12" t="inlineStr">
        <is>
          <t>USA</t>
        </is>
      </c>
      <c r="D112" s="13" t="inlineStr">
        <is>
          <t>Amyx</t>
        </is>
      </c>
      <c r="E112" s="13" t="inlineStr">
        <is>
          <t>Tetra Tech</t>
        </is>
      </c>
      <c r="F112" s="12" t="n"/>
      <c r="G112" s="13" t="n"/>
      <c r="H112" s="14" t="n">
        <v>44929</v>
      </c>
      <c r="I112" s="14" t="n"/>
      <c r="J112" s="15" t="n">
        <v>2023</v>
      </c>
      <c r="K112" s="13" t="inlineStr">
        <is>
          <t>Merger/Acquisition</t>
        </is>
      </c>
      <c r="L112" s="13" t="n"/>
      <c r="M112" s="13" t="inlineStr">
        <is>
          <t>Completed</t>
        </is>
      </c>
      <c r="N112" s="16" t="n">
        <v>120.9</v>
      </c>
      <c r="O112" s="12" t="inlineStr">
        <is>
          <t>USD</t>
        </is>
      </c>
      <c r="P112" s="50" t="n">
        <v>40.3</v>
      </c>
      <c r="R112" s="36" t="n"/>
      <c r="S112" s="16" t="n"/>
      <c r="T112" s="36" t="n">
        <v>40.3</v>
      </c>
      <c r="U112" s="16" t="n">
        <v>3</v>
      </c>
      <c r="V112" s="13" t="inlineStr">
        <is>
          <t>Corporate Divestiture</t>
        </is>
      </c>
      <c r="W112" s="16" t="n">
        <v>120.9</v>
      </c>
      <c r="X112" s="13" t="inlineStr">
        <is>
          <t>The company, a subsidiary of Amey, was acquired by Tetra Tech (NAS: TTEK) for an estimated $120.9 million on January 3, 2023. The company will receive a contingent payout of $12.2 million based upon the achievement of specified operating income targets in each of the three years following the acquisition date. The acquisition helps Tetra Tech expand its cybersecurity and enterprise technology service offerings.</t>
        </is>
      </c>
      <c r="Y112" s="13" t="inlineStr">
        <is>
          <t>Corporate Backed or Acquired</t>
        </is>
      </c>
      <c r="Z112" s="13" t="inlineStr">
        <is>
          <t>Profitable</t>
        </is>
      </c>
      <c r="AA112" s="13" t="inlineStr">
        <is>
          <t>Tetra Tech (NAS: TTEK) (Dan Batrack)</t>
        </is>
      </c>
      <c r="AB112" s="13" t="inlineStr">
        <is>
          <t>Systems and Information Management</t>
        </is>
      </c>
      <c r="AC112" s="13" t="inlineStr">
        <is>
          <t>TMT</t>
        </is>
      </c>
      <c r="AD112" s="13" t="inlineStr">
        <is>
          <t>Provider of technology support services catering to federal customers and business partners. The company offers systems engineering, information technology, software design, development, and program and acquisition management services to the defense industry and civilians.</t>
        </is>
      </c>
      <c r="AE112" s="13" t="inlineStr">
        <is>
          <t>Reston, VA</t>
        </is>
      </c>
      <c r="AF112" s="13" t="inlineStr">
        <is>
          <t>www.amyx.com</t>
        </is>
      </c>
    </row>
    <row r="113" ht="42" customHeight="1">
      <c r="A113" s="18" t="inlineStr">
        <is>
          <t>USA-112</t>
        </is>
      </c>
      <c r="B113" s="18" t="inlineStr">
        <is>
          <t>USA</t>
        </is>
      </c>
      <c r="C113" s="18" t="inlineStr">
        <is>
          <t>USA</t>
        </is>
      </c>
      <c r="D113" s="19" t="inlineStr">
        <is>
          <t>ASMPT NEXX</t>
        </is>
      </c>
      <c r="E113" s="19" t="inlineStr">
        <is>
          <t>Applied Materials</t>
        </is>
      </c>
      <c r="F113" s="18" t="n"/>
      <c r="G113" s="19" t="n"/>
      <c r="H113" s="20" t="n">
        <v>46146</v>
      </c>
      <c r="I113" s="20" t="n"/>
      <c r="J113" s="21" t="n">
        <v>2026</v>
      </c>
      <c r="K113" s="19" t="inlineStr">
        <is>
          <t>Merger/Acquisition</t>
        </is>
      </c>
      <c r="L113" s="19" t="n"/>
      <c r="M113" s="19" t="inlineStr">
        <is>
          <t>Announced/In Progress</t>
        </is>
      </c>
      <c r="N113" s="22" t="n">
        <v>120</v>
      </c>
      <c r="O113" s="18" t="inlineStr">
        <is>
          <t>USD</t>
        </is>
      </c>
      <c r="R113" s="37" t="n"/>
      <c r="S113" s="22" t="n"/>
      <c r="T113" s="37" t="n"/>
      <c r="U113" s="22" t="n"/>
      <c r="V113" s="19" t="inlineStr">
        <is>
          <t>Corporate Divestiture</t>
        </is>
      </c>
      <c r="W113" s="22" t="n">
        <v>120</v>
      </c>
      <c r="X113" s="19" t="inlineStr">
        <is>
          <t>The company was acquired by Applied Materials for $120 million on May 4, 2026.The funds will be used to disciplined capital allocation, consistent with the Group's payout policy and growth priorities, primarily to strengthen core operations.</t>
        </is>
      </c>
      <c r="Y113" s="19" t="inlineStr">
        <is>
          <t>Pending Transaction (VC)</t>
        </is>
      </c>
      <c r="Z113" s="19" t="inlineStr">
        <is>
          <t>Generating Revenue</t>
        </is>
      </c>
      <c r="AA113" s="19" t="inlineStr">
        <is>
          <t>Applied Materials (NAS: AMAT)</t>
        </is>
      </c>
      <c r="AB113" s="19" t="inlineStr">
        <is>
          <t>Machinery (B2B)</t>
        </is>
      </c>
      <c r="AC113" s="19" t="inlineStr">
        <is>
          <t>Advanced Manufacturing, Robotics and Drones</t>
        </is>
      </c>
      <c r="AD113" s="19" t="inlineStr">
        <is>
          <t>Manufacturer of advanced processing systems intended to address wafer-level packaging. The company's products include a fully automated electrochemical deposition system that deposits thick metal layers for wafer bumping and redistribution layers, enabling semiconductor manufacturers to increase their efficiency.</t>
        </is>
      </c>
      <c r="AE113" s="19" t="inlineStr">
        <is>
          <t>Billerica, MA</t>
        </is>
      </c>
      <c r="AF113" s="19" t="inlineStr">
        <is>
          <t>nexx.semi.asmpt.com</t>
        </is>
      </c>
    </row>
    <row r="114" ht="42" customHeight="1">
      <c r="A114" s="12" t="inlineStr">
        <is>
          <t>USA-113</t>
        </is>
      </c>
      <c r="B114" s="12" t="inlineStr">
        <is>
          <t>USA</t>
        </is>
      </c>
      <c r="C114" s="12" t="inlineStr">
        <is>
          <t>USA</t>
        </is>
      </c>
      <c r="D114" s="13" t="inlineStr">
        <is>
          <t>BLR Aerospace</t>
        </is>
      </c>
      <c r="E114" s="13" t="inlineStr">
        <is>
          <t>Ducommun</t>
        </is>
      </c>
      <c r="F114" s="12" t="n"/>
      <c r="G114" s="13" t="n"/>
      <c r="H114" s="14" t="n">
        <v>45041</v>
      </c>
      <c r="I114" s="14" t="n"/>
      <c r="J114" s="15" t="n">
        <v>2023</v>
      </c>
      <c r="K114" s="13" t="inlineStr">
        <is>
          <t>Merger/Acquisition</t>
        </is>
      </c>
      <c r="L114" s="13" t="n"/>
      <c r="M114" s="13" t="inlineStr">
        <is>
          <t>Completed</t>
        </is>
      </c>
      <c r="N114" s="16" t="n">
        <v>117</v>
      </c>
      <c r="O114" s="12" t="inlineStr">
        <is>
          <t>USD</t>
        </is>
      </c>
      <c r="R114" s="36" t="n"/>
      <c r="S114" s="16" t="n"/>
      <c r="T114" s="36" t="n"/>
      <c r="U114" s="16" t="n"/>
      <c r="V114" s="13" t="n"/>
      <c r="W114" s="16" t="n">
        <v>117</v>
      </c>
      <c r="X114" s="13" t="inlineStr">
        <is>
          <t>The company was acquired by Ducommun LaBarge Technologies, a subsidiary of Ducommun (NYS: DCO) for $117 million on April 25, 2023. This acquisition enables Ducommun LaBarge Technologies to add proprietary engineered products to its portfolio, thereby strengthening its position.</t>
        </is>
      </c>
      <c r="Y114" s="13" t="inlineStr">
        <is>
          <t>Corporate Backed or Acquired</t>
        </is>
      </c>
      <c r="Z114" s="13" t="inlineStr">
        <is>
          <t>Generating Revenue</t>
        </is>
      </c>
      <c r="AA114" s="13" t="inlineStr">
        <is>
          <t>Ducommun (NYS: DCO) (Stephen Oswald)</t>
        </is>
      </c>
      <c r="AB114" s="13" t="inlineStr">
        <is>
          <t>Aerospace and Defense</t>
        </is>
      </c>
      <c r="AC114" s="13" t="inlineStr">
        <is>
          <t>Industrials, Manufacturing</t>
        </is>
      </c>
      <c r="AD114" s="13" t="inlineStr">
        <is>
          <t>Manufacturer of customized aerodynamic products catering to the needs of the aerospace industry. The company designs and develops innovative performance-enhancing products that include winglet systems, LED lighting systems, vortex generators, and duke winglets, thereby enhancing handling, control, stability, lifting capacity, fuel cost efficiency, reducing noise, and more in helicopters, turbine airplanes, and piston airplanes.</t>
        </is>
      </c>
      <c r="AE114" s="13" t="inlineStr">
        <is>
          <t>Everett, WA</t>
        </is>
      </c>
      <c r="AF114" s="13" t="inlineStr">
        <is>
          <t>www.blraerospace.com</t>
        </is>
      </c>
    </row>
    <row r="115" ht="42" customHeight="1">
      <c r="A115" s="18" t="inlineStr">
        <is>
          <t>USA-114</t>
        </is>
      </c>
      <c r="B115" s="18" t="inlineStr">
        <is>
          <t>USA</t>
        </is>
      </c>
      <c r="C115" s="18" t="inlineStr">
        <is>
          <t>USA</t>
        </is>
      </c>
      <c r="D115" s="19" t="inlineStr">
        <is>
          <t>Humane</t>
        </is>
      </c>
      <c r="E115" s="19" t="inlineStr">
        <is>
          <t>HP</t>
        </is>
      </c>
      <c r="F115" s="18" t="n"/>
      <c r="G115" s="19" t="n"/>
      <c r="H115" s="20" t="n">
        <v>45706</v>
      </c>
      <c r="I115" s="20" t="n"/>
      <c r="J115" s="21" t="n">
        <v>2025</v>
      </c>
      <c r="K115" s="19" t="inlineStr">
        <is>
          <t>Merger/Acquisition</t>
        </is>
      </c>
      <c r="L115" s="19" t="n"/>
      <c r="M115" s="19" t="inlineStr">
        <is>
          <t>Completed</t>
        </is>
      </c>
      <c r="N115" s="22" t="n">
        <v>116</v>
      </c>
      <c r="O115" s="18" t="inlineStr">
        <is>
          <t>USD</t>
        </is>
      </c>
      <c r="R115" s="37" t="n"/>
      <c r="S115" s="22" t="n"/>
      <c r="T115" s="37" t="n"/>
      <c r="U115" s="22" t="n"/>
      <c r="V115" s="19" t="n"/>
      <c r="W115" s="22" t="n">
        <v>116</v>
      </c>
      <c r="X115" s="19" t="inlineStr">
        <is>
          <t>The company was acquired by HP (NYS: HPQ) for $116 million on February 18, 2025.</t>
        </is>
      </c>
      <c r="Y115" s="19" t="inlineStr">
        <is>
          <t>Formerly VC-backed</t>
        </is>
      </c>
      <c r="Z115" s="19" t="inlineStr">
        <is>
          <t>Generating Revenue</t>
        </is>
      </c>
      <c r="AA115" s="19" t="inlineStr">
        <is>
          <t>HP (NYS: HPQ) (Tuan Tran)</t>
        </is>
      </c>
      <c r="AB115" s="19" t="inlineStr">
        <is>
          <t>Electronics (B2C)</t>
        </is>
      </c>
      <c r="AC115" s="19" t="inlineStr">
        <is>
          <t>Artificial Intelligence &amp; Machine Learning, Big Data, SaaS</t>
        </is>
      </c>
      <c r="AD115" s="19" t="inlineStr">
        <is>
          <t>Developer of hardware and software products designed to help people innovate through a genuine collaboration of design and engineering. The company creates products for the benefit of people and crafts technology that puts people first, enabling companies and customers to get devices and platforms to create the next shift between humans and computing.</t>
        </is>
      </c>
      <c r="AE115" s="19" t="inlineStr">
        <is>
          <t>San Francisco, CA</t>
        </is>
      </c>
      <c r="AF115" s="19" t="inlineStr">
        <is>
          <t>www.humane.com</t>
        </is>
      </c>
    </row>
    <row r="116" ht="42" customHeight="1">
      <c r="A116" s="12" t="inlineStr">
        <is>
          <t>USA-115</t>
        </is>
      </c>
      <c r="B116" s="12" t="inlineStr">
        <is>
          <t>USA</t>
        </is>
      </c>
      <c r="C116" s="12" t="inlineStr">
        <is>
          <t>USA</t>
        </is>
      </c>
      <c r="D116" s="13" t="inlineStr">
        <is>
          <t>ASMPT NEXX</t>
        </is>
      </c>
      <c r="E116" s="13" t="inlineStr">
        <is>
          <t>PDF Solutions</t>
        </is>
      </c>
      <c r="F116" s="12" t="n"/>
      <c r="G116" s="13" t="n"/>
      <c r="H116" s="14" t="n">
        <v>45689</v>
      </c>
      <c r="I116" s="14" t="n"/>
      <c r="J116" s="15" t="n">
        <v>2025</v>
      </c>
      <c r="K116" s="13" t="inlineStr">
        <is>
          <t>Merger/Acquisition</t>
        </is>
      </c>
      <c r="L116" s="13" t="n"/>
      <c r="M116" s="13" t="inlineStr">
        <is>
          <t>Completed</t>
        </is>
      </c>
      <c r="N116" s="16" t="n">
        <v>112.2</v>
      </c>
      <c r="O116" s="12" t="inlineStr">
        <is>
          <t>USD</t>
        </is>
      </c>
      <c r="R116" s="36" t="n"/>
      <c r="S116" s="16" t="n"/>
      <c r="T116" s="36" t="n"/>
      <c r="U116" s="16" t="n"/>
      <c r="V116" s="13" t="inlineStr">
        <is>
          <t>Corporate Divestiture</t>
        </is>
      </c>
      <c r="W116" s="16" t="n">
        <v>112.2</v>
      </c>
      <c r="X116" s="13" t="inlineStr">
        <is>
          <t>The company, a subsidiary of ASMPT (HKG: 00522), was acquired by PDF Solutions (NAS: PDFS) for $112.2 million in February 2025. This acquisition will help to expand the portfolio to include advanced semiconductor packaging technologies, which is particularly relevant in the growing market for artificial intelligence and high-performance computing.</t>
        </is>
      </c>
      <c r="Y116" s="13" t="inlineStr">
        <is>
          <t>Formerly VC-backed</t>
        </is>
      </c>
      <c r="Z116" s="13" t="inlineStr">
        <is>
          <t>Generating Revenue</t>
        </is>
      </c>
      <c r="AA116" s="13" t="inlineStr">
        <is>
          <t>PDF Solutions (NAS: PDFS)</t>
        </is>
      </c>
      <c r="AB116" s="13" t="inlineStr">
        <is>
          <t>Machinery (B2B)</t>
        </is>
      </c>
      <c r="AC116" s="13" t="inlineStr">
        <is>
          <t>Advanced Manufacturing, Robotics and Drones</t>
        </is>
      </c>
      <c r="AD116" s="13" t="inlineStr">
        <is>
          <t>Manufacturer of advanced processing systems intended to address wafer-level packaging. The company's products include a fully automated electrochemical deposition system that deposits thick metal layers for wafer bumping and redistribution layers, enabling semiconductor manufacturers to increase their efficiency.</t>
        </is>
      </c>
      <c r="AE116" s="13" t="inlineStr">
        <is>
          <t>Billerica, MA</t>
        </is>
      </c>
      <c r="AF116" s="13" t="inlineStr">
        <is>
          <t>nexx.semi.asmpt.com</t>
        </is>
      </c>
    </row>
    <row r="117" ht="42" customHeight="1">
      <c r="A117" s="18" t="inlineStr">
        <is>
          <t>USA-116</t>
        </is>
      </c>
      <c r="B117" s="18" t="inlineStr">
        <is>
          <t>USA</t>
        </is>
      </c>
      <c r="C117" s="18" t="inlineStr">
        <is>
          <t>USA</t>
        </is>
      </c>
      <c r="D117" s="19" t="inlineStr">
        <is>
          <t>Vian Enterprises</t>
        </is>
      </c>
      <c r="E117" s="19" t="inlineStr">
        <is>
          <t>Crane</t>
        </is>
      </c>
      <c r="F117" s="18" t="n"/>
      <c r="G117" s="19" t="n"/>
      <c r="H117" s="20" t="n">
        <v>45293</v>
      </c>
      <c r="I117" s="20" t="n"/>
      <c r="J117" s="21" t="n">
        <v>2024</v>
      </c>
      <c r="K117" s="19" t="inlineStr">
        <is>
          <t>Merger/Acquisition</t>
        </is>
      </c>
      <c r="L117" s="19" t="n"/>
      <c r="M117" s="19" t="inlineStr">
        <is>
          <t>Completed</t>
        </is>
      </c>
      <c r="N117" s="22" t="n">
        <v>110</v>
      </c>
      <c r="O117" s="18" t="inlineStr">
        <is>
          <t>USD</t>
        </is>
      </c>
      <c r="P117" s="50" t="n">
        <v>3.33</v>
      </c>
      <c r="Q117" s="50" t="n">
        <v>13.75</v>
      </c>
      <c r="R117" s="37" t="n">
        <v>13.75</v>
      </c>
      <c r="S117" s="22" t="n">
        <v>8</v>
      </c>
      <c r="T117" s="37" t="n">
        <v>3.33</v>
      </c>
      <c r="U117" s="22" t="n">
        <v>33</v>
      </c>
      <c r="V117" s="19" t="n"/>
      <c r="W117" s="22" t="n">
        <v>110</v>
      </c>
      <c r="X117" s="19" t="inlineStr">
        <is>
          <t>The company was acquired by Crane Co (NYS: CR) for approximately $110 million on January 2, 2024. The acquisition is complementary to Crane Aerospace &amp; Electronics fluid solution within the aerospace &amp; electronics segment, significantly expanding our portfolio of mission-critical aerospace flow control products.</t>
        </is>
      </c>
      <c r="Y117" s="19" t="inlineStr">
        <is>
          <t>Corporate Backed or Acquired</t>
        </is>
      </c>
      <c r="Z117" s="19" t="inlineStr">
        <is>
          <t>Generating Revenue</t>
        </is>
      </c>
      <c r="AA117" s="19" t="inlineStr">
        <is>
          <t>Crane (United States) (NYS: CR)</t>
        </is>
      </c>
      <c r="AB117" s="19" t="inlineStr">
        <is>
          <t>Machinery (B2B)</t>
        </is>
      </c>
      <c r="AC117" s="19" t="inlineStr">
        <is>
          <t>Manufacturing</t>
        </is>
      </c>
      <c r="AD117" s="19" t="inlineStr">
        <is>
          <t>Designer and manufacturer of multi-stage lubrication pumps and lubrication system components technology for critical aerospace and defense applications. The company specializes in the design, development and manufacture of aerospace oil lubrication systems, including pumps, valves, fluid regulators and generators along with molding of pump castings and structural and thermal analysis, thereby helping clients with the entire process from initial design to testing.</t>
        </is>
      </c>
      <c r="AE117" s="19" t="inlineStr">
        <is>
          <t>Auburn, CA</t>
        </is>
      </c>
      <c r="AF117" s="19" t="inlineStr">
        <is>
          <t>vianenterprises.com</t>
        </is>
      </c>
    </row>
    <row r="118" ht="42" customHeight="1">
      <c r="A118" s="12" t="inlineStr">
        <is>
          <t>USA-117</t>
        </is>
      </c>
      <c r="B118" s="12" t="inlineStr">
        <is>
          <t>USA</t>
        </is>
      </c>
      <c r="C118" s="12" t="inlineStr">
        <is>
          <t>USA</t>
        </is>
      </c>
      <c r="D118" s="13" t="inlineStr">
        <is>
          <t>RedViking Group</t>
        </is>
      </c>
      <c r="E118" s="13" t="inlineStr">
        <is>
          <t>The Lincoln Electric Company</t>
        </is>
      </c>
      <c r="F118" s="12" t="n"/>
      <c r="G118" s="13" t="n"/>
      <c r="H118" s="14" t="n">
        <v>45383</v>
      </c>
      <c r="I118" s="14" t="n"/>
      <c r="J118" s="15" t="n">
        <v>2024</v>
      </c>
      <c r="K118" s="13" t="inlineStr">
        <is>
          <t>Merger/Acquisition</t>
        </is>
      </c>
      <c r="L118" s="13" t="n"/>
      <c r="M118" s="13" t="inlineStr">
        <is>
          <t>Completed</t>
        </is>
      </c>
      <c r="N118" s="16" t="n">
        <v>108.84</v>
      </c>
      <c r="O118" s="12" t="inlineStr">
        <is>
          <t>USD</t>
        </is>
      </c>
      <c r="R118" s="36" t="n"/>
      <c r="S118" s="16" t="n"/>
      <c r="T118" s="36" t="n"/>
      <c r="U118" s="16" t="n"/>
      <c r="V118" s="13" t="n"/>
      <c r="W118" s="16" t="n">
        <v>108.84</v>
      </c>
      <c r="X118" s="13" t="inlineStr">
        <is>
          <t>The company was acquired by The Lincoln Electric Company (NAS: LECO) for $108.844 million on April 1, 2024. The acquisition expands The Lincoln Electric Company's portfolio of automation solutions and extends our ability to serve its customers in the growing aerospace and defense industries.</t>
        </is>
      </c>
      <c r="Y118" s="13" t="inlineStr">
        <is>
          <t>Corporate Backed or Acquired</t>
        </is>
      </c>
      <c r="Z118" s="13" t="inlineStr">
        <is>
          <t>Generating Revenue</t>
        </is>
      </c>
      <c r="AA118" s="13" t="inlineStr">
        <is>
          <t>The Lincoln Electric Company (NAS: LECO) (Steven Hedlund)</t>
        </is>
      </c>
      <c r="AB118" s="13" t="inlineStr">
        <is>
          <t>Aerospace and Defense</t>
        </is>
      </c>
      <c r="AC118" s="13" t="inlineStr">
        <is>
          <t>Industrials, Manufacturing</t>
        </is>
      </c>
      <c r="AD118" s="13" t="inlineStr">
        <is>
          <t>Manufacturer of test systems intended to provide engineered solutions to difficult manufacturing problems. The company builds and integrates manufacturing and test solutions, dynamic test systems, operational intelligence and assembly solutions for aerospace, automotive, heavy equipment and defense and also designs, builds, installs and supports highly engineered aerospace and ground-vehicle powertrain test systems for large commercial and military organizations.</t>
        </is>
      </c>
      <c r="AE118" s="13" t="inlineStr">
        <is>
          <t>Plymouth, MI</t>
        </is>
      </c>
      <c r="AF118" s="13" t="inlineStr">
        <is>
          <t>www.redviking.com</t>
        </is>
      </c>
    </row>
    <row r="119" ht="42" customHeight="1">
      <c r="A119" s="18" t="inlineStr">
        <is>
          <t>USA-118</t>
        </is>
      </c>
      <c r="B119" s="18" t="inlineStr">
        <is>
          <t>USA</t>
        </is>
      </c>
      <c r="C119" s="18" t="inlineStr">
        <is>
          <t>USA</t>
        </is>
      </c>
      <c r="D119" s="19" t="inlineStr">
        <is>
          <t>Vapor Power International</t>
        </is>
      </c>
      <c r="E119" s="19" t="inlineStr">
        <is>
          <t>Thermon Group Holdings</t>
        </is>
      </c>
      <c r="F119" s="18" t="n"/>
      <c r="G119" s="19" t="n"/>
      <c r="H119" s="20" t="n">
        <v>45289</v>
      </c>
      <c r="I119" s="20" t="n"/>
      <c r="J119" s="21" t="n">
        <v>2023</v>
      </c>
      <c r="K119" s="19" t="inlineStr">
        <is>
          <t>Merger/Acquisition</t>
        </is>
      </c>
      <c r="L119" s="19" t="n"/>
      <c r="M119" s="19" t="inlineStr">
        <is>
          <t>Completed</t>
        </is>
      </c>
      <c r="N119" s="22" t="n">
        <v>107.52</v>
      </c>
      <c r="O119" s="18" t="inlineStr">
        <is>
          <t>USD</t>
        </is>
      </c>
      <c r="P119" s="50" t="n">
        <v>2.15</v>
      </c>
      <c r="R119" s="37" t="n"/>
      <c r="S119" s="22" t="n"/>
      <c r="T119" s="37" t="n">
        <v>2.15</v>
      </c>
      <c r="U119" s="22" t="n">
        <v>50</v>
      </c>
      <c r="V119" s="19" t="n"/>
      <c r="W119" s="22" t="n">
        <v>107.52</v>
      </c>
      <c r="X119" s="19" t="inlineStr">
        <is>
          <t>The company was acquired by Thermon (NYS: THR) from Midwest Mezzanine Funds and Stone Pointe for $107.523 million on December 29, 2023.</t>
        </is>
      </c>
      <c r="Y119" s="19" t="inlineStr">
        <is>
          <t>Formerly PE-Backed</t>
        </is>
      </c>
      <c r="Z119" s="19" t="inlineStr">
        <is>
          <t>Generating Revenue</t>
        </is>
      </c>
      <c r="AA119" s="19" t="inlineStr">
        <is>
          <t>Thermon Group Holdings (Bruce Thames)</t>
        </is>
      </c>
      <c r="AB119" s="19" t="inlineStr">
        <is>
          <t>Machinery (B2B)</t>
        </is>
      </c>
      <c r="AC119" s="19" t="inlineStr">
        <is>
          <t>Industrials, Manufacturing</t>
        </is>
      </c>
      <c r="AD119" s="19" t="inlineStr">
        <is>
          <t>Designer and manufacturer of boilers and steam generators intended for industrial, commercial, marine, military boiler and other applications. The company specializes in thermal fluid heaters, hot water and electric boilers, superheaters, deaerators and other related products, enabling industrial clients to get project-specific products for work efficiency.</t>
        </is>
      </c>
      <c r="AE119" s="19" t="inlineStr">
        <is>
          <t>Franklin Park, IL</t>
        </is>
      </c>
      <c r="AF119" s="19" t="inlineStr">
        <is>
          <t>www.vaporpower.com</t>
        </is>
      </c>
    </row>
    <row r="120" ht="42" customHeight="1">
      <c r="A120" s="12" t="inlineStr">
        <is>
          <t>USA-119</t>
        </is>
      </c>
      <c r="B120" s="12" t="inlineStr">
        <is>
          <t>USA</t>
        </is>
      </c>
      <c r="C120" s="12" t="inlineStr">
        <is>
          <t>USA</t>
        </is>
      </c>
      <c r="D120" s="13" t="inlineStr">
        <is>
          <t>Alpha Safety</t>
        </is>
      </c>
      <c r="E120" s="13" t="inlineStr">
        <is>
          <t>Cadre Holdings</t>
        </is>
      </c>
      <c r="F120" s="12" t="n"/>
      <c r="G120" s="13" t="n"/>
      <c r="H120" s="14" t="n">
        <v>45352</v>
      </c>
      <c r="I120" s="14" t="n"/>
      <c r="J120" s="15" t="n">
        <v>2024</v>
      </c>
      <c r="K120" s="13" t="inlineStr">
        <is>
          <t>Merger/Acquisition</t>
        </is>
      </c>
      <c r="L120" s="13" t="n"/>
      <c r="M120" s="13" t="inlineStr">
        <is>
          <t>Completed</t>
        </is>
      </c>
      <c r="N120" s="16" t="n">
        <v>106.5</v>
      </c>
      <c r="O120" s="12" t="inlineStr">
        <is>
          <t>USD</t>
        </is>
      </c>
      <c r="P120" s="50" t="n">
        <v>2.42</v>
      </c>
      <c r="R120" s="36" t="n"/>
      <c r="S120" s="16" t="n"/>
      <c r="T120" s="36" t="n">
        <v>2.42</v>
      </c>
      <c r="U120" s="16" t="n">
        <v>44</v>
      </c>
      <c r="V120" s="13" t="n"/>
      <c r="W120" s="16" t="n">
        <v>106.5</v>
      </c>
      <c r="X120" s="13" t="inlineStr">
        <is>
          <t>The company was acquired by Cadre Holdings (NYS: CDRE) for $106.5 million on March, 2024. Goodwill for the company acquisition is included in the product segment and reflects synergies and additional legacy growth and profitability expected from this acquisition through expansion into new markets and customers.</t>
        </is>
      </c>
      <c r="Y120" s="13" t="inlineStr">
        <is>
          <t>Formerly PE-Backed</t>
        </is>
      </c>
      <c r="Z120" s="13" t="inlineStr">
        <is>
          <t>Generating Revenue</t>
        </is>
      </c>
      <c r="AA120" s="13" t="inlineStr">
        <is>
          <t>Cadre Holdings (NYS: CDRE) (Warren Kanders)</t>
        </is>
      </c>
      <c r="AB120" s="13" t="inlineStr">
        <is>
          <t>Other Commercial Services</t>
        </is>
      </c>
      <c r="AC120" s="13" t="inlineStr">
        <is>
          <t>Industrials</t>
        </is>
      </c>
      <c r="AD120" s="13" t="inlineStr">
        <is>
          <t>Provider of integrated engineering and designing services intended to optimize material sciences, engineering, innovation and prototyping, turn-key design-build and precision machining expertise. The company offers integrated engineering and designing services offering nuclear, aerospace, control and automation, engineering and fabrication products, enabling aerospace, defense and automation markets to meet their broad and complex needs.</t>
        </is>
      </c>
      <c r="AE120" s="13" t="inlineStr">
        <is>
          <t>Golden, CO</t>
        </is>
      </c>
      <c r="AF120" s="13" t="inlineStr">
        <is>
          <t>www.nftinc.com</t>
        </is>
      </c>
    </row>
    <row r="121" ht="42" customHeight="1">
      <c r="A121" s="18" t="inlineStr">
        <is>
          <t>USA-120</t>
        </is>
      </c>
      <c r="B121" s="18" t="inlineStr">
        <is>
          <t>USA</t>
        </is>
      </c>
      <c r="C121" s="18" t="inlineStr">
        <is>
          <t>USA</t>
        </is>
      </c>
      <c r="D121" s="19" t="inlineStr">
        <is>
          <t>Aerojet Ordnance Tennessee</t>
        </is>
      </c>
      <c r="E121" s="19" t="inlineStr">
        <is>
          <t>BWX Technologies</t>
        </is>
      </c>
      <c r="F121" s="18" t="n"/>
      <c r="G121" s="19" t="n"/>
      <c r="H121" s="20" t="n">
        <v>45660</v>
      </c>
      <c r="I121" s="20" t="n"/>
      <c r="J121" s="21" t="n">
        <v>2025</v>
      </c>
      <c r="K121" s="19" t="inlineStr">
        <is>
          <t>Merger/Acquisition</t>
        </is>
      </c>
      <c r="L121" s="19" t="n"/>
      <c r="M121" s="19" t="inlineStr">
        <is>
          <t>Completed</t>
        </is>
      </c>
      <c r="N121" s="22" t="n">
        <v>103.3</v>
      </c>
      <c r="O121" s="18" t="inlineStr">
        <is>
          <t>USD</t>
        </is>
      </c>
      <c r="R121" s="37" t="n"/>
      <c r="S121" s="22" t="n"/>
      <c r="T121" s="37" t="n"/>
      <c r="U121" s="22" t="n"/>
      <c r="V121" s="19" t="inlineStr">
        <is>
          <t>Corporate Divestiture</t>
        </is>
      </c>
      <c r="W121" s="22" t="n">
        <v>103.3</v>
      </c>
      <c r="X121" s="19" t="inlineStr">
        <is>
          <t>The company, a subsidiary of 3 Harris Technologies (NYS: LHX), was acquired by BWX Technologies (NYS: BWXT) for approximately $103.3 million on January 3, 2025. The acquisition will further enhance BWX Technologies' capabilities to develop and manufacture advanced materials and products for commercial, military, and space applications.</t>
        </is>
      </c>
      <c r="Y121" s="19" t="inlineStr">
        <is>
          <t>Corporate Backed or Acquired</t>
        </is>
      </c>
      <c r="Z121" s="19" t="inlineStr">
        <is>
          <t>Generating Revenue</t>
        </is>
      </c>
      <c r="AA121" s="19" t="inlineStr">
        <is>
          <t>BWX Technologies (NYS: BWXT) (Rex Geveden)</t>
        </is>
      </c>
      <c r="AB121" s="19" t="inlineStr">
        <is>
          <t>Other Commercial Products</t>
        </is>
      </c>
      <c r="AC121" s="19" t="inlineStr">
        <is>
          <t>Manufacturing</t>
        </is>
      </c>
      <c r="AD121" s="19" t="inlineStr">
        <is>
          <t>Manufacturer of advanced specialty materials based in Melbourne, Florida. The company offers a wide range of services including fabrication and high-strength alloy manufacturing, including depleted uranium-engineered materials for commercial, military and space applications.</t>
        </is>
      </c>
      <c r="AE121" s="19" t="inlineStr">
        <is>
          <t>Melbourne, FL</t>
        </is>
      </c>
      <c r="AF121" s="19" t="n"/>
    </row>
    <row r="122" ht="42" customHeight="1">
      <c r="A122" s="12" t="inlineStr">
        <is>
          <t>USA-121</t>
        </is>
      </c>
      <c r="B122" s="12" t="inlineStr">
        <is>
          <t>USA</t>
        </is>
      </c>
      <c r="C122" s="12" t="inlineStr">
        <is>
          <t>USA</t>
        </is>
      </c>
      <c r="D122" s="13" t="inlineStr">
        <is>
          <t>imaware</t>
        </is>
      </c>
      <c r="E122" s="13" t="inlineStr">
        <is>
          <t>SuperTruth</t>
        </is>
      </c>
      <c r="F122" s="12" t="n"/>
      <c r="G122" s="13" t="n"/>
      <c r="H122" s="14" t="n">
        <v>45644</v>
      </c>
      <c r="I122" s="14" t="n"/>
      <c r="J122" s="15" t="n">
        <v>2024</v>
      </c>
      <c r="K122" s="13" t="inlineStr">
        <is>
          <t>Merger/Acquisition</t>
        </is>
      </c>
      <c r="L122" s="13" t="n"/>
      <c r="M122" s="13" t="inlineStr">
        <is>
          <t>Completed</t>
        </is>
      </c>
      <c r="N122" s="16" t="n">
        <v>100</v>
      </c>
      <c r="O122" s="12" t="inlineStr">
        <is>
          <t>USD</t>
        </is>
      </c>
      <c r="R122" s="36" t="n"/>
      <c r="S122" s="16" t="n"/>
      <c r="T122" s="36" t="n"/>
      <c r="U122" s="16" t="n"/>
      <c r="V122" s="13" t="n"/>
      <c r="W122" s="16" t="n">
        <v>100</v>
      </c>
      <c r="X122" s="13" t="inlineStr">
        <is>
          <t>The company was acquired by SuperTruth for $100 million on December 18, 2024.</t>
        </is>
      </c>
      <c r="Y122" s="13" t="inlineStr">
        <is>
          <t>Formerly PE-Backed</t>
        </is>
      </c>
      <c r="Z122" s="13" t="inlineStr">
        <is>
          <t>Generating Revenue</t>
        </is>
      </c>
      <c r="AA122" s="13" t="inlineStr">
        <is>
          <t>SuperTruth (Jason Snyder)</t>
        </is>
      </c>
      <c r="AB122" s="13" t="inlineStr">
        <is>
          <t>Other Healthcare Services</t>
        </is>
      </c>
      <c r="AC122" s="13" t="n"/>
      <c r="AD122" s="13" t="inlineStr">
        <is>
          <t>Provider of at-home and remote screening and monitoring tests based in Austin, Texas. The company offers diabetes screening, prostate cancer screening, thyroid screening, immune defense screening, celiac disease screening, and genetic and heart health tests, enabling individuals to assess their health and prevent illnesses through proactive screening.</t>
        </is>
      </c>
      <c r="AE122" s="13" t="inlineStr">
        <is>
          <t>Austin, TX</t>
        </is>
      </c>
      <c r="AF122" s="13" t="inlineStr">
        <is>
          <t>www.imaware.health</t>
        </is>
      </c>
    </row>
    <row r="123" ht="42" customHeight="1">
      <c r="A123" s="18" t="inlineStr">
        <is>
          <t>USA-122</t>
        </is>
      </c>
      <c r="B123" s="18" t="inlineStr">
        <is>
          <t>USA</t>
        </is>
      </c>
      <c r="C123" s="18" t="inlineStr">
        <is>
          <t>USA</t>
        </is>
      </c>
      <c r="D123" s="19" t="inlineStr">
        <is>
          <t>Nomad Global Communication Solutions</t>
        </is>
      </c>
      <c r="E123" s="19" t="inlineStr">
        <is>
          <t>Kratos Defense &amp; Security Solutions</t>
        </is>
      </c>
      <c r="F123" s="18" t="n"/>
      <c r="G123" s="19" t="n"/>
      <c r="H123" s="20" t="n">
        <v>46076</v>
      </c>
      <c r="I123" s="20" t="n"/>
      <c r="J123" s="21" t="n">
        <v>2026</v>
      </c>
      <c r="K123" s="19" t="inlineStr">
        <is>
          <t>Merger/Acquisition</t>
        </is>
      </c>
      <c r="L123" s="19" t="n"/>
      <c r="M123" s="19" t="inlineStr">
        <is>
          <t>Completed</t>
        </is>
      </c>
      <c r="N123" s="22" t="n">
        <v>100</v>
      </c>
      <c r="O123" s="18" t="inlineStr">
        <is>
          <t>USD</t>
        </is>
      </c>
      <c r="R123" s="37" t="n"/>
      <c r="S123" s="22" t="n"/>
      <c r="T123" s="37" t="n"/>
      <c r="U123" s="22" t="n"/>
      <c r="V123" s="19" t="n"/>
      <c r="W123" s="22" t="n">
        <v>100</v>
      </c>
      <c r="X123" s="19" t="inlineStr">
        <is>
          <t>The company was acquired by Kratos Defense &amp; Security Solutions (NAS: KTOS) for approximately $100 million on February 23, 2026.</t>
        </is>
      </c>
      <c r="Y123" s="19" t="inlineStr">
        <is>
          <t>Corporate Backed or Acquired</t>
        </is>
      </c>
      <c r="Z123" s="19" t="inlineStr">
        <is>
          <t>Generating Revenue</t>
        </is>
      </c>
      <c r="AA123" s="19" t="inlineStr">
        <is>
          <t>Kratos Defense &amp; Security Solutions (NAS: KTOS)</t>
        </is>
      </c>
      <c r="AB123" s="19" t="inlineStr">
        <is>
          <t>Wireless Communications Equipment</t>
        </is>
      </c>
      <c r="AC123" s="19" t="inlineStr">
        <is>
          <t>Manufacturing</t>
        </is>
      </c>
      <c r="AD123" s="19" t="inlineStr">
        <is>
          <t>Manufacturer of mobile operations centers catering to public and private sector organizations. The company offers integrated power management, satellite connectivity, and climate-controlled vehicle platforms, enabling defense, public safety, and healthcare organizations to maintain data processing and operational coordination.</t>
        </is>
      </c>
      <c r="AE123" s="19" t="inlineStr">
        <is>
          <t>Columbia Falls, MT</t>
        </is>
      </c>
      <c r="AF123" s="19" t="inlineStr">
        <is>
          <t>www.nomadgcs.com</t>
        </is>
      </c>
    </row>
    <row r="124" ht="42" customHeight="1">
      <c r="A124" s="12" t="inlineStr">
        <is>
          <t>USA-123</t>
        </is>
      </c>
      <c r="B124" s="12" t="inlineStr">
        <is>
          <t>USA</t>
        </is>
      </c>
      <c r="C124" s="12" t="inlineStr">
        <is>
          <t>USA</t>
        </is>
      </c>
      <c r="D124" s="13" t="inlineStr">
        <is>
          <t>PAR Government (Aerospace and Defense)</t>
        </is>
      </c>
      <c r="E124" s="13" t="inlineStr">
        <is>
          <t>Booz Allen</t>
        </is>
      </c>
      <c r="F124" s="12" t="n"/>
      <c r="G124" s="13" t="n"/>
      <c r="H124" s="14" t="n">
        <v>45450</v>
      </c>
      <c r="I124" s="14" t="n"/>
      <c r="J124" s="15" t="n">
        <v>2024</v>
      </c>
      <c r="K124" s="13" t="inlineStr">
        <is>
          <t>Merger/Acquisition</t>
        </is>
      </c>
      <c r="L124" s="13" t="n"/>
      <c r="M124" s="13" t="inlineStr">
        <is>
          <t>Completed</t>
        </is>
      </c>
      <c r="N124" s="16" t="n">
        <v>99</v>
      </c>
      <c r="O124" s="12" t="inlineStr">
        <is>
          <t>USD</t>
        </is>
      </c>
      <c r="P124" s="50" t="n">
        <v>6.47</v>
      </c>
      <c r="R124" s="36" t="n"/>
      <c r="S124" s="16" t="n"/>
      <c r="T124" s="36" t="n">
        <v>6.47</v>
      </c>
      <c r="U124" s="16" t="n">
        <v>15.3</v>
      </c>
      <c r="V124" s="13" t="inlineStr">
        <is>
          <t>Corporate Divestiture</t>
        </is>
      </c>
      <c r="W124" s="16" t="n">
        <v>99</v>
      </c>
      <c r="X124" s="13" t="inlineStr">
        <is>
          <t>The company, a subsidiary of Par Technology (NYS: PAR) was acquired by Booz Allen Hamilton (NYS: BAH) for $ 99 million on June 7, 2024. The acquisition strengthens the firm's ability to meet the evolving needs of defense clients and adds highly technical and cleared talent with mission-relevant expertise to Booz Allen's already strong global defense talent base.</t>
        </is>
      </c>
      <c r="Y124" s="13" t="inlineStr">
        <is>
          <t>Corporate Backed or Acquired</t>
        </is>
      </c>
      <c r="Z124" s="13" t="inlineStr">
        <is>
          <t>Generating Revenue</t>
        </is>
      </c>
      <c r="AA124" s="13" t="inlineStr">
        <is>
          <t>Booz Allen (NYS: BAH)</t>
        </is>
      </c>
      <c r="AB124" s="13" t="inlineStr">
        <is>
          <t>Aerospace and Defense</t>
        </is>
      </c>
      <c r="AC124" s="13" t="inlineStr">
        <is>
          <t>Manufacturing</t>
        </is>
      </c>
      <c r="AD124" s="13" t="inlineStr">
        <is>
          <t>Manufacturer of defense and space equipment intended to provide delivering essential services and solutions to nation's defenders. The company offers defense android and windows, tactical assault tit, team awareness kit integrated systems engineering, and operational support to the global information networks, enabling safety and care of defense managements.</t>
        </is>
      </c>
      <c r="AE124" s="13" t="inlineStr">
        <is>
          <t>Rome, NY</t>
        </is>
      </c>
      <c r="AF124" s="13" t="inlineStr">
        <is>
          <t>www.pargovernment.com</t>
        </is>
      </c>
    </row>
    <row r="125" ht="42" customHeight="1">
      <c r="A125" s="18" t="inlineStr">
        <is>
          <t>USA-124</t>
        </is>
      </c>
      <c r="B125" s="18" t="inlineStr">
        <is>
          <t>USA</t>
        </is>
      </c>
      <c r="C125" s="18" t="inlineStr">
        <is>
          <t>USA</t>
        </is>
      </c>
      <c r="D125" s="19" t="inlineStr">
        <is>
          <t>Five Axis Industries</t>
        </is>
      </c>
      <c r="E125" s="19" t="inlineStr">
        <is>
          <t>Karman Holdings</t>
        </is>
      </c>
      <c r="F125" s="18" t="n"/>
      <c r="G125" s="19" t="n"/>
      <c r="H125" s="20" t="n">
        <v>45958</v>
      </c>
      <c r="I125" s="20" t="n"/>
      <c r="J125" s="21" t="n">
        <v>2025</v>
      </c>
      <c r="K125" s="19" t="inlineStr">
        <is>
          <t>Merger/Acquisition</t>
        </is>
      </c>
      <c r="L125" s="19" t="n"/>
      <c r="M125" s="19" t="inlineStr">
        <is>
          <t>Completed</t>
        </is>
      </c>
      <c r="N125" s="22" t="n">
        <v>96.56999999999999</v>
      </c>
      <c r="O125" s="18" t="inlineStr">
        <is>
          <t>USD</t>
        </is>
      </c>
      <c r="R125" s="37" t="n"/>
      <c r="S125" s="22" t="n"/>
      <c r="T125" s="37" t="n"/>
      <c r="U125" s="22" t="n"/>
      <c r="V125" s="19" t="n"/>
      <c r="W125" s="22" t="n">
        <v>96.56999999999999</v>
      </c>
      <c r="X125" s="19" t="inlineStr">
        <is>
          <t>The company was acquired by Karman Holdings (NYS: KRMN) for $96.568 million on October 28, 2025. This acquisition will help to strengthen Karman's core competencies in the engineering and manufacturing of mission-critical subsystems for the space market.</t>
        </is>
      </c>
      <c r="Y125" s="19" t="inlineStr">
        <is>
          <t>Corporate Backed or Acquired</t>
        </is>
      </c>
      <c r="Z125" s="19" t="inlineStr">
        <is>
          <t>Generating Revenue</t>
        </is>
      </c>
      <c r="AA125" s="19" t="inlineStr">
        <is>
          <t>Karman Holdings (NYS: KRMN) (Tony Koblinski)</t>
        </is>
      </c>
      <c r="AB125" s="19" t="inlineStr">
        <is>
          <t>Aerospace and Defense</t>
        </is>
      </c>
      <c r="AC125" s="19" t="inlineStr">
        <is>
          <t>Manufacturing</t>
        </is>
      </c>
      <c r="AD125" s="19" t="inlineStr">
        <is>
          <t>Manufacturer of advanced engine subsystems intended to serve the marine and aerospace industries. The company offers specialized nozzles and fuel systems, gaseous oxygen systems, and fluid control technologies, thereby enabling clients to optimize engine performance in highly corrosive and ultra-high-temperature propulsion environments.</t>
        </is>
      </c>
      <c r="AE125" s="19" t="inlineStr">
        <is>
          <t>Arlington, WA</t>
        </is>
      </c>
      <c r="AF125" s="19" t="inlineStr">
        <is>
          <t>www.fiveaxisindustries.com</t>
        </is>
      </c>
    </row>
    <row r="126" ht="42" customHeight="1">
      <c r="A126" s="12" t="inlineStr">
        <is>
          <t>USA-125</t>
        </is>
      </c>
      <c r="B126" s="12" t="inlineStr">
        <is>
          <t>USA</t>
        </is>
      </c>
      <c r="C126" s="12" t="inlineStr">
        <is>
          <t>USA</t>
        </is>
      </c>
      <c r="D126" s="13" t="inlineStr">
        <is>
          <t>Ambiq (NYS: AMBQ)</t>
        </is>
      </c>
      <c r="E126" s="13" t="n"/>
      <c r="F126" s="12" t="n"/>
      <c r="G126" s="13" t="n"/>
      <c r="H126" s="14" t="n">
        <v>45868</v>
      </c>
      <c r="I126" s="14" t="n"/>
      <c r="J126" s="15" t="n">
        <v>2025</v>
      </c>
      <c r="K126" s="13" t="inlineStr">
        <is>
          <t>IPO</t>
        </is>
      </c>
      <c r="L126" s="13" t="n"/>
      <c r="M126" s="13" t="inlineStr">
        <is>
          <t>Completed</t>
        </is>
      </c>
      <c r="N126" s="16" t="n">
        <v>96</v>
      </c>
      <c r="O126" s="12" t="inlineStr">
        <is>
          <t>USD</t>
        </is>
      </c>
      <c r="R126" s="36" t="n">
        <v>-3.26</v>
      </c>
      <c r="S126" s="16" t="n">
        <v>-29.48</v>
      </c>
      <c r="T126" s="36" t="n">
        <v>1.29</v>
      </c>
      <c r="U126" s="16" t="n">
        <v>74.20999999999999</v>
      </c>
      <c r="V126" s="13" t="n"/>
      <c r="W126" s="16" t="n">
        <v>423.27</v>
      </c>
      <c r="X126" s="13" t="inlineStr">
        <is>
          <t>The company raised $96 million in its initial public offering on the New York Stock Exchange under the ticker symbol of AMBQ on July 30, 2025. A total of 4,000,000 shares were sold at a price of $24 per share. After the offering, there was a total of 17,636,067 outstanding shares (excluding the over-allotment option) priced at $24 per share, valuing the company at $423.27 million. The underwriters were granted an option to purchase up to an additional 600,000 shares from the company to cover over-allotments, if any.</t>
        </is>
      </c>
      <c r="Y126" s="13" t="inlineStr">
        <is>
          <t>Formerly VC-backed</t>
        </is>
      </c>
      <c r="Z126" s="13" t="inlineStr">
        <is>
          <t>Generating Revenue</t>
        </is>
      </c>
      <c r="AA126" s="13" t="n"/>
      <c r="AB126" s="13" t="inlineStr">
        <is>
          <t>General Purpose Semiconductors</t>
        </is>
      </c>
      <c r="AC126" s="13" t="inlineStr">
        <is>
          <t>Advanced Manufacturing, Artificial Intelligence &amp; Machine Learning, Internet of Things</t>
        </is>
      </c>
      <c r="AD126" s="13" t="inlineStr">
        <is>
          <t>Ambiq Micro Inc is a fabless semiconductor company that has developed technology based on a patented Sub-threshold Power Optimized Technology (SPOT) platform that significantly reduces the amount of power consumed by integrated circuits. It is a pioneer and provider of ultra-low power semiconductor solutions designed to address the power consumption challenges of general purpose and AI compute - especially at the edge. The company provides a full-stack solution encompassing tightly integrated hardware and software. Its solutions include a diverse family of systems-on-chip (SoCs) and the software required to enable on-chip AI processing, general compute, sensing, security, storage, wireless connectivity, and developed graphics.</t>
        </is>
      </c>
      <c r="AE126" s="13" t="inlineStr">
        <is>
          <t>Austin, TX</t>
        </is>
      </c>
      <c r="AF126" s="13" t="inlineStr">
        <is>
          <t>www.ambiq.com</t>
        </is>
      </c>
    </row>
    <row r="127" ht="42" customHeight="1">
      <c r="A127" s="18" t="inlineStr">
        <is>
          <t>USA-126</t>
        </is>
      </c>
      <c r="B127" s="18" t="inlineStr">
        <is>
          <t>USA</t>
        </is>
      </c>
      <c r="C127" s="18" t="inlineStr">
        <is>
          <t>USA</t>
        </is>
      </c>
      <c r="D127" s="19" t="inlineStr">
        <is>
          <t>Invecas</t>
        </is>
      </c>
      <c r="E127" s="19" t="inlineStr">
        <is>
          <t>Cadence Design Systems</t>
        </is>
      </c>
      <c r="F127" s="18" t="n"/>
      <c r="G127" s="19" t="n"/>
      <c r="H127" s="20" t="n">
        <v>45299</v>
      </c>
      <c r="I127" s="20" t="n"/>
      <c r="J127" s="21" t="n">
        <v>2024</v>
      </c>
      <c r="K127" s="19" t="inlineStr">
        <is>
          <t>Merger/Acquisition</t>
        </is>
      </c>
      <c r="L127" s="19" t="n"/>
      <c r="M127" s="19" t="inlineStr">
        <is>
          <t>Completed</t>
        </is>
      </c>
      <c r="N127" s="22" t="n">
        <v>94.97</v>
      </c>
      <c r="O127" s="18" t="inlineStr">
        <is>
          <t>USD</t>
        </is>
      </c>
      <c r="R127" s="37" t="n"/>
      <c r="S127" s="22" t="n"/>
      <c r="T127" s="37" t="n"/>
      <c r="U127" s="22" t="n"/>
      <c r="V127" s="19" t="n"/>
      <c r="W127" s="22" t="n">
        <v>94.97</v>
      </c>
      <c r="X127" s="19" t="inlineStr">
        <is>
          <t>The company was acquired by Cadence Design Systems (NAS: CDNS) for $94.97 million on January 8, 2024. The acquisition will help Cadence Design Systems to add a skilled system design engineering team with expertise in providing customers with custom solutions across chip design, product engineering, advanced packaging, and embedded software.</t>
        </is>
      </c>
      <c r="Y127" s="19" t="inlineStr">
        <is>
          <t>Formerly VC-backed</t>
        </is>
      </c>
      <c r="Z127" s="19" t="inlineStr">
        <is>
          <t>Generating Revenue</t>
        </is>
      </c>
      <c r="AA127" s="19" t="inlineStr">
        <is>
          <t>Cadence Design Systems (NAS: CDNS) (Boyd Phelps)</t>
        </is>
      </c>
      <c r="AB127" s="19" t="inlineStr">
        <is>
          <t>Application Specific Semiconductors</t>
        </is>
      </c>
      <c r="AC127" s="19" t="inlineStr">
        <is>
          <t>CleanTech, Industrials, Manufacturing, Robotics and Drones</t>
        </is>
      </c>
      <c r="AD127" s="19" t="inlineStr">
        <is>
          <t>Developer of silicon IP equipment designed to provide custom alternatives for the semiconductor industry. The company's equipment offers embedded software and system-level approaches, software architecture, silicon manufacturing, packaging, software development, and integration, enabling IoT, automotive, biomedical, and compute device innovators to access a wide array of in-house alternatives such as validation, package design, verification, and prototyping.</t>
        </is>
      </c>
      <c r="AE127" s="19" t="inlineStr">
        <is>
          <t>Santa Clara, CA</t>
        </is>
      </c>
      <c r="AF127" s="19" t="inlineStr">
        <is>
          <t>www.invecas.com</t>
        </is>
      </c>
    </row>
    <row r="128" ht="42" customHeight="1">
      <c r="A128" s="12" t="inlineStr">
        <is>
          <t>USA-127</t>
        </is>
      </c>
      <c r="B128" s="12" t="inlineStr">
        <is>
          <t>USA</t>
        </is>
      </c>
      <c r="C128" s="12" t="inlineStr">
        <is>
          <t>USA</t>
        </is>
      </c>
      <c r="D128" s="13" t="inlineStr">
        <is>
          <t>ExoTerra</t>
        </is>
      </c>
      <c r="E128" s="13" t="inlineStr">
        <is>
          <t>Voyager</t>
        </is>
      </c>
      <c r="F128" s="12" t="n"/>
      <c r="G128" s="13" t="n"/>
      <c r="H128" s="14" t="n">
        <v>45954</v>
      </c>
      <c r="I128" s="14" t="n"/>
      <c r="J128" s="15" t="n">
        <v>2025</v>
      </c>
      <c r="K128" s="13" t="inlineStr">
        <is>
          <t>Merger/Acquisition</t>
        </is>
      </c>
      <c r="L128" s="13" t="n"/>
      <c r="M128" s="13" t="inlineStr">
        <is>
          <t>Completed</t>
        </is>
      </c>
      <c r="N128" s="16" t="n">
        <v>93.40000000000001</v>
      </c>
      <c r="O128" s="12" t="inlineStr">
        <is>
          <t>USD</t>
        </is>
      </c>
      <c r="R128" s="36" t="n"/>
      <c r="S128" s="16" t="n"/>
      <c r="T128" s="36" t="n">
        <v>0.5600000000000001</v>
      </c>
      <c r="U128" s="16" t="n">
        <v>166.42</v>
      </c>
      <c r="V128" s="13" t="n"/>
      <c r="W128" s="16" t="n">
        <v>93.40000000000001</v>
      </c>
      <c r="X128" s="13" t="inlineStr">
        <is>
          <t>The company was acquired by Voyager (NYS: VOYG) for approximately $93.4 million on October 24, 2025. The company will receive a contingent payout of $7.4 million upon the completion of future performance terms. The acquisition was made to bolster Voyager's American propulsion capabilities and enhance its electric propulsion systems and offerings.</t>
        </is>
      </c>
      <c r="Y128" s="13" t="inlineStr">
        <is>
          <t>Formerly VC-backed</t>
        </is>
      </c>
      <c r="Z128" s="13" t="inlineStr">
        <is>
          <t>Generating Revenue</t>
        </is>
      </c>
      <c r="AA128" s="13" t="inlineStr">
        <is>
          <t>Voyager (NYS: VOYG)</t>
        </is>
      </c>
      <c r="AB128" s="13" t="inlineStr">
        <is>
          <t>Aerospace and Defense</t>
        </is>
      </c>
      <c r="AC128" s="13" t="inlineStr">
        <is>
          <t>Space Technology</t>
        </is>
      </c>
      <c r="AD128" s="13" t="inlineStr">
        <is>
          <t>Developer of aerospace technology products designed to offer advanced spacecraft. The company's technology builds high-capability power and propulsion components, subsystems and fully-integrated buses for small satellites, enabling clients to reduce the cost of space exploration.</t>
        </is>
      </c>
      <c r="AE128" s="13" t="inlineStr">
        <is>
          <t>Littleton, CO</t>
        </is>
      </c>
      <c r="AF128" s="13" t="inlineStr">
        <is>
          <t>www.exoterra.com</t>
        </is>
      </c>
    </row>
    <row r="129" ht="42" customHeight="1">
      <c r="A129" s="18" t="inlineStr">
        <is>
          <t>USA-128</t>
        </is>
      </c>
      <c r="B129" s="18" t="inlineStr">
        <is>
          <t>USA</t>
        </is>
      </c>
      <c r="C129" s="18" t="inlineStr">
        <is>
          <t>USA</t>
        </is>
      </c>
      <c r="D129" s="19" t="inlineStr">
        <is>
          <t>Tennessee Industrial Electronics</t>
        </is>
      </c>
      <c r="E129" s="19" t="inlineStr">
        <is>
          <t>Diploma</t>
        </is>
      </c>
      <c r="F129" s="18" t="n"/>
      <c r="G129" s="19" t="n"/>
      <c r="H129" s="20" t="n">
        <v>44991</v>
      </c>
      <c r="I129" s="20" t="n"/>
      <c r="J129" s="21" t="n">
        <v>2023</v>
      </c>
      <c r="K129" s="19" t="inlineStr">
        <is>
          <t>Merger/Acquisition</t>
        </is>
      </c>
      <c r="L129" s="19" t="n"/>
      <c r="M129" s="19" t="inlineStr">
        <is>
          <t>Completed</t>
        </is>
      </c>
      <c r="N129" s="22" t="n">
        <v>93</v>
      </c>
      <c r="O129" s="18" t="inlineStr">
        <is>
          <t>USD</t>
        </is>
      </c>
      <c r="R129" s="37" t="n"/>
      <c r="S129" s="22" t="n"/>
      <c r="T129" s="37" t="n"/>
      <c r="U129" s="22" t="n"/>
      <c r="V129" s="19" t="n"/>
      <c r="W129" s="22" t="n">
        <v>93</v>
      </c>
      <c r="X129" s="19" t="inlineStr">
        <is>
          <t>The company was acquired by Diploma (LON: DPLM) for $93 million on March 6, 2023.</t>
        </is>
      </c>
      <c r="Y129" s="19" t="inlineStr">
        <is>
          <t>Formerly PE-Backed</t>
        </is>
      </c>
      <c r="Z129" s="19" t="inlineStr">
        <is>
          <t>Generating Revenue</t>
        </is>
      </c>
      <c r="AA129" s="19" t="inlineStr">
        <is>
          <t>Diploma (LON: DPLM)</t>
        </is>
      </c>
      <c r="AB129" s="19" t="inlineStr">
        <is>
          <t>Other Commercial Services</t>
        </is>
      </c>
      <c r="AC129" s="19" t="inlineStr">
        <is>
          <t>Manufacturing, Robotics and Drones, TMT</t>
        </is>
      </c>
      <c r="AD129" s="19" t="inlineStr">
        <is>
          <t>Proivder of computer numerical control systems parts and related repair services catering to integrated suppliers, independent machine service providers and industrial re-sellers. The company offers CNC system parts including drivers, monitors, motor parts, robot parts and repair services, enabling clients to get access to refurbished industrial electronic parts.</t>
        </is>
      </c>
      <c r="AE129" s="19" t="inlineStr">
        <is>
          <t>Clinton Township, MI</t>
        </is>
      </c>
      <c r="AF129" s="19" t="inlineStr">
        <is>
          <t>www.tieindustrial.com</t>
        </is>
      </c>
    </row>
    <row r="130" ht="42" customHeight="1">
      <c r="A130" s="12" t="inlineStr">
        <is>
          <t>USA-129</t>
        </is>
      </c>
      <c r="B130" s="12" t="inlineStr">
        <is>
          <t>USA</t>
        </is>
      </c>
      <c r="C130" s="12" t="inlineStr">
        <is>
          <t>USA</t>
        </is>
      </c>
      <c r="D130" s="13" t="inlineStr">
        <is>
          <t>Chesapeake Technology International</t>
        </is>
      </c>
      <c r="E130" s="13" t="inlineStr">
        <is>
          <t>Parsons</t>
        </is>
      </c>
      <c r="F130" s="12" t="n"/>
      <c r="G130" s="13" t="n"/>
      <c r="H130" s="14" t="n">
        <v>45838</v>
      </c>
      <c r="I130" s="14" t="n"/>
      <c r="J130" s="15" t="n">
        <v>2025</v>
      </c>
      <c r="K130" s="13" t="inlineStr">
        <is>
          <t>Merger/Acquisition</t>
        </is>
      </c>
      <c r="L130" s="13" t="n"/>
      <c r="M130" s="13" t="inlineStr">
        <is>
          <t>Completed</t>
        </is>
      </c>
      <c r="N130" s="16" t="n">
        <v>89</v>
      </c>
      <c r="O130" s="12" t="inlineStr">
        <is>
          <t>USD</t>
        </is>
      </c>
      <c r="R130" s="36" t="n"/>
      <c r="S130" s="16" t="n"/>
      <c r="T130" s="36" t="n"/>
      <c r="U130" s="16" t="n"/>
      <c r="V130" s="13" t="n"/>
      <c r="W130" s="16" t="n">
        <v>89</v>
      </c>
      <c r="X130" s="13" t="inlineStr">
        <is>
          <t>The company was acquired by Parsons (NYS: PSN) for $89 million on June 30, 2025. The transaction is consistent with Parsons' strategy of completing accretive acquisitions of companies with revenue growth and adjusted EBITDA margins, while adding critical intellectual property that strengthens the company's existing portfolio.</t>
        </is>
      </c>
      <c r="Y130" s="13" t="inlineStr">
        <is>
          <t>Formerly PE-Backed</t>
        </is>
      </c>
      <c r="Z130" s="13" t="inlineStr">
        <is>
          <t>Generating Revenue</t>
        </is>
      </c>
      <c r="AA130" s="13" t="inlineStr">
        <is>
          <t>Parsons (NYS: PSN) (Carey Smith)</t>
        </is>
      </c>
      <c r="AB130" s="13" t="inlineStr">
        <is>
          <t>IT Consulting and Outsourcing</t>
        </is>
      </c>
      <c r="AC130" s="13" t="inlineStr">
        <is>
          <t>Industrials</t>
        </is>
      </c>
      <c r="AD130" s="13" t="inlineStr">
        <is>
          <t>Provider of defense software and system development services intended for command and control, electronic warfare, cyber-spectral operations and other complex military and security applications. The company specializes in developing software, hardware and data management services and utilizes a variety of open source and open government-owned geo-visualization tools and software-defined radio frameworks, enabling clients with the collection, aggregation, transport and visualization of highly complex data sets in a meaningful context to the warfighter.</t>
        </is>
      </c>
      <c r="AE130" s="13" t="inlineStr">
        <is>
          <t>Prince Frederick, MD</t>
        </is>
      </c>
      <c r="AF130" s="13" t="inlineStr">
        <is>
          <t>www.ctic.us</t>
        </is>
      </c>
    </row>
    <row r="131" ht="42" customHeight="1">
      <c r="A131" s="18" t="inlineStr">
        <is>
          <t>USA-130</t>
        </is>
      </c>
      <c r="B131" s="18" t="inlineStr">
        <is>
          <t>USA</t>
        </is>
      </c>
      <c r="C131" s="18" t="inlineStr">
        <is>
          <t>USA</t>
        </is>
      </c>
      <c r="D131" s="19" t="inlineStr">
        <is>
          <t>Schultes Precision Manufacturing</t>
        </is>
      </c>
      <c r="E131" s="19" t="inlineStr">
        <is>
          <t>Helios Technologies</t>
        </is>
      </c>
      <c r="F131" s="18" t="n"/>
      <c r="G131" s="19" t="n"/>
      <c r="H131" s="20" t="n">
        <v>44953</v>
      </c>
      <c r="I131" s="20" t="n"/>
      <c r="J131" s="21" t="n">
        <v>2023</v>
      </c>
      <c r="K131" s="19" t="inlineStr">
        <is>
          <t>Merger/Acquisition</t>
        </is>
      </c>
      <c r="L131" s="19" t="n"/>
      <c r="M131" s="19" t="inlineStr">
        <is>
          <t>Completed</t>
        </is>
      </c>
      <c r="N131" s="22" t="n">
        <v>84.7</v>
      </c>
      <c r="O131" s="18" t="inlineStr">
        <is>
          <t>USD</t>
        </is>
      </c>
      <c r="P131" s="50" t="n">
        <v>2.82</v>
      </c>
      <c r="R131" s="37" t="n"/>
      <c r="S131" s="22" t="n"/>
      <c r="T131" s="37" t="n">
        <v>2.82</v>
      </c>
      <c r="U131" s="22" t="n">
        <v>30</v>
      </c>
      <c r="V131" s="19" t="n"/>
      <c r="W131" s="22" t="n">
        <v>84.7</v>
      </c>
      <c r="X131" s="19" t="inlineStr">
        <is>
          <t>The company was acquired by Helios Technologies (NYS: HLIO) for $84.7 million on January 27, 2023. The acquisition will enable Helios Technologies to expand and diversify its markets and continues to optimize its manufacturing and operating footprint.</t>
        </is>
      </c>
      <c r="Y131" s="19" t="inlineStr">
        <is>
          <t>Corporate Backed or Acquired</t>
        </is>
      </c>
      <c r="Z131" s="19" t="inlineStr">
        <is>
          <t>Generating Revenue</t>
        </is>
      </c>
      <c r="AA131" s="19" t="inlineStr">
        <is>
          <t>Helios Technologies (NYS: HLIO) (Josef Matosevic)</t>
        </is>
      </c>
      <c r="AB131" s="19" t="inlineStr">
        <is>
          <t>Machinery (B2B)</t>
        </is>
      </c>
      <c r="AC131" s="19" t="inlineStr">
        <is>
          <t>Manufacturing</t>
        </is>
      </c>
      <c r="AD131" s="19" t="inlineStr">
        <is>
          <t>Manufacturer of machinery components catering to hydraulic, aerospace, communication, food services, medical device, and dental industries. The company offers precision-machined components and assemblies, such as CNC turning, flex manufacturing, CNC milling, and Swiss machining, thereby enabling industries' robust, capable machining processes, as well as reducing cycle time.</t>
        </is>
      </c>
      <c r="AE131" s="19" t="inlineStr">
        <is>
          <t>Buffalo Grove, IL</t>
        </is>
      </c>
      <c r="AF131" s="19" t="inlineStr">
        <is>
          <t>www.schultes.com</t>
        </is>
      </c>
    </row>
    <row r="132" ht="42" customHeight="1">
      <c r="A132" s="12" t="inlineStr">
        <is>
          <t>USA-131</t>
        </is>
      </c>
      <c r="B132" s="12" t="inlineStr">
        <is>
          <t>USA</t>
        </is>
      </c>
      <c r="C132" s="12" t="inlineStr">
        <is>
          <t>USA</t>
        </is>
      </c>
      <c r="D132" s="13" t="inlineStr">
        <is>
          <t>Anokiwave</t>
        </is>
      </c>
      <c r="E132" s="13" t="inlineStr">
        <is>
          <t>Qorvo</t>
        </is>
      </c>
      <c r="F132" s="12" t="n"/>
      <c r="G132" s="13" t="n"/>
      <c r="H132" s="14" t="n">
        <v>45327</v>
      </c>
      <c r="I132" s="14" t="n"/>
      <c r="J132" s="15" t="n">
        <v>2024</v>
      </c>
      <c r="K132" s="13" t="inlineStr">
        <is>
          <t>Merger/Acquisition</t>
        </is>
      </c>
      <c r="L132" s="13" t="n"/>
      <c r="M132" s="13" t="inlineStr">
        <is>
          <t>Completed</t>
        </is>
      </c>
      <c r="N132" s="16" t="n">
        <v>83</v>
      </c>
      <c r="O132" s="12" t="inlineStr">
        <is>
          <t>USD</t>
        </is>
      </c>
      <c r="R132" s="36" t="n"/>
      <c r="S132" s="16" t="n"/>
      <c r="T132" s="36" t="n"/>
      <c r="U132" s="16" t="n"/>
      <c r="V132" s="13" t="n"/>
      <c r="W132" s="16" t="n">
        <v>83</v>
      </c>
      <c r="X132" s="13" t="inlineStr">
        <is>
          <t>The company was acquired by Qorvo (NAS: QRVO) for $83 million on February 5, 2024.</t>
        </is>
      </c>
      <c r="Y132" s="13" t="inlineStr">
        <is>
          <t>Formerly VC-backed</t>
        </is>
      </c>
      <c r="Z132" s="13" t="inlineStr">
        <is>
          <t>Generating Revenue</t>
        </is>
      </c>
      <c r="AA132" s="13" t="inlineStr">
        <is>
          <t>Qorvo (NAS: QRVO) (Philip Chesley)</t>
        </is>
      </c>
      <c r="AB132" s="13" t="inlineStr">
        <is>
          <t>Application Specific Semiconductors</t>
        </is>
      </c>
      <c r="AC132" s="13" t="inlineStr">
        <is>
          <t>Manufacturing</t>
        </is>
      </c>
      <c r="AD132" s="13" t="inlineStr">
        <is>
          <t>Manufacturer of fabless semiconductors intended for the wireless communication industry. The company offers low-cost integrated silicon cores for millimeter wave and other wireless communication markets to allow large-scale commercialization of phased array active antennas, enabling commercial and military industries to reduce manufacturing costs and time to market new technologies and solve huge engineering problems.</t>
        </is>
      </c>
      <c r="AE132" s="13" t="inlineStr">
        <is>
          <t>Billerica, MA</t>
        </is>
      </c>
      <c r="AF132" s="13" t="inlineStr">
        <is>
          <t>www.anokiwave.com</t>
        </is>
      </c>
    </row>
    <row r="133" ht="42" customHeight="1">
      <c r="A133" s="18" t="inlineStr">
        <is>
          <t>USA-132</t>
        </is>
      </c>
      <c r="B133" s="18" t="inlineStr">
        <is>
          <t>USA</t>
        </is>
      </c>
      <c r="C133" s="18" t="inlineStr">
        <is>
          <t>USA</t>
        </is>
      </c>
      <c r="D133" s="19" t="inlineStr">
        <is>
          <t>Metal Technology (US)</t>
        </is>
      </c>
      <c r="E133" s="19" t="inlineStr">
        <is>
          <t>Karman Holdings</t>
        </is>
      </c>
      <c r="F133" s="18" t="n"/>
      <c r="G133" s="19" t="n"/>
      <c r="H133" s="20" t="n">
        <v>45749</v>
      </c>
      <c r="I133" s="20" t="n"/>
      <c r="J133" s="21" t="n">
        <v>2025</v>
      </c>
      <c r="K133" s="19" t="inlineStr">
        <is>
          <t>Merger/Acquisition</t>
        </is>
      </c>
      <c r="L133" s="19" t="n"/>
      <c r="M133" s="19" t="inlineStr">
        <is>
          <t>Completed</t>
        </is>
      </c>
      <c r="N133" s="22" t="n">
        <v>82.3</v>
      </c>
      <c r="O133" s="18" t="inlineStr">
        <is>
          <t>USD</t>
        </is>
      </c>
      <c r="R133" s="37" t="n"/>
      <c r="S133" s="22" t="n"/>
      <c r="T133" s="37" t="n"/>
      <c r="U133" s="22" t="n"/>
      <c r="V133" s="19" t="n"/>
      <c r="W133" s="22" t="n">
        <v>82.3</v>
      </c>
      <c r="X133" s="19" t="inlineStr">
        <is>
          <t>The company was acquired by Karman Holdings (NYS: KRMN) for $82.3 million on April 2, 2025. The acquisition expands Karman Holdings's capabilities in advanced materials and is expected to strengthen its position in the strategic missile defense market through enhanced product offerings and customer relationships.</t>
        </is>
      </c>
      <c r="Y133" s="19" t="inlineStr">
        <is>
          <t>Formerly PE-Backed</t>
        </is>
      </c>
      <c r="Z133" s="19" t="inlineStr">
        <is>
          <t>Generating Revenue</t>
        </is>
      </c>
      <c r="AA133" s="19" t="inlineStr">
        <is>
          <t>Karman Holdings (NYS: KRMN) (Tony Koblinski)</t>
        </is>
      </c>
      <c r="AB133" s="19" t="inlineStr">
        <is>
          <t>Metal Containers and Packaging</t>
        </is>
      </c>
      <c r="AC133" s="19" t="inlineStr">
        <is>
          <t>Manufacturing</t>
        </is>
      </c>
      <c r="AD133" s="19" t="inlineStr">
        <is>
          <t>Manufacturer of industrial, laboratory, and chemical containers and apparatus designed for aerospace, defense, vacuum coating, medical, nuclear, and other industries. The company uses deep-draw forming, forging, spinning, machining, and additive manufacturing methodologies to produce corrosion and high-temperature-resistant crucibles, vanadium cans, cyclotrons, and other refractory metal products.</t>
        </is>
      </c>
      <c r="AE133" s="19" t="inlineStr">
        <is>
          <t>Albany, OR</t>
        </is>
      </c>
      <c r="AF133" s="19" t="inlineStr">
        <is>
          <t>www.mtialbany.com</t>
        </is>
      </c>
    </row>
    <row r="134" ht="42" customHeight="1">
      <c r="A134" s="12" t="inlineStr">
        <is>
          <t>USA-133</t>
        </is>
      </c>
      <c r="B134" s="12" t="inlineStr">
        <is>
          <t>USA</t>
        </is>
      </c>
      <c r="C134" s="12" t="inlineStr">
        <is>
          <t>USA</t>
        </is>
      </c>
      <c r="D134" s="13" t="inlineStr">
        <is>
          <t>Martin Calibration</t>
        </is>
      </c>
      <c r="E134" s="13" t="inlineStr">
        <is>
          <t>Transcat</t>
        </is>
      </c>
      <c r="F134" s="12" t="n"/>
      <c r="G134" s="13" t="n"/>
      <c r="H134" s="14" t="n">
        <v>45636</v>
      </c>
      <c r="I134" s="14" t="n"/>
      <c r="J134" s="15" t="n">
        <v>2024</v>
      </c>
      <c r="K134" s="13" t="inlineStr">
        <is>
          <t>Merger/Acquisition</t>
        </is>
      </c>
      <c r="L134" s="13" t="n"/>
      <c r="M134" s="13" t="inlineStr">
        <is>
          <t>Completed</t>
        </is>
      </c>
      <c r="N134" s="16" t="n">
        <v>81.81</v>
      </c>
      <c r="O134" s="12" t="inlineStr">
        <is>
          <t>USD</t>
        </is>
      </c>
      <c r="P134" s="50" t="n">
        <v>3.27</v>
      </c>
      <c r="R134" s="36" t="n"/>
      <c r="S134" s="16" t="n"/>
      <c r="T134" s="36" t="n">
        <v>3.27</v>
      </c>
      <c r="U134" s="16" t="n">
        <v>25</v>
      </c>
      <c r="V134" s="13" t="n"/>
      <c r="W134" s="16" t="n">
        <v>81.81</v>
      </c>
      <c r="X134" s="13" t="inlineStr">
        <is>
          <t>The company was acquired by Transcat (NAS: TRNS) for an estimated $81.806 million on December 10, 2024. The purchase consideration was paid in a combination of $71.9 million in cash and $9.9 million in Transcat's common stock. This strategic acquisition expands Transcat's geographic reach, increasing its capabilities and expertise, and providing it with two bolt-on opportunities (Los Angeles and Tempe) that will leverage its existing infrastructure.</t>
        </is>
      </c>
      <c r="Y134" s="13" t="inlineStr">
        <is>
          <t>Corporate Backed or Acquired</t>
        </is>
      </c>
      <c r="Z134" s="13" t="inlineStr">
        <is>
          <t>Generating Revenue</t>
        </is>
      </c>
      <c r="AA134" s="13" t="inlineStr">
        <is>
          <t>Transcat (NAS: TRNS) (Lee Rudow)</t>
        </is>
      </c>
      <c r="AB134" s="13" t="inlineStr">
        <is>
          <t>Other Commercial Services</t>
        </is>
      </c>
      <c r="AC134" s="13" t="n"/>
      <c r="AD134" s="13" t="inlineStr">
        <is>
          <t>Provider of calibration services intended to serve the aerospace, automotive, medical, nuclear and manufacturing sectors. The company offers dimensional calibration, electronic calibration, physical calibration, temperature calibration and flow calibration.</t>
        </is>
      </c>
      <c r="AE134" s="13" t="inlineStr">
        <is>
          <t>Burnsville, MN</t>
        </is>
      </c>
      <c r="AF134" s="13" t="inlineStr">
        <is>
          <t>www.martincalibration.com</t>
        </is>
      </c>
    </row>
    <row r="135" ht="42" customHeight="1">
      <c r="A135" s="18" t="inlineStr">
        <is>
          <t>USA-134</t>
        </is>
      </c>
      <c r="B135" s="18" t="inlineStr">
        <is>
          <t>USA</t>
        </is>
      </c>
      <c r="C135" s="18" t="inlineStr">
        <is>
          <t>USA</t>
        </is>
      </c>
      <c r="D135" s="19" t="inlineStr">
        <is>
          <t>Micro-Mode Products</t>
        </is>
      </c>
      <c r="E135" s="19" t="inlineStr">
        <is>
          <t>ITT</t>
        </is>
      </c>
      <c r="F135" s="18" t="n"/>
      <c r="G135" s="19" t="n"/>
      <c r="H135" s="20" t="n">
        <v>45048</v>
      </c>
      <c r="I135" s="20" t="n"/>
      <c r="J135" s="21" t="n">
        <v>2023</v>
      </c>
      <c r="K135" s="19" t="inlineStr">
        <is>
          <t>Merger/Acquisition</t>
        </is>
      </c>
      <c r="L135" s="19" t="n"/>
      <c r="M135" s="19" t="inlineStr">
        <is>
          <t>Completed</t>
        </is>
      </c>
      <c r="N135" s="22" t="n">
        <v>79.3</v>
      </c>
      <c r="O135" s="18" t="inlineStr">
        <is>
          <t>USD</t>
        </is>
      </c>
      <c r="P135" s="50" t="n">
        <v>3.05</v>
      </c>
      <c r="R135" s="37" t="n"/>
      <c r="S135" s="22" t="n"/>
      <c r="T135" s="37" t="n">
        <v>3.05</v>
      </c>
      <c r="U135" s="22" t="n">
        <v>26</v>
      </c>
      <c r="V135" s="19" t="n"/>
      <c r="W135" s="22" t="n">
        <v>79.3</v>
      </c>
      <c r="X135" s="19" t="inlineStr">
        <is>
          <t>The company was acquired by Itt (NYS: ITT) for approximately $79.3 million on May 2, 2023. This acquisition will help Itt (NYS: ITT) in growing its existing North America connectors platform, which is a part of its Connect &amp; Control Technologies (CCT) segment.</t>
        </is>
      </c>
      <c r="Y135" s="19" t="inlineStr">
        <is>
          <t>Corporate Backed or Acquired</t>
        </is>
      </c>
      <c r="Z135" s="19" t="inlineStr">
        <is>
          <t>Generating Revenue</t>
        </is>
      </c>
      <c r="AA135" s="19" t="inlineStr">
        <is>
          <t>ITT (NYS: ITT) (Luca Savi)</t>
        </is>
      </c>
      <c r="AB135" s="19" t="inlineStr">
        <is>
          <t>Aerospace and Defense</t>
        </is>
      </c>
      <c r="AC135" s="19" t="n"/>
      <c r="AD135" s="19" t="inlineStr">
        <is>
          <t>Manufacturer of radio frequency and hermetic connectors intended to serve the military, aerospace and commercial industries. The company's products include blindmate connectors, calibration kits for blindmate connectors, locking blindmate connectors, threaded connectors, hermetic products and cable assemblies enabling its customers to get standard products and timely deliveries.</t>
        </is>
      </c>
      <c r="AE135" s="19" t="inlineStr">
        <is>
          <t>El Cajon, CA</t>
        </is>
      </c>
      <c r="AF135" s="19" t="inlineStr">
        <is>
          <t>www.micromode.com</t>
        </is>
      </c>
    </row>
    <row r="136" ht="42" customHeight="1">
      <c r="A136" s="12" t="inlineStr">
        <is>
          <t>USA-135</t>
        </is>
      </c>
      <c r="B136" s="12" t="inlineStr">
        <is>
          <t>USA</t>
        </is>
      </c>
      <c r="C136" s="12" t="inlineStr">
        <is>
          <t>USA</t>
        </is>
      </c>
      <c r="D136" s="13" t="inlineStr">
        <is>
          <t>Akoustis Technologies</t>
        </is>
      </c>
      <c r="E136" s="13" t="inlineStr">
        <is>
          <t>SpaceX</t>
        </is>
      </c>
      <c r="F136" s="12" t="n"/>
      <c r="G136" s="13" t="n"/>
      <c r="H136" s="14" t="n">
        <v>45804</v>
      </c>
      <c r="I136" s="14" t="n"/>
      <c r="J136" s="15" t="n">
        <v>2025</v>
      </c>
      <c r="K136" s="13" t="inlineStr">
        <is>
          <t>Merger/Acquisition</t>
        </is>
      </c>
      <c r="L136" s="13" t="n"/>
      <c r="M136" s="13" t="inlineStr">
        <is>
          <t>Completed</t>
        </is>
      </c>
      <c r="N136" s="16" t="n">
        <v>75.73999999999999</v>
      </c>
      <c r="O136" s="12" t="inlineStr">
        <is>
          <t>USD</t>
        </is>
      </c>
      <c r="R136" s="36" t="n"/>
      <c r="S136" s="16" t="n"/>
      <c r="T136" s="36" t="n"/>
      <c r="U136" s="16" t="n"/>
      <c r="V136" s="13" t="n"/>
      <c r="W136" s="16" t="n">
        <v>75.73999999999999</v>
      </c>
      <c r="X136" s="13" t="inlineStr">
        <is>
          <t>The company was acquired by SpaceX (NAS: SPCX) for $75.737 million on May 27, 2025.</t>
        </is>
      </c>
      <c r="Y136" s="13" t="inlineStr">
        <is>
          <t>Corporate Backed or Acquired</t>
        </is>
      </c>
      <c r="Z136" s="13" t="inlineStr">
        <is>
          <t>Generating Revenue</t>
        </is>
      </c>
      <c r="AA136" s="13" t="inlineStr">
        <is>
          <t>SpaceX</t>
        </is>
      </c>
      <c r="AB136" s="13" t="inlineStr">
        <is>
          <t>Wireless Communications Equipment</t>
        </is>
      </c>
      <c r="AC136" s="13" t="inlineStr">
        <is>
          <t>Internet of Things, Manufacturing</t>
        </is>
      </c>
      <c r="AD136" s="13" t="inlineStr">
        <is>
          <t>Akoustis Technologies Inc is an emerging commercial product company focused on developing, designing, and manufacturing innovative RF filter solutions for the wireless industry, including for products such as smartphones and tablets, network infrastructure equipment, WiFi Customer Premise Equipment and defense applications. The company has developed a proprietary microelectromechanical system based bulk acoustic wave technology and a unique manufacturing process flow, called XBAW, for filters produced for use in RFFE modules. The company derives revenue from the sale of filter products under individual customer purchase orders, some of which have underlying master sales agreements that specify terms governing the product sales.</t>
        </is>
      </c>
      <c r="AE136" s="13" t="inlineStr">
        <is>
          <t>Huntersville, NC</t>
        </is>
      </c>
      <c r="AF136" s="13" t="inlineStr">
        <is>
          <t>www.akoustis.com</t>
        </is>
      </c>
    </row>
    <row r="137" ht="42" customHeight="1">
      <c r="A137" s="18" t="inlineStr">
        <is>
          <t>USA-136</t>
        </is>
      </c>
      <c r="B137" s="18" t="inlineStr">
        <is>
          <t>USA</t>
        </is>
      </c>
      <c r="C137" s="18" t="inlineStr">
        <is>
          <t>USA</t>
        </is>
      </c>
      <c r="D137" s="19" t="inlineStr">
        <is>
          <t>Spalding Consulting</t>
        </is>
      </c>
      <c r="E137" s="19" t="inlineStr">
        <is>
          <t>Saalex</t>
        </is>
      </c>
      <c r="F137" s="18" t="n"/>
      <c r="G137" s="19" t="n"/>
      <c r="H137" s="20" t="n">
        <v>45314</v>
      </c>
      <c r="I137" s="20" t="n"/>
      <c r="J137" s="21" t="n">
        <v>2024</v>
      </c>
      <c r="K137" s="19" t="inlineStr">
        <is>
          <t>Merger/Acquisition</t>
        </is>
      </c>
      <c r="L137" s="19" t="n"/>
      <c r="M137" s="19" t="inlineStr">
        <is>
          <t>Completed</t>
        </is>
      </c>
      <c r="N137" s="22" t="n">
        <v>75</v>
      </c>
      <c r="O137" s="18" t="inlineStr">
        <is>
          <t>USD</t>
        </is>
      </c>
      <c r="P137" s="50" t="n">
        <v>1</v>
      </c>
      <c r="R137" s="37" t="n"/>
      <c r="S137" s="22" t="n"/>
      <c r="T137" s="37" t="n">
        <v>1</v>
      </c>
      <c r="U137" s="22" t="n">
        <v>75</v>
      </c>
      <c r="V137" s="19" t="n"/>
      <c r="W137" s="22" t="n">
        <v>75</v>
      </c>
      <c r="X137" s="19" t="inlineStr">
        <is>
          <t>The company was acquired by Saalex for $75 million on January 23, 2024. The acquisition helps Saalex enhances their software-development services.</t>
        </is>
      </c>
      <c r="Y137" s="19" t="inlineStr">
        <is>
          <t>Corporate Backed or Acquired</t>
        </is>
      </c>
      <c r="Z137" s="19" t="inlineStr">
        <is>
          <t>Generating Revenue</t>
        </is>
      </c>
      <c r="AA137" s="19" t="inlineStr">
        <is>
          <t>Saalex (Travis Mack)</t>
        </is>
      </c>
      <c r="AB137" s="19" t="inlineStr">
        <is>
          <t>IT Consulting and Outsourcing</t>
        </is>
      </c>
      <c r="AC137" s="19" t="inlineStr">
        <is>
          <t>TMT</t>
        </is>
      </c>
      <c r="AD137" s="19" t="inlineStr">
        <is>
          <t>Provider of Information Technology services catering to the Department of Defense. The company specializes in program management, financial management, software development, research and development, prototyping and development, mobile application, microservices architecture design, legacy systems, migration and other services.</t>
        </is>
      </c>
      <c r="AE137" s="19" t="inlineStr">
        <is>
          <t>Lexington Park, MD</t>
        </is>
      </c>
      <c r="AF137" s="19" t="inlineStr">
        <is>
          <t>www.scipax.com</t>
        </is>
      </c>
    </row>
    <row r="138" ht="42" customHeight="1">
      <c r="A138" s="12" t="inlineStr">
        <is>
          <t>USA-137</t>
        </is>
      </c>
      <c r="B138" s="12" t="inlineStr">
        <is>
          <t>USA</t>
        </is>
      </c>
      <c r="C138" s="12" t="inlineStr">
        <is>
          <t>USA</t>
        </is>
      </c>
      <c r="D138" s="13" t="inlineStr">
        <is>
          <t>HIS Innovations Group</t>
        </is>
      </c>
      <c r="E138" s="13" t="inlineStr">
        <is>
          <t>Ultra Clean Holdings</t>
        </is>
      </c>
      <c r="F138" s="12" t="n"/>
      <c r="G138" s="13" t="n"/>
      <c r="H138" s="14" t="n">
        <v>45224</v>
      </c>
      <c r="I138" s="14" t="n"/>
      <c r="J138" s="15" t="n">
        <v>2023</v>
      </c>
      <c r="K138" s="13" t="inlineStr">
        <is>
          <t>Merger/Acquisition</t>
        </is>
      </c>
      <c r="L138" s="13" t="n"/>
      <c r="M138" s="13" t="inlineStr">
        <is>
          <t>Completed</t>
        </is>
      </c>
      <c r="N138" s="16" t="n">
        <v>73.59999999999999</v>
      </c>
      <c r="O138" s="12" t="inlineStr">
        <is>
          <t>USD</t>
        </is>
      </c>
      <c r="R138" s="36" t="n"/>
      <c r="S138" s="16" t="n"/>
      <c r="T138" s="36" t="n"/>
      <c r="U138" s="16" t="n"/>
      <c r="V138" s="13" t="n"/>
      <c r="W138" s="16" t="n">
        <v>73.59999999999999</v>
      </c>
      <c r="X138" s="13" t="inlineStr">
        <is>
          <t>The company was acquired by Ultra Clean Holdings (NAS: UCTT) for $73.6 Million on October 25, 2023.</t>
        </is>
      </c>
      <c r="Y138" s="13" t="inlineStr">
        <is>
          <t>Formerly PE-Backed</t>
        </is>
      </c>
      <c r="Z138" s="13" t="inlineStr">
        <is>
          <t>Generating Revenue</t>
        </is>
      </c>
      <c r="AA138" s="13" t="inlineStr">
        <is>
          <t>Ultra Clean Holdings (NAS: UCTT) (James Scholhamer)</t>
        </is>
      </c>
      <c r="AB138" s="13" t="inlineStr">
        <is>
          <t>Industrial Supplies and Parts</t>
        </is>
      </c>
      <c r="AC138" s="13" t="inlineStr">
        <is>
          <t>Manufacturing</t>
        </is>
      </c>
      <c r="AD138" s="13" t="inlineStr">
        <is>
          <t>Manufacturer and distributor of steel components and systems intended for semiconductor, biopharmaceutical, aerospace and defense and national research laboratories. The company specializes in off-the-shelf high vacuum and ultra-high vacuum stainless steel components and systems and stainless steel fabrication services, enabling its clients with tailored assistance.</t>
        </is>
      </c>
      <c r="AE138" s="13" t="inlineStr">
        <is>
          <t>Hillsboro, OR</t>
        </is>
      </c>
      <c r="AF138" s="13" t="inlineStr">
        <is>
          <t>www.hisinnovations.com</t>
        </is>
      </c>
    </row>
    <row r="139" ht="42" customHeight="1">
      <c r="A139" s="18" t="inlineStr">
        <is>
          <t>USA-138</t>
        </is>
      </c>
      <c r="B139" s="18" t="inlineStr">
        <is>
          <t>USA</t>
        </is>
      </c>
      <c r="C139" s="18" t="inlineStr">
        <is>
          <t>USA</t>
        </is>
      </c>
      <c r="D139" s="19" t="inlineStr">
        <is>
          <t>Micropac Industries</t>
        </is>
      </c>
      <c r="E139" s="19" t="inlineStr">
        <is>
          <t>Teledyne Technologies</t>
        </is>
      </c>
      <c r="F139" s="18" t="n"/>
      <c r="G139" s="19" t="n"/>
      <c r="H139" s="20" t="n">
        <v>45656</v>
      </c>
      <c r="I139" s="20" t="n"/>
      <c r="J139" s="21" t="n">
        <v>2024</v>
      </c>
      <c r="K139" s="19" t="inlineStr">
        <is>
          <t>Merger/Acquisition</t>
        </is>
      </c>
      <c r="L139" s="19" t="n"/>
      <c r="M139" s="19" t="inlineStr">
        <is>
          <t>Completed</t>
        </is>
      </c>
      <c r="N139" s="22" t="n">
        <v>73.05</v>
      </c>
      <c r="O139" s="18" t="inlineStr">
        <is>
          <t>USD</t>
        </is>
      </c>
      <c r="P139" s="50" t="n">
        <v>1.65</v>
      </c>
      <c r="Q139" s="50" t="n">
        <v>9.630000000000001</v>
      </c>
      <c r="R139" s="37" t="n">
        <v>11.38</v>
      </c>
      <c r="S139" s="22" t="n">
        <v>6.42</v>
      </c>
      <c r="T139" s="37" t="n">
        <v>1.96</v>
      </c>
      <c r="U139" s="22" t="n">
        <v>37.36</v>
      </c>
      <c r="V139" s="19" t="n"/>
      <c r="W139" s="22" t="n">
        <v>73.05</v>
      </c>
      <c r="X139" s="19" t="inlineStr">
        <is>
          <t>The company was acquired by Teledyne Technologies (NYS: TDY) for $73.048 million on December 30, 2024.</t>
        </is>
      </c>
      <c r="Y139" s="19" t="inlineStr">
        <is>
          <t>Corporate Backed or Acquired</t>
        </is>
      </c>
      <c r="Z139" s="19" t="inlineStr">
        <is>
          <t>Generating Revenue</t>
        </is>
      </c>
      <c r="AA139" s="19" t="inlineStr">
        <is>
          <t>Teledyne Technologies (NYS: TDY) (Robert Mehrabian)</t>
        </is>
      </c>
      <c r="AB139" s="19" t="inlineStr">
        <is>
          <t>Aerospace and Defense</t>
        </is>
      </c>
      <c r="AC139" s="19" t="inlineStr">
        <is>
          <t>Manufacturing, TMT</t>
        </is>
      </c>
      <c r="AD139" s="19" t="inlineStr">
        <is>
          <t>Micropac Industries Inc manufactures and distributes a range of hybrid microelectronic circuits, solid-state relays (SSRs), power controllers, and optoelectronic components and assemblies. Its products are used as components in a range of military, space, and industrial systems, including aircraft instrumentation and navigation systems, power supplies, electronic controls, computers, medical devices, and high-temperature products. The company's core technology is the packaging and interconnecting of multi-chip microelectronics modules. Other technologies include light-emitting, and light-sensitive materials and products, including light-emitting diodes (LEDs) and silicon phototransistors used in the company's optoelectronic components and assemblies.</t>
        </is>
      </c>
      <c r="AE139" s="19" t="inlineStr">
        <is>
          <t>Garland, TX</t>
        </is>
      </c>
      <c r="AF139" s="19" t="inlineStr">
        <is>
          <t>www.micropac.com</t>
        </is>
      </c>
    </row>
    <row r="140" ht="42" customHeight="1">
      <c r="A140" s="12" t="inlineStr">
        <is>
          <t>USA-139</t>
        </is>
      </c>
      <c r="B140" s="12" t="inlineStr">
        <is>
          <t>USA</t>
        </is>
      </c>
      <c r="C140" s="12" t="inlineStr">
        <is>
          <t>USA</t>
        </is>
      </c>
      <c r="D140" s="13" t="inlineStr">
        <is>
          <t>Lake City Heat Treating</t>
        </is>
      </c>
      <c r="E140" s="13" t="inlineStr">
        <is>
          <t>Bodycote</t>
        </is>
      </c>
      <c r="F140" s="12" t="n"/>
      <c r="G140" s="13" t="n"/>
      <c r="H140" s="14" t="n">
        <v>45310</v>
      </c>
      <c r="I140" s="14" t="n"/>
      <c r="J140" s="15" t="n">
        <v>2024</v>
      </c>
      <c r="K140" s="13" t="inlineStr">
        <is>
          <t>Merger/Acquisition</t>
        </is>
      </c>
      <c r="L140" s="13" t="n"/>
      <c r="M140" s="13" t="inlineStr">
        <is>
          <t>Completed</t>
        </is>
      </c>
      <c r="N140" s="16" t="n">
        <v>66.36</v>
      </c>
      <c r="O140" s="12" t="inlineStr">
        <is>
          <t>USD</t>
        </is>
      </c>
      <c r="P140" s="50" t="n">
        <v>4.74</v>
      </c>
      <c r="R140" s="36" t="n"/>
      <c r="S140" s="16" t="n"/>
      <c r="T140" s="36" t="n">
        <v>4.74</v>
      </c>
      <c r="U140" s="16" t="n">
        <v>14</v>
      </c>
      <c r="V140" s="13" t="n"/>
      <c r="W140" s="16" t="n">
        <v>66.36</v>
      </c>
      <c r="X140" s="13" t="inlineStr">
        <is>
          <t>The company was acquired by Bodycote (LON: BOY) for GBP 52.2 million on January 19, 2024. The acquisition enables Bodycote to enhance and drive further growth in its specialist technologies business.</t>
        </is>
      </c>
      <c r="Y140" s="13" t="inlineStr">
        <is>
          <t>Corporate Backed or Acquired</t>
        </is>
      </c>
      <c r="Z140" s="13" t="inlineStr">
        <is>
          <t>Generating Revenue</t>
        </is>
      </c>
      <c r="AA140" s="13" t="inlineStr">
        <is>
          <t>Bodycote (LON: BOY)</t>
        </is>
      </c>
      <c r="AB140" s="13" t="inlineStr">
        <is>
          <t>Other Commercial Services</t>
        </is>
      </c>
      <c r="AC140" s="13" t="n"/>
      <c r="AD140" s="13" t="inlineStr">
        <is>
          <t>Provider of heat treating services catering to the aerospace and orthopedic industries. The company offers vacuum heat treating, cryogenic and tempering services for stainless steels, cobalt and nickel alloys and vacuum heat treatable steels as well as hot isostatic pressing services.</t>
        </is>
      </c>
      <c r="AE140" s="13" t="inlineStr">
        <is>
          <t>Warsaw, IN</t>
        </is>
      </c>
      <c r="AF140" s="13" t="inlineStr">
        <is>
          <t>www.lakecityheattreating.com</t>
        </is>
      </c>
    </row>
    <row r="141" ht="42" customHeight="1">
      <c r="A141" s="18" t="inlineStr">
        <is>
          <t>USA-140</t>
        </is>
      </c>
      <c r="B141" s="18" t="inlineStr">
        <is>
          <t>USA</t>
        </is>
      </c>
      <c r="C141" s="18" t="inlineStr">
        <is>
          <t>USA</t>
        </is>
      </c>
      <c r="D141" s="19" t="inlineStr">
        <is>
          <t>Estes Energetics</t>
        </is>
      </c>
      <c r="E141" s="19" t="inlineStr">
        <is>
          <t>Voyager</t>
        </is>
      </c>
      <c r="F141" s="18" t="n"/>
      <c r="G141" s="19" t="n"/>
      <c r="H141" s="20" t="n">
        <v>45980</v>
      </c>
      <c r="I141" s="20" t="n"/>
      <c r="J141" s="21" t="n">
        <v>2025</v>
      </c>
      <c r="K141" s="19" t="inlineStr">
        <is>
          <t>Merger/Acquisition</t>
        </is>
      </c>
      <c r="L141" s="19" t="n"/>
      <c r="M141" s="19" t="inlineStr">
        <is>
          <t>Completed</t>
        </is>
      </c>
      <c r="N141" s="22" t="n">
        <v>64.09999999999999</v>
      </c>
      <c r="O141" s="18" t="inlineStr">
        <is>
          <t>USD</t>
        </is>
      </c>
      <c r="R141" s="37" t="n"/>
      <c r="S141" s="22" t="n"/>
      <c r="T141" s="37" t="n"/>
      <c r="U141" s="22" t="n"/>
      <c r="V141" s="19" t="n"/>
      <c r="W141" s="22" t="n">
        <v>64.09999999999999</v>
      </c>
      <c r="X141" s="19" t="inlineStr">
        <is>
          <t>The company was acquired by Voyager (NYS: VOYG) for $64.1 million on November 19, 2025. The purchase price was comprised of $54.6 million in cash and $9.5 million in equity. Through the acquisition, Voyager turned a historical vulnerability into a strategic advantage, restoring the only U.S. black powder facility and securing onshore production and surge capacity aligned with national defense priorities.</t>
        </is>
      </c>
      <c r="Y141" s="19" t="inlineStr">
        <is>
          <t>Corporate Backed or Acquired</t>
        </is>
      </c>
      <c r="Z141" s="19" t="inlineStr">
        <is>
          <t>Generating Revenue</t>
        </is>
      </c>
      <c r="AA141" s="19" t="inlineStr">
        <is>
          <t>Voyager (NYS: VOYG) (Dylan Taylor)</t>
        </is>
      </c>
      <c r="AB141" s="19" t="inlineStr">
        <is>
          <t>Aerospace and Defense</t>
        </is>
      </c>
      <c r="AC141" s="19" t="inlineStr">
        <is>
          <t>Manufacturing, Space Technology</t>
        </is>
      </c>
      <c r="AD141" s="19" t="inlineStr">
        <is>
          <t>Operator of defense and industrial company intended for production, testing, and integration of small, tactical-sized solid rocket motors. The company specializes in researches, designs, engineers, manufactures, tests, and integrates solid-propellant rocket motors, energetics, and associated technologies for government and commercial customers.</t>
        </is>
      </c>
      <c r="AE141" s="19" t="inlineStr">
        <is>
          <t>CO</t>
        </is>
      </c>
      <c r="AF141" s="19" t="inlineStr">
        <is>
          <t>www.estesenergetics.com</t>
        </is>
      </c>
    </row>
    <row r="142" ht="42" customHeight="1">
      <c r="A142" s="12" t="inlineStr">
        <is>
          <t>USA-141</t>
        </is>
      </c>
      <c r="B142" s="12" t="inlineStr">
        <is>
          <t>USA</t>
        </is>
      </c>
      <c r="C142" s="12" t="inlineStr">
        <is>
          <t>USA</t>
        </is>
      </c>
      <c r="D142" s="13" t="inlineStr">
        <is>
          <t>Cotsworks</t>
        </is>
      </c>
      <c r="E142" s="13" t="inlineStr">
        <is>
          <t>Moog</t>
        </is>
      </c>
      <c r="F142" s="12" t="n"/>
      <c r="G142" s="13" t="n"/>
      <c r="H142" s="14" t="n">
        <v>45845</v>
      </c>
      <c r="I142" s="14" t="n"/>
      <c r="J142" s="15" t="n">
        <v>2025</v>
      </c>
      <c r="K142" s="13" t="inlineStr">
        <is>
          <t>Merger/Acquisition</t>
        </is>
      </c>
      <c r="L142" s="13" t="n"/>
      <c r="M142" s="13" t="inlineStr">
        <is>
          <t>Completed</t>
        </is>
      </c>
      <c r="N142" s="16" t="n">
        <v>63</v>
      </c>
      <c r="O142" s="12" t="inlineStr">
        <is>
          <t>USD</t>
        </is>
      </c>
      <c r="R142" s="36" t="n"/>
      <c r="S142" s="16" t="n"/>
      <c r="T142" s="36" t="n"/>
      <c r="U142" s="16" t="n"/>
      <c r="V142" s="13" t="n"/>
      <c r="W142" s="16" t="n">
        <v>63</v>
      </c>
      <c r="X142" s="13" t="inlineStr">
        <is>
          <t>The company was acquired by Moog (NYS: MOG.A) for $63 million on July 7, 2025.</t>
        </is>
      </c>
      <c r="Y142" s="13" t="inlineStr">
        <is>
          <t>Formerly VC-backed</t>
        </is>
      </c>
      <c r="Z142" s="13" t="inlineStr">
        <is>
          <t>Generating Revenue</t>
        </is>
      </c>
      <c r="AA142" s="13" t="inlineStr">
        <is>
          <t>Moog (NYS: MOG.A) (Joe Alfieri)</t>
        </is>
      </c>
      <c r="AB142" s="13" t="inlineStr">
        <is>
          <t>Fiberoptic Equipment</t>
        </is>
      </c>
      <c r="AC142" s="13" t="inlineStr">
        <is>
          <t>Manufacturing</t>
        </is>
      </c>
      <c r="AD142" s="13" t="inlineStr">
        <is>
          <t>Manufacturer of rugged optical components and subsystems intended to operate in harsh environments. The company offers a transformation from copper to optical networking with navigation, threat detection, and control systems networking, enabling the industrial-military, and commercial aerospace industry to facilitate operations.</t>
        </is>
      </c>
      <c r="AE142" s="13" t="inlineStr">
        <is>
          <t>Cleveland, OH</t>
        </is>
      </c>
      <c r="AF142" s="13" t="inlineStr">
        <is>
          <t>www.cotsworks.moog.com</t>
        </is>
      </c>
    </row>
    <row r="143" ht="42" customHeight="1">
      <c r="A143" s="18" t="inlineStr">
        <is>
          <t>USA-142</t>
        </is>
      </c>
      <c r="B143" s="18" t="inlineStr">
        <is>
          <t>USA</t>
        </is>
      </c>
      <c r="C143" s="18" t="inlineStr">
        <is>
          <t>USA</t>
        </is>
      </c>
      <c r="D143" s="19" t="inlineStr">
        <is>
          <t>Facility to Test &amp; Manufacturing Engineering</t>
        </is>
      </c>
      <c r="E143" s="19" t="inlineStr">
        <is>
          <t>Jabil</t>
        </is>
      </c>
      <c r="F143" s="18" t="n"/>
      <c r="G143" s="19" t="n"/>
      <c r="H143" s="20" t="n">
        <v>45870</v>
      </c>
      <c r="I143" s="20" t="n"/>
      <c r="J143" s="21" t="n">
        <v>2025</v>
      </c>
      <c r="K143" s="19" t="inlineStr">
        <is>
          <t>Merger/Acquisition</t>
        </is>
      </c>
      <c r="L143" s="19" t="n"/>
      <c r="M143" s="19" t="inlineStr">
        <is>
          <t>Completed</t>
        </is>
      </c>
      <c r="N143" s="22" t="n">
        <v>63</v>
      </c>
      <c r="O143" s="18" t="inlineStr">
        <is>
          <t>USD</t>
        </is>
      </c>
      <c r="R143" s="37" t="n"/>
      <c r="S143" s="22" t="n"/>
      <c r="T143" s="37" t="n"/>
      <c r="U143" s="22" t="n"/>
      <c r="V143" s="19" t="n"/>
      <c r="W143" s="22" t="n">
        <v>63</v>
      </c>
      <c r="X143" s="19" t="inlineStr">
        <is>
          <t>The company was acquired by Jabil (NYS: JBL) for $63 million on August 1, 2025.</t>
        </is>
      </c>
      <c r="Y143" s="19" t="inlineStr">
        <is>
          <t>Corporate Backed or Acquired</t>
        </is>
      </c>
      <c r="Z143" s="19" t="inlineStr">
        <is>
          <t>Generating Revenue</t>
        </is>
      </c>
      <c r="AA143" s="19" t="inlineStr">
        <is>
          <t>Jabil (NYS: JBL)</t>
        </is>
      </c>
      <c r="AB143" s="19" t="inlineStr">
        <is>
          <t>Electrical Equipment</t>
        </is>
      </c>
      <c r="AC143" s="19" t="inlineStr">
        <is>
          <t>Manufacturing</t>
        </is>
      </c>
      <c r="AD143" s="19" t="inlineStr">
        <is>
          <t>Manufacturer of electronics products catering to appliances, automotive, healthcare, defense, and aerospace sectors.</t>
        </is>
      </c>
      <c r="AE143" s="19" t="inlineStr">
        <is>
          <t>Saint Petersburg, FL</t>
        </is>
      </c>
      <c r="AF143" s="19" t="n"/>
    </row>
    <row r="144" ht="42" customHeight="1">
      <c r="A144" s="12" t="inlineStr">
        <is>
          <t>USA-143</t>
        </is>
      </c>
      <c r="B144" s="12" t="inlineStr">
        <is>
          <t>USA</t>
        </is>
      </c>
      <c r="C144" s="12" t="inlineStr">
        <is>
          <t>USA</t>
        </is>
      </c>
      <c r="D144" s="13" t="inlineStr">
        <is>
          <t>NWL</t>
        </is>
      </c>
      <c r="E144" s="13" t="inlineStr">
        <is>
          <t>American Superconductor</t>
        </is>
      </c>
      <c r="F144" s="12" t="n"/>
      <c r="G144" s="13" t="n"/>
      <c r="H144" s="14" t="n">
        <v>45509</v>
      </c>
      <c r="I144" s="14" t="n"/>
      <c r="J144" s="15" t="n">
        <v>2024</v>
      </c>
      <c r="K144" s="13" t="inlineStr">
        <is>
          <t>Merger/Acquisition</t>
        </is>
      </c>
      <c r="L144" s="13" t="n"/>
      <c r="M144" s="13" t="inlineStr">
        <is>
          <t>Completed</t>
        </is>
      </c>
      <c r="N144" s="16" t="n">
        <v>61.4</v>
      </c>
      <c r="O144" s="12" t="inlineStr">
        <is>
          <t>USD</t>
        </is>
      </c>
      <c r="P144" s="50" t="n">
        <v>1.9</v>
      </c>
      <c r="R144" s="36" t="n"/>
      <c r="S144" s="16" t="n"/>
      <c r="T144" s="36" t="n">
        <v>1.9</v>
      </c>
      <c r="U144" s="16" t="n">
        <v>32.4</v>
      </c>
      <c r="V144" s="13" t="n"/>
      <c r="W144" s="16" t="n">
        <v>61.4</v>
      </c>
      <c r="X144" s="13" t="inlineStr">
        <is>
          <t>The company was acquired by American Superconductor (NAS: AMSC) for $61.4 million on August 5, 2024. With this acquisition, AMSC extends its product offerings to the military and industrial sectors.</t>
        </is>
      </c>
      <c r="Y144" s="13" t="inlineStr">
        <is>
          <t>Corporate Backed or Acquired</t>
        </is>
      </c>
      <c r="Z144" s="13" t="inlineStr">
        <is>
          <t>Generating Revenue</t>
        </is>
      </c>
      <c r="AA144" s="13" t="inlineStr">
        <is>
          <t>American Superconductor (NAS: AMSC) (Daniel McGahn)</t>
        </is>
      </c>
      <c r="AB144" s="13" t="inlineStr">
        <is>
          <t>Aerospace and Defense</t>
        </is>
      </c>
      <c r="AC144" s="13" t="inlineStr">
        <is>
          <t>Industrials, Manufacturing</t>
        </is>
      </c>
      <c r="AD144" s="13" t="inlineStr">
        <is>
          <t>Manufacturer and designer of power supply equipment and components intended for industrial and defense applications. The company manufactures transformers, inductors, capacitors, and electrostatic precipitator (ESP) products for many industries and applications, including military, industrial, medical, and induction heating markets.</t>
        </is>
      </c>
      <c r="AE144" s="13" t="inlineStr">
        <is>
          <t>Bordentown, NJ</t>
        </is>
      </c>
      <c r="AF144" s="13" t="inlineStr">
        <is>
          <t>www.nwl.com</t>
        </is>
      </c>
    </row>
    <row r="145" ht="42" customHeight="1">
      <c r="A145" s="18" t="inlineStr">
        <is>
          <t>USA-144</t>
        </is>
      </c>
      <c r="B145" s="18" t="inlineStr">
        <is>
          <t>USA</t>
        </is>
      </c>
      <c r="C145" s="18" t="inlineStr">
        <is>
          <t>USA</t>
        </is>
      </c>
      <c r="D145" s="19" t="inlineStr">
        <is>
          <t>CryoWorks</t>
        </is>
      </c>
      <c r="E145" s="19" t="inlineStr">
        <is>
          <t>Crane</t>
        </is>
      </c>
      <c r="F145" s="18" t="n"/>
      <c r="G145" s="19" t="n"/>
      <c r="H145" s="20" t="n">
        <v>45413</v>
      </c>
      <c r="I145" s="20" t="n"/>
      <c r="J145" s="21" t="n">
        <v>2024</v>
      </c>
      <c r="K145" s="19" t="inlineStr">
        <is>
          <t>Merger/Acquisition</t>
        </is>
      </c>
      <c r="L145" s="19" t="n"/>
      <c r="M145" s="19" t="inlineStr">
        <is>
          <t>Completed</t>
        </is>
      </c>
      <c r="N145" s="22" t="n">
        <v>60.7</v>
      </c>
      <c r="O145" s="18" t="inlineStr">
        <is>
          <t>USD</t>
        </is>
      </c>
      <c r="P145" s="50" t="n">
        <v>2.17</v>
      </c>
      <c r="Q145" s="50" t="n">
        <v>12.14</v>
      </c>
      <c r="R145" s="37" t="n">
        <v>12.14</v>
      </c>
      <c r="S145" s="22" t="n">
        <v>5</v>
      </c>
      <c r="T145" s="37" t="n">
        <v>2.17</v>
      </c>
      <c r="U145" s="22" t="n">
        <v>28</v>
      </c>
      <c r="V145" s="19" t="n"/>
      <c r="W145" s="22" t="n">
        <v>60.7</v>
      </c>
      <c r="X145" s="19" t="inlineStr">
        <is>
          <t>The company was acquired by Crane (United States) (NYS: CR) for $60.7 million on May 1, 2024.</t>
        </is>
      </c>
      <c r="Y145" s="19" t="inlineStr">
        <is>
          <t>Corporate Backed or Acquired</t>
        </is>
      </c>
      <c r="Z145" s="19" t="inlineStr">
        <is>
          <t>Generating Revenue</t>
        </is>
      </c>
      <c r="AA145" s="19" t="inlineStr">
        <is>
          <t>Crane (United States) (NYS: CR) (Max Mitchell)</t>
        </is>
      </c>
      <c r="AB145" s="19" t="inlineStr">
        <is>
          <t>Industrial Supplies and Parts</t>
        </is>
      </c>
      <c r="AC145" s="19" t="inlineStr">
        <is>
          <t>Manufacturing</t>
        </is>
      </c>
      <c r="AD145" s="19" t="inlineStr">
        <is>
          <t>Manufacturer and provider of cryogenic piping systems intended to serve its clients in the aerospace, defence, clean energy, food and beverage, semiconductor, electronics, and automotive sectors. The company offers engineering, design, installation, and maintenance services along with products for vacuum-insulated pipes, flexible metal hoses, phase separators, liquid nitrogen dosing, cryogenic valves.</t>
        </is>
      </c>
      <c r="AE145" s="19" t="inlineStr">
        <is>
          <t>Jurupa Valley, CA</t>
        </is>
      </c>
      <c r="AF145" s="19" t="inlineStr">
        <is>
          <t>www.cryoworks.net</t>
        </is>
      </c>
    </row>
    <row r="146" ht="42" customHeight="1">
      <c r="A146" s="12" t="inlineStr">
        <is>
          <t>USA-145</t>
        </is>
      </c>
      <c r="B146" s="12" t="inlineStr">
        <is>
          <t>USA</t>
        </is>
      </c>
      <c r="C146" s="12" t="inlineStr">
        <is>
          <t>USA</t>
        </is>
      </c>
      <c r="D146" s="13" t="inlineStr">
        <is>
          <t>SJ&amp;L General Contractor</t>
        </is>
      </c>
      <c r="E146" s="13" t="inlineStr">
        <is>
          <t>Construction Partners</t>
        </is>
      </c>
      <c r="F146" s="12" t="n"/>
      <c r="G146" s="13" t="n"/>
      <c r="H146" s="14" t="n">
        <v>45289</v>
      </c>
      <c r="I146" s="14" t="n"/>
      <c r="J146" s="15" t="n">
        <v>2023</v>
      </c>
      <c r="K146" s="13" t="inlineStr">
        <is>
          <t>Merger/Acquisition</t>
        </is>
      </c>
      <c r="L146" s="13" t="n"/>
      <c r="M146" s="13" t="inlineStr">
        <is>
          <t>Completed</t>
        </is>
      </c>
      <c r="N146" s="16" t="n">
        <v>60.1</v>
      </c>
      <c r="O146" s="12" t="inlineStr">
        <is>
          <t>USD</t>
        </is>
      </c>
      <c r="R146" s="36" t="n"/>
      <c r="S146" s="16" t="n"/>
      <c r="T146" s="36" t="n"/>
      <c r="U146" s="16" t="n"/>
      <c r="V146" s="13" t="n"/>
      <c r="W146" s="16" t="n">
        <v>60.1</v>
      </c>
      <c r="X146" s="13" t="inlineStr">
        <is>
          <t>The company was acquired by Construction Partners (NAS: ROAD) for $60.1 million on December 29, 2023.</t>
        </is>
      </c>
      <c r="Y146" s="13" t="inlineStr">
        <is>
          <t>Corporate Backed or Acquired</t>
        </is>
      </c>
      <c r="Z146" s="13" t="inlineStr">
        <is>
          <t>Generating Revenue</t>
        </is>
      </c>
      <c r="AA146" s="13" t="inlineStr">
        <is>
          <t>Construction Partners (NAS: ROAD) (Fred Smith)</t>
        </is>
      </c>
      <c r="AB146" s="13" t="inlineStr">
        <is>
          <t>Construction and Engineering</t>
        </is>
      </c>
      <c r="AC146" s="13" t="n"/>
      <c r="AD146" s="13" t="inlineStr">
        <is>
          <t>Operator of a construction and general contracting company serving municipal entities, commercial developers, defense and building contractors. The company specializes in mass grading, storm drainage, sewer, water and concrete improvements, asphalt paving, erosion control, and more along with all aspects of heavy equipment base construction.</t>
        </is>
      </c>
      <c r="AE146" s="13" t="inlineStr">
        <is>
          <t>Huntsville, AL</t>
        </is>
      </c>
      <c r="AF146" s="13" t="inlineStr">
        <is>
          <t>www.sjandl.com</t>
        </is>
      </c>
    </row>
    <row r="147" ht="42" customHeight="1">
      <c r="A147" s="18" t="inlineStr">
        <is>
          <t>USA-146</t>
        </is>
      </c>
      <c r="B147" s="18" t="inlineStr">
        <is>
          <t>USA</t>
        </is>
      </c>
      <c r="C147" s="18" t="inlineStr">
        <is>
          <t>USA</t>
        </is>
      </c>
      <c r="D147" s="19" t="inlineStr">
        <is>
          <t>AIRO Group Holdings (NAS: AIRO)</t>
        </is>
      </c>
      <c r="E147" s="19" t="n"/>
      <c r="F147" s="18" t="n"/>
      <c r="G147" s="19" t="n"/>
      <c r="H147" s="20" t="n">
        <v>45821</v>
      </c>
      <c r="I147" s="20" t="n"/>
      <c r="J147" s="21" t="n">
        <v>2025</v>
      </c>
      <c r="K147" s="19" t="inlineStr">
        <is>
          <t>IPO</t>
        </is>
      </c>
      <c r="L147" s="19" t="n"/>
      <c r="M147" s="19" t="inlineStr">
        <is>
          <t>Completed</t>
        </is>
      </c>
      <c r="N147" s="22" t="n">
        <v>60</v>
      </c>
      <c r="O147" s="18" t="inlineStr">
        <is>
          <t>USD</t>
        </is>
      </c>
      <c r="R147" s="37" t="n">
        <v>-4.79</v>
      </c>
      <c r="S147" s="22" t="n">
        <v>-12.52</v>
      </c>
      <c r="T147" s="37" t="n">
        <v>0.71</v>
      </c>
      <c r="U147" s="22" t="n">
        <v>84.98999999999999</v>
      </c>
      <c r="V147" s="19" t="n"/>
      <c r="W147" s="22" t="n">
        <v>261.74</v>
      </c>
      <c r="X147" s="19" t="inlineStr">
        <is>
          <t>The company raised $60 million in its initial public offering on the Nasdaq stock exchange under the ticker symbol of AIRO on June 13, 2025. A total of 6,000,000 shares were sold at a price of $10 per share. After the offering, there was a total of 26,174,420 outstanding shares (excluding the over-allotment option) priced at $10 per share, valuing the company at $261.74 million. The underwriters were granted an option to purchase up to an additional 900,000 shares from the company to cover over-allotments, if any.</t>
        </is>
      </c>
      <c r="Y147" s="19" t="inlineStr">
        <is>
          <t>Formerly Private Debt Financed</t>
        </is>
      </c>
      <c r="Z147" s="19" t="inlineStr">
        <is>
          <t>Generating Revenue</t>
        </is>
      </c>
      <c r="AA147" s="19" t="n"/>
      <c r="AB147" s="19" t="inlineStr">
        <is>
          <t>Aerospace and Defense</t>
        </is>
      </c>
      <c r="AC147" s="19" t="inlineStr">
        <is>
          <t>Robotics and Drones</t>
        </is>
      </c>
      <c r="AD147" s="19" t="inlineStr">
        <is>
          <t>AIRO Group Holdings Inc is an aerospace, autonomy, and air mobility platform targeting aerospace and defense opportunities. The company is organized into four operating segments: Drones, which derive maximum revenue, Avionics, Training, and Electric Air Mobility. The Drones segment develops, manufactures, and sells drones. The Avionics segment develops, manufactures, and sells avionics for military and general aviation aircraft, drones, and electric vertical takeoff and landing (eVTOL) aircraft. The Training segment provides military pilot training. The Electric Air Mobility segment is developing a rotorcraft eVTOL for cargo and passenger use for fixed route flights, on-demand trips, and Others. Geographically, it operates in United States, which derives majority revenue, and Europe.</t>
        </is>
      </c>
      <c r="AE147" s="19" t="inlineStr">
        <is>
          <t>Albuquerque, NM</t>
        </is>
      </c>
      <c r="AF147" s="19" t="inlineStr">
        <is>
          <t>www.theairogroup.com</t>
        </is>
      </c>
    </row>
    <row r="148" ht="42" customHeight="1">
      <c r="A148" s="12" t="inlineStr">
        <is>
          <t>USA-147</t>
        </is>
      </c>
      <c r="B148" s="12" t="inlineStr">
        <is>
          <t>USA</t>
        </is>
      </c>
      <c r="C148" s="12" t="inlineStr">
        <is>
          <t>USA</t>
        </is>
      </c>
      <c r="D148" s="13" t="inlineStr">
        <is>
          <t>FPT Industries</t>
        </is>
      </c>
      <c r="E148" s="13" t="inlineStr">
        <is>
          <t>TransDigm Group</t>
        </is>
      </c>
      <c r="F148" s="12" t="n"/>
      <c r="G148" s="13" t="n"/>
      <c r="H148" s="14" t="n">
        <v>45352</v>
      </c>
      <c r="I148" s="14" t="n"/>
      <c r="J148" s="15" t="n">
        <v>2024</v>
      </c>
      <c r="K148" s="13" t="inlineStr">
        <is>
          <t>Merger/Acquisition</t>
        </is>
      </c>
      <c r="L148" s="13" t="n"/>
      <c r="M148" s="13" t="inlineStr">
        <is>
          <t>Completed</t>
        </is>
      </c>
      <c r="N148" s="16" t="n">
        <v>57</v>
      </c>
      <c r="O148" s="12" t="inlineStr">
        <is>
          <t>USD</t>
        </is>
      </c>
      <c r="R148" s="36" t="n"/>
      <c r="S148" s="16" t="n"/>
      <c r="T148" s="36" t="n"/>
      <c r="U148" s="16" t="n"/>
      <c r="V148" s="13" t="n"/>
      <c r="W148" s="16" t="n">
        <v>57</v>
      </c>
      <c r="X148" s="13" t="inlineStr">
        <is>
          <t>The company was acquired by TransDigm Group (NYS: TDG) for $57 million on March 1, 2024.</t>
        </is>
      </c>
      <c r="Y148" s="13" t="inlineStr">
        <is>
          <t>Corporate Backed or Acquired</t>
        </is>
      </c>
      <c r="Z148" s="13" t="inlineStr">
        <is>
          <t>Generating Revenue</t>
        </is>
      </c>
      <c r="AA148" s="13" t="inlineStr">
        <is>
          <t>TransDigm Group (NYS: TDG)</t>
        </is>
      </c>
      <c r="AB148" s="13" t="inlineStr">
        <is>
          <t>Machinery (B2B)</t>
        </is>
      </c>
      <c r="AC148" s="13" t="inlineStr">
        <is>
          <t>Manufacturing</t>
        </is>
      </c>
      <c r="AD148" s="13" t="inlineStr">
        <is>
          <t>Manufactures an extensive range of specialist fuel tanks and flotation systems for both the commercial and defense aerospace end markets.</t>
        </is>
      </c>
      <c r="AE148" s="13" t="inlineStr">
        <is>
          <t>Tallassee, AL</t>
        </is>
      </c>
      <c r="AF148" s="13" t="n"/>
    </row>
    <row r="149" ht="42" customHeight="1">
      <c r="A149" s="18" t="inlineStr">
        <is>
          <t>USA-148</t>
        </is>
      </c>
      <c r="B149" s="18" t="inlineStr">
        <is>
          <t>USA</t>
        </is>
      </c>
      <c r="C149" s="18" t="inlineStr">
        <is>
          <t>USA</t>
        </is>
      </c>
      <c r="D149" s="19" t="inlineStr">
        <is>
          <t>McStarlite</t>
        </is>
      </c>
      <c r="E149" s="19" t="inlineStr">
        <is>
          <t>Standex International</t>
        </is>
      </c>
      <c r="F149" s="18" t="n"/>
      <c r="G149" s="19" t="n"/>
      <c r="H149" s="20" t="n">
        <v>45693</v>
      </c>
      <c r="I149" s="20" t="n"/>
      <c r="J149" s="21" t="n">
        <v>2025</v>
      </c>
      <c r="K149" s="19" t="inlineStr">
        <is>
          <t>Merger/Acquisition</t>
        </is>
      </c>
      <c r="L149" s="19" t="n"/>
      <c r="M149" s="19" t="inlineStr">
        <is>
          <t>Completed</t>
        </is>
      </c>
      <c r="N149" s="22" t="n">
        <v>56.69</v>
      </c>
      <c r="O149" s="18" t="inlineStr">
        <is>
          <t>USD</t>
        </is>
      </c>
      <c r="P149" s="50" t="n">
        <v>1.72</v>
      </c>
      <c r="R149" s="37" t="n"/>
      <c r="S149" s="22" t="n"/>
      <c r="T149" s="37" t="n">
        <v>1.72</v>
      </c>
      <c r="U149" s="22" t="n">
        <v>33</v>
      </c>
      <c r="V149" s="19" t="n"/>
      <c r="W149" s="22" t="n">
        <v>56.69</v>
      </c>
      <c r="X149" s="19" t="inlineStr">
        <is>
          <t>The company was acquired by Standex International (NYS: SXI) for $56.688 million on February 5, 2025. The acquisition will help Standex to expand its product breadth and forming capabilities in commercial aviation, space and defense applications.</t>
        </is>
      </c>
      <c r="Y149" s="19" t="inlineStr">
        <is>
          <t>Corporate Backed or Acquired</t>
        </is>
      </c>
      <c r="Z149" s="19" t="inlineStr">
        <is>
          <t>Generating Revenue</t>
        </is>
      </c>
      <c r="AA149" s="19" t="inlineStr">
        <is>
          <t>Standex International (NYS: SXI) (David Dunbar)</t>
        </is>
      </c>
      <c r="AB149" s="19" t="inlineStr">
        <is>
          <t>Aerospace and Defense</t>
        </is>
      </c>
      <c r="AC149" s="19" t="inlineStr">
        <is>
          <t>Industrials, Manufacturing</t>
        </is>
      </c>
      <c r="AD149" s="19" t="inlineStr">
        <is>
          <t>Manufacturer of sheet metal aerospace components catering to the commercial aviation and military end markets. The company designs engine nacelle lipskins, sheet metal forming, engine cowls, cold forming, bulge forming, and inlets, brake forming, assembly, heat treatment, and in-house tooling capabilities.</t>
        </is>
      </c>
      <c r="AE149" s="19" t="inlineStr">
        <is>
          <t>Harbor City, CA</t>
        </is>
      </c>
      <c r="AF149" s="19" t="inlineStr">
        <is>
          <t>www.mcstarlite.com</t>
        </is>
      </c>
    </row>
    <row r="150" ht="42" customHeight="1">
      <c r="A150" s="12" t="inlineStr">
        <is>
          <t>USA-149</t>
        </is>
      </c>
      <c r="B150" s="12" t="inlineStr">
        <is>
          <t>USA</t>
        </is>
      </c>
      <c r="C150" s="12" t="inlineStr">
        <is>
          <t>USA</t>
        </is>
      </c>
      <c r="D150" s="13" t="inlineStr">
        <is>
          <t>TE Connectivity (Rochester Cable)</t>
        </is>
      </c>
      <c r="E150" s="13" t="inlineStr">
        <is>
          <t>Hexatronic Group</t>
        </is>
      </c>
      <c r="F150" s="12" t="n"/>
      <c r="G150" s="13" t="n"/>
      <c r="H150" s="14" t="n">
        <v>44988</v>
      </c>
      <c r="I150" s="14" t="n"/>
      <c r="J150" s="15" t="n">
        <v>2023</v>
      </c>
      <c r="K150" s="13" t="inlineStr">
        <is>
          <t>Merger/Acquisition</t>
        </is>
      </c>
      <c r="L150" s="13" t="n"/>
      <c r="M150" s="13" t="inlineStr">
        <is>
          <t>Completed</t>
        </is>
      </c>
      <c r="N150" s="16" t="n">
        <v>55</v>
      </c>
      <c r="O150" s="12" t="inlineStr">
        <is>
          <t>USD</t>
        </is>
      </c>
      <c r="Q150" s="50" t="n">
        <v>6.88</v>
      </c>
      <c r="R150" s="36" t="n">
        <v>6.88</v>
      </c>
      <c r="S150" s="16" t="n">
        <v>8</v>
      </c>
      <c r="T150" s="36" t="n"/>
      <c r="U150" s="16" t="n"/>
      <c r="V150" s="13" t="inlineStr">
        <is>
          <t>Corporate Divestiture</t>
        </is>
      </c>
      <c r="W150" s="16" t="n">
        <v>55</v>
      </c>
      <c r="X150" s="13" t="inlineStr">
        <is>
          <t>Hexatronic Group (STO: HTRO) acquired Rochester Cable, a subsidiary of TE Connectivity, for $55 million on March 3, 2023. The acquisition will boost Hexatronic's fiber-optic subsea communication cable offering to include dynamic working cables that can transmit electrical signals and power in addition to optical signals.</t>
        </is>
      </c>
      <c r="Y150" s="13" t="inlineStr">
        <is>
          <t>Corporate Backed or Acquired</t>
        </is>
      </c>
      <c r="Z150" s="13" t="inlineStr">
        <is>
          <t>Generating Revenue</t>
        </is>
      </c>
      <c r="AA150" s="13" t="inlineStr">
        <is>
          <t>Hexatronic Group (STO: HTRO) (Henrik Larsson Lyon)</t>
        </is>
      </c>
      <c r="AB150" s="13" t="inlineStr">
        <is>
          <t>Fiberoptic Equipment</t>
        </is>
      </c>
      <c r="AC150" s="13" t="inlineStr">
        <is>
          <t>Manufacturing</t>
        </is>
      </c>
      <c r="AD150" s="13" t="inlineStr">
        <is>
          <t>Manufacturer of cables catering to industries such as oil and gas, defense, oceanography, as well as sensor and underwater applications. The company specializes in producing high-strength, reinforced electro-optical dynamic cables that thereby enable the transmission of power and the control of signals and data.</t>
        </is>
      </c>
      <c r="AE150" s="13" t="inlineStr">
        <is>
          <t>Berwyn, PA</t>
        </is>
      </c>
      <c r="AF150" s="13" t="inlineStr">
        <is>
          <t>www.rochestercables.com</t>
        </is>
      </c>
    </row>
    <row r="151" ht="42" customHeight="1">
      <c r="A151" s="18" t="inlineStr">
        <is>
          <t>USA-150</t>
        </is>
      </c>
      <c r="B151" s="18" t="inlineStr">
        <is>
          <t>USA</t>
        </is>
      </c>
      <c r="C151" s="18" t="inlineStr">
        <is>
          <t>USA</t>
        </is>
      </c>
      <c r="D151" s="19" t="inlineStr">
        <is>
          <t>Hyperscale Data (ASE: GPUS)</t>
        </is>
      </c>
      <c r="E151" s="19" t="inlineStr">
        <is>
          <t>RiskOn International</t>
        </is>
      </c>
      <c r="F151" s="18" t="n"/>
      <c r="G151" s="19" t="n"/>
      <c r="H151" s="20" t="n">
        <v>44992</v>
      </c>
      <c r="I151" s="20" t="n"/>
      <c r="J151" s="21" t="n">
        <v>2023</v>
      </c>
      <c r="K151" s="19" t="inlineStr">
        <is>
          <t>Merger/Acquisition</t>
        </is>
      </c>
      <c r="L151" s="19" t="n"/>
      <c r="M151" s="19" t="inlineStr">
        <is>
          <t>Completed</t>
        </is>
      </c>
      <c r="N151" s="22" t="n">
        <v>53.91</v>
      </c>
      <c r="O151" s="18" t="inlineStr">
        <is>
          <t>USD</t>
        </is>
      </c>
      <c r="P151" s="50" t="n">
        <v>0.31</v>
      </c>
      <c r="R151" s="37" t="n">
        <v>-0.39</v>
      </c>
      <c r="S151" s="22" t="n">
        <v>-137.25</v>
      </c>
      <c r="T151" s="37" t="n">
        <v>0.46</v>
      </c>
      <c r="U151" s="22" t="n">
        <v>117.64</v>
      </c>
      <c r="V151" s="19" t="n"/>
      <c r="W151" s="22" t="n">
        <v>53.91</v>
      </c>
      <c r="X151" s="19" t="inlineStr">
        <is>
          <t>The company was acquired by RiskOn International (PINX: ROII) for $53.91 million on March 7, 2023.</t>
        </is>
      </c>
      <c r="Y151" s="19" t="inlineStr">
        <is>
          <t>Corporate Backed or Acquired</t>
        </is>
      </c>
      <c r="Z151" s="19" t="inlineStr">
        <is>
          <t>Profitable</t>
        </is>
      </c>
      <c r="AA151" s="19" t="inlineStr">
        <is>
          <t>RiskOn International (PINX: ROII)</t>
        </is>
      </c>
      <c r="AB151" s="19" t="inlineStr">
        <is>
          <t>Other Capital Markets/Institutions</t>
        </is>
      </c>
      <c r="AC151" s="19" t="n"/>
      <c r="AD151" s="19" t="inlineStr">
        <is>
          <t>Hyperscale Data Inc is a diversified holding company. The company operates a data center at which it mines Bitcoin and provides mission-critical products that support a diverse range of industries, including oil exploration, crane services, defense/aerospace, industrial, automotive, medical/biopharma, consumer electronics, hotel operations and textiles. The company has reportable segments that includes Gresham; TurnOnGreen; Fintech; Sentinum; AGREE; Energy; and ROI. The company generates maximum revenue from Energy segment that include crane rental and lifting solutions provider for oilfield, construction, commercial and infrastructure markets through Circle.</t>
        </is>
      </c>
      <c r="AE151" s="19" t="inlineStr">
        <is>
          <t>Las Vegas, NV</t>
        </is>
      </c>
      <c r="AF151" s="19" t="inlineStr">
        <is>
          <t>www.hyperscaledata.com</t>
        </is>
      </c>
    </row>
    <row r="152" ht="42" customHeight="1">
      <c r="A152" s="12" t="inlineStr">
        <is>
          <t>USA-151</t>
        </is>
      </c>
      <c r="B152" s="12" t="inlineStr">
        <is>
          <t>USA</t>
        </is>
      </c>
      <c r="C152" s="12" t="inlineStr">
        <is>
          <t>USA</t>
        </is>
      </c>
      <c r="D152" s="13" t="inlineStr">
        <is>
          <t>Dynamic Sealing Technologies</t>
        </is>
      </c>
      <c r="E152" s="13" t="inlineStr">
        <is>
          <t>Kadant</t>
        </is>
      </c>
      <c r="F152" s="12" t="n"/>
      <c r="G152" s="13" t="n"/>
      <c r="H152" s="14" t="n">
        <v>45443</v>
      </c>
      <c r="I152" s="14" t="n"/>
      <c r="J152" s="15" t="n">
        <v>2024</v>
      </c>
      <c r="K152" s="13" t="inlineStr">
        <is>
          <t>Merger/Acquisition</t>
        </is>
      </c>
      <c r="L152" s="13" t="n"/>
      <c r="M152" s="13" t="inlineStr">
        <is>
          <t>Completed</t>
        </is>
      </c>
      <c r="N152" s="16" t="n">
        <v>53.57</v>
      </c>
      <c r="O152" s="12" t="inlineStr">
        <is>
          <t>USD</t>
        </is>
      </c>
      <c r="P152" s="50" t="n">
        <v>2.14</v>
      </c>
      <c r="R152" s="36" t="n"/>
      <c r="S152" s="16" t="n"/>
      <c r="T152" s="36" t="n">
        <v>2.14</v>
      </c>
      <c r="U152" s="16" t="n">
        <v>25</v>
      </c>
      <c r="V152" s="13" t="n"/>
      <c r="W152" s="16" t="n">
        <v>53.57</v>
      </c>
      <c r="X152" s="13" t="inlineStr">
        <is>
          <t>The company was acquired by Kadant (NYS: KAI) for $53.57 million on May 31, 2024. The acquisition helps Kadant to extend its presence in a number of adjacent industries.</t>
        </is>
      </c>
      <c r="Y152" s="13" t="inlineStr">
        <is>
          <t>Corporate Backed or Acquired</t>
        </is>
      </c>
      <c r="Z152" s="13" t="inlineStr">
        <is>
          <t>Generating Revenue</t>
        </is>
      </c>
      <c r="AA152" s="13" t="inlineStr">
        <is>
          <t>Kadant (NYS: KAI) (Jeffrey Powell)</t>
        </is>
      </c>
      <c r="AB152" s="13" t="inlineStr">
        <is>
          <t>Industrial Supplies and Parts</t>
        </is>
      </c>
      <c r="AC152" s="13" t="inlineStr">
        <is>
          <t>Manufacturing</t>
        </is>
      </c>
      <c r="AD152" s="13" t="inlineStr">
        <is>
          <t>Manufacturer of rotary unions and electrical slip rings catering to aerospace, alternative energy, defense and factory automation industries. The company provides engineered fluid sealing and transfer solutions and specializes in the design, manufacture and integration of fluid rotary unions, electrical slip rings and value-added products used to transfer hydraulic fluid, water, air and other liquids and gases in a variety of industrial processes.</t>
        </is>
      </c>
      <c r="AE152" s="13" t="inlineStr">
        <is>
          <t>Andover, MN</t>
        </is>
      </c>
      <c r="AF152" s="13" t="inlineStr">
        <is>
          <t>www.dsti.com</t>
        </is>
      </c>
    </row>
    <row r="153" ht="42" customHeight="1">
      <c r="A153" s="18" t="inlineStr">
        <is>
          <t>USA-152</t>
        </is>
      </c>
      <c r="B153" s="18" t="inlineStr">
        <is>
          <t>USA</t>
        </is>
      </c>
      <c r="C153" s="18" t="inlineStr">
        <is>
          <t>USA</t>
        </is>
      </c>
      <c r="D153" s="19" t="inlineStr">
        <is>
          <t>Jetcool</t>
        </is>
      </c>
      <c r="E153" s="19" t="inlineStr">
        <is>
          <t>Flex</t>
        </is>
      </c>
      <c r="F153" s="18" t="n"/>
      <c r="G153" s="19" t="n"/>
      <c r="H153" s="20" t="n">
        <v>45610</v>
      </c>
      <c r="I153" s="20" t="n"/>
      <c r="J153" s="21" t="n">
        <v>2024</v>
      </c>
      <c r="K153" s="19" t="inlineStr">
        <is>
          <t>Merger/Acquisition</t>
        </is>
      </c>
      <c r="L153" s="19" t="n"/>
      <c r="M153" s="19" t="inlineStr">
        <is>
          <t>Completed</t>
        </is>
      </c>
      <c r="N153" s="22" t="n">
        <v>53</v>
      </c>
      <c r="O153" s="18" t="inlineStr">
        <is>
          <t>USD</t>
        </is>
      </c>
      <c r="R153" s="37" t="n"/>
      <c r="S153" s="22" t="n"/>
      <c r="T153" s="37" t="n"/>
      <c r="U153" s="22" t="n"/>
      <c r="V153" s="19" t="n"/>
      <c r="W153" s="22" t="n">
        <v>53</v>
      </c>
      <c r="X153" s="19" t="inlineStr">
        <is>
          <t>The company was acquired by Flex (BPO/Outsource Services) (NAS: FLEX) for $ 53 million on November 14, 2024. The acquisition will help the company to take technologies to new heights through its global presence, extensive manufacturing capabilities and differentiated suite of data center and power offerings.</t>
        </is>
      </c>
      <c r="Y153" s="19" t="inlineStr">
        <is>
          <t>Formerly VC-backed</t>
        </is>
      </c>
      <c r="Z153" s="19" t="inlineStr">
        <is>
          <t>Generating Revenue</t>
        </is>
      </c>
      <c r="AA153" s="19" t="inlineStr">
        <is>
          <t>Flex (BPO/Outsource Services) (NAS: FLEX) (Michael Hartung)</t>
        </is>
      </c>
      <c r="AB153" s="19" t="inlineStr">
        <is>
          <t>Other Semiconductors</t>
        </is>
      </c>
      <c r="AC153" s="19" t="inlineStr">
        <is>
          <t>Advanced Manufacturing, Manufacturing, SaaS</t>
        </is>
      </c>
      <c r="AD153" s="19" t="inlineStr">
        <is>
          <t>Developer of a modular component cooling technology designed to cool high-power electronics. The company's technology uses small jets of fluid built and characterized into microjet cooling modules at the chip or device scale, enabling aerospace, defense, and electronic manufacturers to make devices long-lasting, less heat, and power-consuming.</t>
        </is>
      </c>
      <c r="AE153" s="19" t="inlineStr">
        <is>
          <t>Littleton, MA</t>
        </is>
      </c>
      <c r="AF153" s="19" t="inlineStr">
        <is>
          <t>www.jetcool.com</t>
        </is>
      </c>
    </row>
    <row r="154" ht="42" customHeight="1">
      <c r="A154" s="12" t="inlineStr">
        <is>
          <t>USA-153</t>
        </is>
      </c>
      <c r="B154" s="12" t="inlineStr">
        <is>
          <t>USA</t>
        </is>
      </c>
      <c r="C154" s="12" t="inlineStr">
        <is>
          <t>USA</t>
        </is>
      </c>
      <c r="D154" s="13" t="inlineStr">
        <is>
          <t>Controlled Fluidics</t>
        </is>
      </c>
      <c r="E154" s="13" t="inlineStr">
        <is>
          <t>Ingersoll Rand</t>
        </is>
      </c>
      <c r="F154" s="12" t="n"/>
      <c r="G154" s="13" t="n"/>
      <c r="H154" s="14" t="n">
        <v>45383</v>
      </c>
      <c r="I154" s="14" t="n"/>
      <c r="J154" s="15" t="n">
        <v>2024</v>
      </c>
      <c r="K154" s="13" t="inlineStr">
        <is>
          <t>Merger/Acquisition</t>
        </is>
      </c>
      <c r="L154" s="13" t="n"/>
      <c r="M154" s="13" t="inlineStr">
        <is>
          <t>Completed</t>
        </is>
      </c>
      <c r="N154" s="16" t="n">
        <v>51.9</v>
      </c>
      <c r="O154" s="12" t="inlineStr">
        <is>
          <t>USD</t>
        </is>
      </c>
      <c r="R154" s="36" t="n"/>
      <c r="S154" s="16" t="n"/>
      <c r="T154" s="36" t="n"/>
      <c r="U154" s="16" t="n"/>
      <c r="V154" s="13" t="n"/>
      <c r="W154" s="16" t="n">
        <v>51.9</v>
      </c>
      <c r="X154" s="13" t="inlineStr">
        <is>
          <t>The company was acquired by Ingersoll Rand (NYS: IR) for $51.9 million on April 1, 2024. The company will pay a contingent consideration of $2 million. The acquisition will complement Ingersoll Rand's current life sciences offerings and increase the company's market share in high-growth, sustainable end markets.</t>
        </is>
      </c>
      <c r="Y154" s="13" t="inlineStr">
        <is>
          <t>Corporate Backed or Acquired</t>
        </is>
      </c>
      <c r="Z154" s="13" t="inlineStr">
        <is>
          <t>Generating Revenue</t>
        </is>
      </c>
      <c r="AA154" s="13" t="inlineStr">
        <is>
          <t>Ingersoll Rand (NYS: IR) (Vicente Reynal)</t>
        </is>
      </c>
      <c r="AB154" s="13" t="inlineStr">
        <is>
          <t>Industrial Supplies and Parts</t>
        </is>
      </c>
      <c r="AC154" s="13" t="inlineStr">
        <is>
          <t>Industrials, Manufacturing</t>
        </is>
      </c>
      <c r="AD154" s="13" t="inlineStr">
        <is>
          <t>Manufacturer of plastics machining services intended to serve aerospace, life science, medical and healthcare, research and diagnostics, military and defense and specialized electronics markets. The company offers thermoplastic, plastic bonding, bonded manifold, custom plastic assembly products, plastic milling and turning, plastic finishing and polishing, micromachining and design support and guidance enabling customers to benefit from rapid-production precision machining.</t>
        </is>
      </c>
      <c r="AE154" s="13" t="inlineStr">
        <is>
          <t>Milford, NH</t>
        </is>
      </c>
      <c r="AF154" s="13" t="inlineStr">
        <is>
          <t>www.controlledfluidics.com</t>
        </is>
      </c>
    </row>
    <row r="155" ht="42" customHeight="1">
      <c r="A155" s="18" t="inlineStr">
        <is>
          <t>USA-154</t>
        </is>
      </c>
      <c r="B155" s="18" t="inlineStr">
        <is>
          <t>USA</t>
        </is>
      </c>
      <c r="C155" s="18" t="inlineStr">
        <is>
          <t>USA</t>
        </is>
      </c>
      <c r="D155" s="19" t="inlineStr">
        <is>
          <t>Noetic</t>
        </is>
      </c>
      <c r="E155" s="19" t="inlineStr">
        <is>
          <t>Rapid7</t>
        </is>
      </c>
      <c r="F155" s="18" t="n"/>
      <c r="G155" s="19" t="n"/>
      <c r="H155" s="20" t="n">
        <v>45476</v>
      </c>
      <c r="I155" s="20" t="n"/>
      <c r="J155" s="21" t="n">
        <v>2024</v>
      </c>
      <c r="K155" s="19" t="inlineStr">
        <is>
          <t>Merger/Acquisition</t>
        </is>
      </c>
      <c r="L155" s="19" t="n"/>
      <c r="M155" s="19" t="inlineStr">
        <is>
          <t>Completed</t>
        </is>
      </c>
      <c r="N155" s="22" t="n">
        <v>51.1</v>
      </c>
      <c r="O155" s="18" t="inlineStr">
        <is>
          <t>USD</t>
        </is>
      </c>
      <c r="R155" s="37" t="n"/>
      <c r="S155" s="22" t="n"/>
      <c r="T155" s="37" t="n"/>
      <c r="U155" s="22" t="n"/>
      <c r="V155" s="19" t="n"/>
      <c r="W155" s="22" t="n">
        <v>51.1</v>
      </c>
      <c r="X155" s="19" t="inlineStr">
        <is>
          <t>The company was acquired by Rapid7 (NAS: RPD) for $51.1 million on July 3, 2024. The acquisition will help Rapid7 to provide more comprehensive visibility of a customer's environment, including visibility into both internal and external assets, on-premise and in the cloud. The transaction includes contingent payment of $12.1 based on the achievement of certain performance targets, measured annually upon the first, second and third anniversaries of the closing date of the transaction.</t>
        </is>
      </c>
      <c r="Y155" s="19" t="inlineStr">
        <is>
          <t>Formerly VC-backed</t>
        </is>
      </c>
      <c r="Z155" s="19" t="inlineStr">
        <is>
          <t>Generating Revenue</t>
        </is>
      </c>
      <c r="AA155" s="19" t="inlineStr">
        <is>
          <t>Rapid7 (NAS: RPD) (Corey Thomas)</t>
        </is>
      </c>
      <c r="AB155" s="19" t="inlineStr">
        <is>
          <t>Network Management Software</t>
        </is>
      </c>
      <c r="AC155" s="19" t="inlineStr">
        <is>
          <t>Cybersecurity, SaaS</t>
        </is>
      </c>
      <c r="AD155" s="19" t="inlineStr">
        <is>
          <t>Developer of a cloud-based continuous cyber asset management and controls platform designed to improve the security ecosystem. The company's platform offers unified visibility of all assets across the cloud and on-premises systems and delivers continuous, automated remediation to close coverage gaps and enforce the security policy, enabling security teams to make faster, more accurate decisions to detect coverage gaps and reduce cyber risk.</t>
        </is>
      </c>
      <c r="AE155" s="19" t="inlineStr">
        <is>
          <t>Waltham, MA</t>
        </is>
      </c>
      <c r="AF155" s="19" t="inlineStr">
        <is>
          <t>www.noeticcyber.com</t>
        </is>
      </c>
    </row>
    <row r="156" ht="42" customHeight="1">
      <c r="A156" s="12" t="inlineStr">
        <is>
          <t>USA-155</t>
        </is>
      </c>
      <c r="B156" s="12" t="inlineStr">
        <is>
          <t>USA</t>
        </is>
      </c>
      <c r="C156" s="12" t="inlineStr">
        <is>
          <t>USA</t>
        </is>
      </c>
      <c r="D156" s="13" t="inlineStr">
        <is>
          <t>Industrial Solid Propulsion</t>
        </is>
      </c>
      <c r="E156" s="13" t="inlineStr">
        <is>
          <t>Karman Holdings</t>
        </is>
      </c>
      <c r="F156" s="12" t="n"/>
      <c r="G156" s="13" t="n"/>
      <c r="H156" s="14" t="n">
        <v>45805</v>
      </c>
      <c r="I156" s="14" t="n"/>
      <c r="J156" s="15" t="n">
        <v>2025</v>
      </c>
      <c r="K156" s="13" t="inlineStr">
        <is>
          <t>Merger/Acquisition</t>
        </is>
      </c>
      <c r="L156" s="13" t="n"/>
      <c r="M156" s="13" t="inlineStr">
        <is>
          <t>Completed</t>
        </is>
      </c>
      <c r="N156" s="16" t="n">
        <v>50</v>
      </c>
      <c r="O156" s="12" t="inlineStr">
        <is>
          <t>USD</t>
        </is>
      </c>
      <c r="R156" s="36" t="n"/>
      <c r="S156" s="16" t="n"/>
      <c r="T156" s="36" t="n"/>
      <c r="U156" s="16" t="n"/>
      <c r="V156" s="13" t="inlineStr">
        <is>
          <t>Corporate Divestiture</t>
        </is>
      </c>
      <c r="W156" s="16" t="n">
        <v>50</v>
      </c>
      <c r="X156" s="13" t="inlineStr">
        <is>
          <t>The company, a subsidiary of RCS Rocket Motor Components was acquired by Karman Space &amp; Defense (NYS: KRMN) for approximately $50 million on May 28, 2025. This acquisition strengthens Karman Space &amp; Defense core competency in energetics, expands Karman's offering in small-diameter solid propellant technologies and will allow Karman to serve their customers even better.</t>
        </is>
      </c>
      <c r="Y156" s="13" t="inlineStr">
        <is>
          <t>Corporate Backed or Acquired</t>
        </is>
      </c>
      <c r="Z156" s="13" t="inlineStr">
        <is>
          <t>Generating Revenue</t>
        </is>
      </c>
      <c r="AA156" s="13" t="inlineStr">
        <is>
          <t>Karman Holdings (NYS: KRMN) (Tony Koblinski)</t>
        </is>
      </c>
      <c r="AB156" s="13" t="inlineStr">
        <is>
          <t>Aerospace and Defense</t>
        </is>
      </c>
      <c r="AC156" s="13" t="inlineStr">
        <is>
          <t>Manufacturing</t>
        </is>
      </c>
      <c r="AD156" s="13" t="inlineStr">
        <is>
          <t>Manufacturer of solid propulsion cartridges and systems intended to support aerospace and defense missions. The company specializes in designing and manufacturing tactical boost motors, solid rocket propellant gas generators and specialty propulsion devices and also provides propellant mixing, machining, casting, assembly and hot-fire testing services, thereby delivering reliable and high-performance propulsion solutions.</t>
        </is>
      </c>
      <c r="AE156" s="13" t="inlineStr">
        <is>
          <t>Cedar City, UT</t>
        </is>
      </c>
      <c r="AF156" s="13" t="inlineStr">
        <is>
          <t>www.specificimpulse.com</t>
        </is>
      </c>
    </row>
    <row r="157" ht="42" customHeight="1">
      <c r="A157" s="18" t="inlineStr">
        <is>
          <t>USA-156</t>
        </is>
      </c>
      <c r="B157" s="18" t="inlineStr">
        <is>
          <t>USA</t>
        </is>
      </c>
      <c r="C157" s="18" t="inlineStr">
        <is>
          <t>USA</t>
        </is>
      </c>
      <c r="D157" s="19" t="inlineStr">
        <is>
          <t>Shetakis Wholesalers</t>
        </is>
      </c>
      <c r="E157" s="19" t="inlineStr">
        <is>
          <t>US Foods Holding</t>
        </is>
      </c>
      <c r="F157" s="18" t="n"/>
      <c r="G157" s="19" t="n"/>
      <c r="H157" s="20" t="n">
        <v>45975</v>
      </c>
      <c r="I157" s="20" t="n"/>
      <c r="J157" s="21" t="n">
        <v>2025</v>
      </c>
      <c r="K157" s="19" t="inlineStr">
        <is>
          <t>Merger/Acquisition</t>
        </is>
      </c>
      <c r="L157" s="19" t="n"/>
      <c r="M157" s="19" t="inlineStr">
        <is>
          <t>Completed</t>
        </is>
      </c>
      <c r="N157" s="22" t="n">
        <v>46</v>
      </c>
      <c r="O157" s="18" t="inlineStr">
        <is>
          <t>USD</t>
        </is>
      </c>
      <c r="R157" s="37" t="n"/>
      <c r="S157" s="22" t="n"/>
      <c r="T157" s="37" t="n"/>
      <c r="U157" s="22" t="n"/>
      <c r="V157" s="19" t="n"/>
      <c r="W157" s="22" t="n">
        <v>46</v>
      </c>
      <c r="X157" s="19" t="inlineStr">
        <is>
          <t>The company was acquired by US Foods Holding (NYS: USFD) for $46 million on November 14, 2025.</t>
        </is>
      </c>
      <c r="Y157" s="19" t="inlineStr">
        <is>
          <t>Corporate Backed or Acquired</t>
        </is>
      </c>
      <c r="Z157" s="19" t="inlineStr">
        <is>
          <t>Generating Revenue</t>
        </is>
      </c>
      <c r="AA157" s="19" t="inlineStr">
        <is>
          <t>US Foods Holding (NYS: USFD)</t>
        </is>
      </c>
      <c r="AB157" s="19" t="inlineStr">
        <is>
          <t>Distributors/Wholesale</t>
        </is>
      </c>
      <c r="AC157" s="19" t="n"/>
      <c r="AD157" s="19" t="inlineStr">
        <is>
          <t>Distributor of foodservice products intended to serve restaurants, healthcare facilities, schools, military across Southern Nevada. The company offers an extensive range of items, including fresh produce, meat, seafood, dairy, beverages, desserts, international specialties, and organic options, thereby delivering consistent quality and value to its clients.</t>
        </is>
      </c>
      <c r="AE157" s="19" t="inlineStr">
        <is>
          <t>North Las Vegas, NV</t>
        </is>
      </c>
      <c r="AF157" s="19" t="inlineStr">
        <is>
          <t>www.shetakis.com</t>
        </is>
      </c>
    </row>
    <row r="158" ht="42" customHeight="1">
      <c r="A158" s="12" t="inlineStr">
        <is>
          <t>USA-157</t>
        </is>
      </c>
      <c r="B158" s="12" t="inlineStr">
        <is>
          <t>USA</t>
        </is>
      </c>
      <c r="C158" s="12" t="inlineStr">
        <is>
          <t>USA</t>
        </is>
      </c>
      <c r="D158" s="13" t="inlineStr">
        <is>
          <t>GuideTech (Aerospace and Defense)</t>
        </is>
      </c>
      <c r="E158" s="13" t="inlineStr">
        <is>
          <t>Palladyne AI</t>
        </is>
      </c>
      <c r="F158" s="12" t="n"/>
      <c r="G158" s="13" t="n"/>
      <c r="H158" s="14" t="n">
        <v>45975</v>
      </c>
      <c r="I158" s="14" t="n"/>
      <c r="J158" s="15" t="n">
        <v>2025</v>
      </c>
      <c r="K158" s="13" t="inlineStr">
        <is>
          <t>Merger/Acquisition</t>
        </is>
      </c>
      <c r="L158" s="13" t="n"/>
      <c r="M158" s="13" t="inlineStr">
        <is>
          <t>Completed</t>
        </is>
      </c>
      <c r="N158" s="16" t="n">
        <v>45.8</v>
      </c>
      <c r="O158" s="12" t="inlineStr">
        <is>
          <t>USD</t>
        </is>
      </c>
      <c r="R158" s="36" t="n"/>
      <c r="S158" s="16" t="n"/>
      <c r="T158" s="36" t="n"/>
      <c r="U158" s="16" t="n"/>
      <c r="V158" s="13" t="n"/>
      <c r="W158" s="16" t="n">
        <v>45.8</v>
      </c>
      <c r="X158" s="13" t="inlineStr">
        <is>
          <t>The company was acquired by Palladyne AI (NAS: PDYN) for $45.8 million on November 14, 2025. By this acquisition, Palladyne AI gains the scale and technology needed to expand its reach and better serve America's defense industry.</t>
        </is>
      </c>
      <c r="Y158" s="13" t="inlineStr">
        <is>
          <t>Corporate Backed or Acquired</t>
        </is>
      </c>
      <c r="Z158" s="13" t="inlineStr">
        <is>
          <t>Generating Revenue</t>
        </is>
      </c>
      <c r="AA158" s="13" t="inlineStr">
        <is>
          <t>Palladyne AI (NAS: PDYN) (Benjamin Wolff)</t>
        </is>
      </c>
      <c r="AB158" s="13" t="inlineStr">
        <is>
          <t>Aerospace and Defense</t>
        </is>
      </c>
      <c r="AC158" s="13" t="inlineStr">
        <is>
          <t>Artificial Intelligence &amp; Machine Learning, Robotics and Drones</t>
        </is>
      </c>
      <c r="AD158" s="13" t="inlineStr">
        <is>
          <t>Developer of avionics software and provider of services in aerospace and defense markets. The company offers guidance and navigation avionics, along with its flex modular software platform thereby assisting multiple defense programs by deploying them.</t>
        </is>
      </c>
      <c r="AE158" s="13" t="inlineStr">
        <is>
          <t>Tucson, AZ</t>
        </is>
      </c>
      <c r="AF158" s="13" t="inlineStr">
        <is>
          <t>www.guide.tech</t>
        </is>
      </c>
    </row>
    <row r="159" ht="42" customHeight="1">
      <c r="A159" s="18" t="inlineStr">
        <is>
          <t>USA-158</t>
        </is>
      </c>
      <c r="B159" s="18" t="inlineStr">
        <is>
          <t>USA</t>
        </is>
      </c>
      <c r="C159" s="18" t="inlineStr">
        <is>
          <t>USA</t>
        </is>
      </c>
      <c r="D159" s="19" t="inlineStr">
        <is>
          <t>MnM Aircraft Component Holdings</t>
        </is>
      </c>
      <c r="E159" s="19" t="inlineStr">
        <is>
          <t>Regional One</t>
        </is>
      </c>
      <c r="F159" s="18" t="n"/>
      <c r="G159" s="19" t="n"/>
      <c r="H159" s="20" t="n">
        <v>46055</v>
      </c>
      <c r="I159" s="20" t="n"/>
      <c r="J159" s="21" t="n">
        <v>2026</v>
      </c>
      <c r="K159" s="19" t="inlineStr">
        <is>
          <t>Merger/Acquisition</t>
        </is>
      </c>
      <c r="L159" s="19" t="n"/>
      <c r="M159" s="19" t="inlineStr">
        <is>
          <t>Completed</t>
        </is>
      </c>
      <c r="N159" s="22" t="n">
        <v>43</v>
      </c>
      <c r="O159" s="18" t="inlineStr">
        <is>
          <t>USD</t>
        </is>
      </c>
      <c r="R159" s="37" t="n"/>
      <c r="S159" s="22" t="n"/>
      <c r="T159" s="37" t="n"/>
      <c r="U159" s="22" t="n"/>
      <c r="V159" s="19" t="n"/>
      <c r="W159" s="22" t="n">
        <v>43</v>
      </c>
      <c r="X159" s="19" t="inlineStr">
        <is>
          <t>The company was acquired by Regional One, a subsidiary of Exchange Income (TSE: EIF), for $43 million on February 2, 2026. The acquisition accelerates Regional One's presence in the commercial aviation aftermarket.</t>
        </is>
      </c>
      <c r="Y159" s="19" t="inlineStr">
        <is>
          <t>Corporate Backed or Acquired</t>
        </is>
      </c>
      <c r="Z159" s="19" t="inlineStr">
        <is>
          <t>Generating Revenue</t>
        </is>
      </c>
      <c r="AA159" s="19" t="inlineStr">
        <is>
          <t>Regional One (Hank Gibson)</t>
        </is>
      </c>
      <c r="AB159" s="19" t="inlineStr">
        <is>
          <t>Aerospace and Defense</t>
        </is>
      </c>
      <c r="AC159" s="19" t="n"/>
      <c r="AD159" s="19" t="inlineStr">
        <is>
          <t>Supplier of aircraft components and expendables catering to commercial and corporate aircraft. The company offers jet parts, engine parts, nacelle components, teardowns, partnerships with maintenance, repair, and overhaul organizations, aircraft-on-ground emergency support, and global sourcing services.</t>
        </is>
      </c>
      <c r="AE159" s="19" t="inlineStr">
        <is>
          <t>Pompano Beach, FL</t>
        </is>
      </c>
      <c r="AF159" s="19" t="inlineStr">
        <is>
          <t>www.mach2corp.com</t>
        </is>
      </c>
    </row>
    <row r="160" ht="42" customHeight="1">
      <c r="A160" s="12" t="inlineStr">
        <is>
          <t>USA-159</t>
        </is>
      </c>
      <c r="B160" s="12" t="inlineStr">
        <is>
          <t>USA</t>
        </is>
      </c>
      <c r="C160" s="12" t="inlineStr">
        <is>
          <t>USA</t>
        </is>
      </c>
      <c r="D160" s="13" t="inlineStr">
        <is>
          <t>VSE (Federal and Defense Segment)</t>
        </is>
      </c>
      <c r="E160" s="13" t="n"/>
      <c r="F160" s="12" t="n"/>
      <c r="G160" s="13" t="n"/>
      <c r="H160" s="14" t="n">
        <v>45351</v>
      </c>
      <c r="I160" s="14" t="n"/>
      <c r="J160" s="15" t="n">
        <v>2024</v>
      </c>
      <c r="K160" s="13" t="inlineStr">
        <is>
          <t>Merger/Acquisition</t>
        </is>
      </c>
      <c r="L160" s="13" t="n"/>
      <c r="M160" s="13" t="inlineStr">
        <is>
          <t>Completed</t>
        </is>
      </c>
      <c r="N160" s="16" t="n">
        <v>43</v>
      </c>
      <c r="O160" s="12" t="inlineStr">
        <is>
          <t>USD</t>
        </is>
      </c>
      <c r="R160" s="36" t="n"/>
      <c r="S160" s="16" t="n"/>
      <c r="T160" s="36" t="n"/>
      <c r="U160" s="16" t="n"/>
      <c r="V160" s="13" t="inlineStr">
        <is>
          <t>Corporate Divestiture</t>
        </is>
      </c>
      <c r="W160" s="16" t="n">
        <v>43</v>
      </c>
      <c r="X160" s="13" t="inlineStr">
        <is>
          <t>The federal and defense segment business of VSE (NAS: VSEC) was acquired by two undisclosed investors for $43 million on February 29, 2024.</t>
        </is>
      </c>
      <c r="Y160" s="13" t="inlineStr">
        <is>
          <t>Corporate Backed or Acquired</t>
        </is>
      </c>
      <c r="Z160" s="13" t="inlineStr">
        <is>
          <t>Generating Revenue</t>
        </is>
      </c>
      <c r="AA160" s="13" t="n"/>
      <c r="AB160" s="13" t="inlineStr">
        <is>
          <t>Government</t>
        </is>
      </c>
      <c r="AC160" s="13" t="n"/>
      <c r="AD160" s="13" t="inlineStr">
        <is>
          <t>Provider of federal and defense services intended for a diversified base of government clients across the land, sea, air, energy and technology platforms. The company offers aftermarket MRO and logistics services, naval asset program management, aircraft maintenance and modernization, land-based platform maintenance and modernization, logistics and distribution, data management solutions and energy efficiency consulting, thereby helping to improve operational readiness and to extend the life cycle of military vehicles, ships and aircraft for the U.S. armed forces, federal agencies and international defense customers.</t>
        </is>
      </c>
      <c r="AE160" s="13" t="inlineStr">
        <is>
          <t>Alexandria, VA</t>
        </is>
      </c>
      <c r="AF160" s="13" t="n"/>
    </row>
    <row r="161" ht="42" customHeight="1">
      <c r="A161" s="18" t="inlineStr">
        <is>
          <t>USA-160</t>
        </is>
      </c>
      <c r="B161" s="18" t="inlineStr">
        <is>
          <t>USA</t>
        </is>
      </c>
      <c r="C161" s="18" t="inlineStr">
        <is>
          <t>USA</t>
        </is>
      </c>
      <c r="D161" s="19" t="inlineStr">
        <is>
          <t>Safran (Electromechanical Actuation Business)</t>
        </is>
      </c>
      <c r="E161" s="19" t="inlineStr">
        <is>
          <t>Woodward</t>
        </is>
      </c>
      <c r="F161" s="18" t="n"/>
      <c r="G161" s="19" t="n"/>
      <c r="H161" s="20" t="n">
        <v>45859</v>
      </c>
      <c r="I161" s="20" t="n"/>
      <c r="J161" s="21" t="n">
        <v>2025</v>
      </c>
      <c r="K161" s="19" t="inlineStr">
        <is>
          <t>Merger/Acquisition</t>
        </is>
      </c>
      <c r="L161" s="19" t="n"/>
      <c r="M161" s="19" t="inlineStr">
        <is>
          <t>Completed</t>
        </is>
      </c>
      <c r="N161" s="22" t="n">
        <v>41.68</v>
      </c>
      <c r="O161" s="18" t="inlineStr">
        <is>
          <t>USD</t>
        </is>
      </c>
      <c r="R161" s="37" t="n"/>
      <c r="S161" s="22" t="n"/>
      <c r="T161" s="37" t="n"/>
      <c r="U161" s="22" t="n"/>
      <c r="V161" s="19" t="inlineStr">
        <is>
          <t>Corporate Divestiture</t>
        </is>
      </c>
      <c r="W161" s="22" t="n">
        <v>41.68</v>
      </c>
      <c r="X161" s="19" t="inlineStr">
        <is>
          <t>The Electromechanical Actuation Business of Safran Group (PAR: SAF) was acquired by Woodward (NAS: WWD) for $41.678 million on July 21, 2025. The acquisition of Safran's electromechanical actuation business aligns perfectly with Woodward's growth and innovation value drivers.</t>
        </is>
      </c>
      <c r="Y161" s="19" t="inlineStr">
        <is>
          <t>Corporate Backed or Acquired</t>
        </is>
      </c>
      <c r="Z161" s="19" t="inlineStr">
        <is>
          <t>Generating Revenue</t>
        </is>
      </c>
      <c r="AA161" s="19" t="inlineStr">
        <is>
          <t>Woodward (NAS: WWD) (Charles Blankenship)</t>
        </is>
      </c>
      <c r="AB161" s="19" t="inlineStr">
        <is>
          <t>Other Commercial Products</t>
        </is>
      </c>
      <c r="AC161" s="19" t="inlineStr">
        <is>
          <t>Manufacturing</t>
        </is>
      </c>
      <c r="AD161" s="19" t="inlineStr">
        <is>
          <t>Operator of electronics &amp; defense electromechanical actuation business based in the United States, Mexico, and Canada.</t>
        </is>
      </c>
      <c r="AE161" s="19" t="n"/>
      <c r="AF161" s="19" t="n"/>
    </row>
    <row r="162" ht="42" customHeight="1">
      <c r="A162" s="12" t="inlineStr">
        <is>
          <t>USA-161</t>
        </is>
      </c>
      <c r="B162" s="12" t="inlineStr">
        <is>
          <t>USA</t>
        </is>
      </c>
      <c r="C162" s="12" t="inlineStr">
        <is>
          <t>USA</t>
        </is>
      </c>
      <c r="D162" s="13" t="inlineStr">
        <is>
          <t>Drone Nerds ( Internet Retail)</t>
        </is>
      </c>
      <c r="E162" s="13" t="inlineStr">
        <is>
          <t>XTI Aerospace</t>
        </is>
      </c>
      <c r="F162" s="12" t="n"/>
      <c r="G162" s="13" t="n"/>
      <c r="H162" s="14" t="n">
        <v>45971</v>
      </c>
      <c r="I162" s="14" t="n"/>
      <c r="J162" s="15" t="n">
        <v>2025</v>
      </c>
      <c r="K162" s="13" t="inlineStr">
        <is>
          <t>Merger/Acquisition</t>
        </is>
      </c>
      <c r="L162" s="13" t="n"/>
      <c r="M162" s="13" t="inlineStr">
        <is>
          <t>Completed</t>
        </is>
      </c>
      <c r="N162" s="16" t="n">
        <v>40</v>
      </c>
      <c r="O162" s="12" t="inlineStr">
        <is>
          <t>USD</t>
        </is>
      </c>
      <c r="R162" s="36" t="n"/>
      <c r="S162" s="16" t="n"/>
      <c r="T162" s="36" t="n"/>
      <c r="U162" s="16" t="n"/>
      <c r="V162" s="13" t="n"/>
      <c r="W162" s="16" t="n">
        <v>40</v>
      </c>
      <c r="X162" s="13" t="inlineStr">
        <is>
          <t>The company was acquired by XTI Aerospace (NAS: XTIA) for an $40 million on November 10, 2025. XTI will benefit from the company' market-leading position in unmanned aircraft systems (UAS) solutions, which spans systems design and configuration including hardware and software for wide-ranging corporate and consumer operational missions.</t>
        </is>
      </c>
      <c r="Y162" s="13" t="inlineStr">
        <is>
          <t>Corporate Backed or Acquired</t>
        </is>
      </c>
      <c r="Z162" s="13" t="inlineStr">
        <is>
          <t>Generating Revenue</t>
        </is>
      </c>
      <c r="AA162" s="13" t="inlineStr">
        <is>
          <t>XTI Aerospace (NAS: XTIA) (Scott Pomeroy)</t>
        </is>
      </c>
      <c r="AB162" s="13" t="inlineStr">
        <is>
          <t>Internet Retail</t>
        </is>
      </c>
      <c r="AC162" s="13" t="inlineStr">
        <is>
          <t>Robotics and Drones</t>
        </is>
      </c>
      <c r="AD162" s="13" t="inlineStr">
        <is>
          <t>Operator of an online retail website and a service center intended to offer drone solutions for enterprise, private, and recreational needs.The company specializes in the supply of high-end drones for aerial filming, videography, surveying, helping clients, and more, thereby catering across industry verticals, including public safety, government, agriculture, construction, energy, inspection, with a spectrum of applications and quality reliable drones.</t>
        </is>
      </c>
      <c r="AE162" s="13" t="inlineStr">
        <is>
          <t>Aventura, FL</t>
        </is>
      </c>
      <c r="AF162" s="13" t="inlineStr">
        <is>
          <t>www.dronenerds.com</t>
        </is>
      </c>
    </row>
    <row r="163" ht="42" customHeight="1">
      <c r="A163" s="18" t="inlineStr">
        <is>
          <t>USA-162</t>
        </is>
      </c>
      <c r="B163" s="18" t="inlineStr">
        <is>
          <t>USA</t>
        </is>
      </c>
      <c r="C163" s="18" t="inlineStr">
        <is>
          <t>USA</t>
        </is>
      </c>
      <c r="D163" s="19" t="inlineStr">
        <is>
          <t>Eclipse Aerospace</t>
        </is>
      </c>
      <c r="E163" s="19" t="inlineStr">
        <is>
          <t>Sikorsky Aircraft</t>
        </is>
      </c>
      <c r="F163" s="18" t="n"/>
      <c r="G163" s="19" t="n"/>
      <c r="H163" s="20" t="n">
        <v>46058</v>
      </c>
      <c r="I163" s="20" t="n"/>
      <c r="J163" s="21" t="n">
        <v>2026</v>
      </c>
      <c r="K163" s="19" t="inlineStr">
        <is>
          <t>Merger/Acquisition</t>
        </is>
      </c>
      <c r="L163" s="19" t="n"/>
      <c r="M163" s="19" t="inlineStr">
        <is>
          <t>Completed</t>
        </is>
      </c>
      <c r="N163" s="22" t="n">
        <v>40</v>
      </c>
      <c r="O163" s="18" t="inlineStr">
        <is>
          <t>USD</t>
        </is>
      </c>
      <c r="R163" s="37" t="n"/>
      <c r="S163" s="22" t="n"/>
      <c r="T163" s="37" t="n"/>
      <c r="U163" s="22" t="n"/>
      <c r="V163" s="19" t="n"/>
      <c r="W163" s="22" t="n">
        <v>40</v>
      </c>
      <c r="X163" s="19" t="inlineStr">
        <is>
          <t>The company was acquired by Sikorsky Aircraft for $40 million on February 5, 2026.</t>
        </is>
      </c>
      <c r="Y163" s="19" t="inlineStr">
        <is>
          <t>Formerly VC-backed</t>
        </is>
      </c>
      <c r="Z163" s="19" t="inlineStr">
        <is>
          <t>Generating Revenue</t>
        </is>
      </c>
      <c r="AA163" s="19" t="inlineStr">
        <is>
          <t>Sikorsky Aircraft</t>
        </is>
      </c>
      <c r="AB163" s="19" t="inlineStr">
        <is>
          <t>Air</t>
        </is>
      </c>
      <c r="AC163" s="19" t="inlineStr">
        <is>
          <t>Manufacturing</t>
        </is>
      </c>
      <c r="AD163" s="19" t="inlineStr">
        <is>
          <t>Developer and manufacturer of very light jet aircraft designed for personal and business aviation use. The company develops and manufactures aircraft while also providing repair, maintenance, inspection, and jet-related support services, integrating engineering, production, certification, and ongoing technical servicing into a single operational structure, enabling individuals and businesses to acquire, operate, and maintain light jet aircraft with consistent access to lifecycle support, operational reliability, and cost-aligned suited to varied mission requirements and budget constraints.</t>
        </is>
      </c>
      <c r="AE163" s="19" t="inlineStr">
        <is>
          <t>Albuquerque, NM</t>
        </is>
      </c>
      <c r="AF163" s="19" t="inlineStr">
        <is>
          <t>www.eclipse.aero.com</t>
        </is>
      </c>
    </row>
    <row r="164" ht="42" customHeight="1">
      <c r="A164" s="12" t="inlineStr">
        <is>
          <t>USA-163</t>
        </is>
      </c>
      <c r="B164" s="12" t="inlineStr">
        <is>
          <t>USA</t>
        </is>
      </c>
      <c r="C164" s="12" t="inlineStr">
        <is>
          <t>USA</t>
        </is>
      </c>
      <c r="D164" s="13" t="inlineStr">
        <is>
          <t>Starfighters Space (ASE: FJET)</t>
        </is>
      </c>
      <c r="E164" s="13" t="n"/>
      <c r="F164" s="12" t="n"/>
      <c r="G164" s="13" t="n"/>
      <c r="H164" s="14" t="n">
        <v>46009</v>
      </c>
      <c r="I164" s="14" t="n"/>
      <c r="J164" s="15" t="n">
        <v>2025</v>
      </c>
      <c r="K164" s="13" t="inlineStr">
        <is>
          <t>IPO</t>
        </is>
      </c>
      <c r="L164" s="13" t="n"/>
      <c r="M164" s="13" t="inlineStr">
        <is>
          <t>Completed</t>
        </is>
      </c>
      <c r="N164" s="16" t="n">
        <v>40</v>
      </c>
      <c r="O164" s="12" t="inlineStr">
        <is>
          <t>USD</t>
        </is>
      </c>
      <c r="R164" s="36" t="n">
        <v>-7.26</v>
      </c>
      <c r="S164" s="16" t="n">
        <v>-5.51</v>
      </c>
      <c r="T164" s="36" t="n"/>
      <c r="U164" s="16" t="n">
        <v>0</v>
      </c>
      <c r="V164" s="13" t="n"/>
      <c r="W164" s="16" t="n"/>
      <c r="X164" s="13" t="inlineStr">
        <is>
          <t>The company raised $40 million in its initial public offering on the NYSE MKT LLC stock exchange under the ticker symbol of FJET on December 18, 2025. A total of 11,142,061 shares were sold at a price of $3.59 per share.</t>
        </is>
      </c>
      <c r="Y164" s="13" t="inlineStr">
        <is>
          <t>Formerly VC-backed</t>
        </is>
      </c>
      <c r="Z164" s="13" t="inlineStr">
        <is>
          <t>Generating Revenue</t>
        </is>
      </c>
      <c r="AA164" s="13" t="n"/>
      <c r="AB164" s="13" t="inlineStr">
        <is>
          <t>Aerospace and Defense</t>
        </is>
      </c>
      <c r="AC164" s="13" t="inlineStr">
        <is>
          <t>Space Technology</t>
        </is>
      </c>
      <c r="AD164" s="13" t="inlineStr">
        <is>
          <t>Starfighters Space Inc is a commercial aerospace company based at NASA's Kennedy Space Center in Florida, with an additional base of operations at Midland International Air &amp; Space Port in Texas, and has a fleet of seven F-104 Fighter jets that are capable of flying MACH 2+. Its activities include air launch operations, pilot and space flight training, support research, hypersonic testing, and other aerospace development programs. The company has one operating segment, which is principally the operations of F-104 Fighter jets and the development of infrastructure for orbital space launch.</t>
        </is>
      </c>
      <c r="AE164" s="13" t="inlineStr">
        <is>
          <t>Cape Canaveral, FL</t>
        </is>
      </c>
      <c r="AF164" s="13" t="inlineStr">
        <is>
          <t>www.starfightersspace.com</t>
        </is>
      </c>
    </row>
    <row r="165" ht="42" customHeight="1">
      <c r="A165" s="18" t="inlineStr">
        <is>
          <t>USA-164</t>
        </is>
      </c>
      <c r="B165" s="18" t="inlineStr">
        <is>
          <t>USA</t>
        </is>
      </c>
      <c r="C165" s="18" t="inlineStr">
        <is>
          <t>USA</t>
        </is>
      </c>
      <c r="D165" s="19" t="inlineStr">
        <is>
          <t>SyberJet Aircraft</t>
        </is>
      </c>
      <c r="E165" s="19" t="n"/>
      <c r="F165" s="18" t="n"/>
      <c r="G165" s="19" t="n"/>
      <c r="H165" s="20" t="n">
        <v>46023</v>
      </c>
      <c r="I165" s="20" t="n"/>
      <c r="J165" s="21" t="n">
        <v>2026</v>
      </c>
      <c r="K165" s="19" t="inlineStr">
        <is>
          <t>Merger/Acquisition</t>
        </is>
      </c>
      <c r="L165" s="19" t="n"/>
      <c r="M165" s="19" t="inlineStr">
        <is>
          <t>Completed</t>
        </is>
      </c>
      <c r="N165" s="22" t="n">
        <v>40</v>
      </c>
      <c r="O165" s="18" t="inlineStr">
        <is>
          <t>USD</t>
        </is>
      </c>
      <c r="R165" s="37" t="n"/>
      <c r="S165" s="22" t="n"/>
      <c r="T165" s="37" t="n"/>
      <c r="U165" s="22" t="n"/>
      <c r="V165" s="19" t="inlineStr">
        <is>
          <t>Corporate Divestiture</t>
        </is>
      </c>
      <c r="W165" s="22" t="n">
        <v>40</v>
      </c>
      <c r="X165" s="19" t="inlineStr">
        <is>
          <t>The company, a subsidiary of MetalCraft, was acquired for $40 million in approximately January 2026.</t>
        </is>
      </c>
      <c r="Y165" s="19" t="inlineStr">
        <is>
          <t>Formerly PE-Backed</t>
        </is>
      </c>
      <c r="Z165" s="19" t="inlineStr">
        <is>
          <t>Generating Revenue</t>
        </is>
      </c>
      <c r="AA165" s="19" t="n"/>
      <c r="AB165" s="19" t="inlineStr">
        <is>
          <t>Air</t>
        </is>
      </c>
      <c r="AC165" s="19" t="inlineStr">
        <is>
          <t>Industrials, Manufacturing</t>
        </is>
      </c>
      <c r="AD165" s="19" t="inlineStr">
        <is>
          <t>Designer and manufacturer of business jets based in Cedar City, Utah. The company specializes in the designing, manufacturing and sales of light business jet aircraft and related components, enabling clients with high-speed and fuel-efficient cruising features that are optimized for low-speed approaches and gentle landings.</t>
        </is>
      </c>
      <c r="AE165" s="19" t="inlineStr">
        <is>
          <t>Chandler, AZ</t>
        </is>
      </c>
      <c r="AF165" s="19" t="inlineStr">
        <is>
          <t>www.syberjet.com</t>
        </is>
      </c>
    </row>
    <row r="166" ht="42" customHeight="1">
      <c r="A166" s="12" t="inlineStr">
        <is>
          <t>USA-165</t>
        </is>
      </c>
      <c r="B166" s="12" t="inlineStr">
        <is>
          <t>USA</t>
        </is>
      </c>
      <c r="C166" s="12" t="inlineStr">
        <is>
          <t>USA</t>
        </is>
      </c>
      <c r="D166" s="13" t="inlineStr">
        <is>
          <t>Weldmac</t>
        </is>
      </c>
      <c r="E166" s="13" t="inlineStr">
        <is>
          <t>TriMas</t>
        </is>
      </c>
      <c r="F166" s="12" t="n"/>
      <c r="G166" s="13" t="n"/>
      <c r="H166" s="14" t="n">
        <v>45037</v>
      </c>
      <c r="I166" s="14" t="n"/>
      <c r="J166" s="15" t="n">
        <v>2023</v>
      </c>
      <c r="K166" s="13" t="inlineStr">
        <is>
          <t>Merger/Acquisition</t>
        </is>
      </c>
      <c r="L166" s="13" t="n"/>
      <c r="M166" s="13" t="inlineStr">
        <is>
          <t>Completed</t>
        </is>
      </c>
      <c r="N166" s="16" t="n">
        <v>39.5</v>
      </c>
      <c r="O166" s="12" t="inlineStr">
        <is>
          <t>USD</t>
        </is>
      </c>
      <c r="P166" s="50" t="n">
        <v>1.2</v>
      </c>
      <c r="R166" s="36" t="n"/>
      <c r="S166" s="16" t="n"/>
      <c r="T166" s="36" t="n">
        <v>1.2</v>
      </c>
      <c r="U166" s="16" t="n">
        <v>33</v>
      </c>
      <c r="V166" s="13" t="n"/>
      <c r="W166" s="16" t="n">
        <v>39.5</v>
      </c>
      <c r="X166" s="13" t="inlineStr">
        <is>
          <t>The company was acquired by TriMas (NAS: TRS) for $39.5 million on April 21, 2023. The acquisition includes an additional consideration of $5.5 million paid in July 2023. This acquisition will add complementary, highly-engineered products and new manufacturing capabilities to TriMas Aerospace, expanding its offering and position in the aerospace, defense and space launch end markets.</t>
        </is>
      </c>
      <c r="Y166" s="13" t="inlineStr">
        <is>
          <t>Corporate Backed or Acquired</t>
        </is>
      </c>
      <c r="Z166" s="13" t="inlineStr">
        <is>
          <t>Generating Revenue</t>
        </is>
      </c>
      <c r="AA166" s="13" t="inlineStr">
        <is>
          <t>TriMas (NAS: TRS) (Thomas Amato)</t>
        </is>
      </c>
      <c r="AB166" s="13" t="inlineStr">
        <is>
          <t>Aerospace and Defense</t>
        </is>
      </c>
      <c r="AC166" s="13" t="inlineStr">
        <is>
          <t>Manufacturing</t>
        </is>
      </c>
      <c r="AD166" s="13" t="inlineStr">
        <is>
          <t>Manufacturer of precision metal assemblies for aerospace industries based in El Cajon, California. The company's product includes sheet metal, machined and welded assemblies, enabling aerospace industry to get a supply of finished and fine-tolerance precision metal fabricated assemblies.</t>
        </is>
      </c>
      <c r="AE166" s="13" t="inlineStr">
        <is>
          <t>El Cajon, CA</t>
        </is>
      </c>
      <c r="AF166" s="13" t="inlineStr">
        <is>
          <t>www.weldmac.com</t>
        </is>
      </c>
    </row>
    <row r="167" ht="42" customHeight="1">
      <c r="A167" s="18" t="inlineStr">
        <is>
          <t>USA-166</t>
        </is>
      </c>
      <c r="B167" s="18" t="inlineStr">
        <is>
          <t>USA</t>
        </is>
      </c>
      <c r="C167" s="18" t="inlineStr">
        <is>
          <t>USA</t>
        </is>
      </c>
      <c r="D167" s="19" t="inlineStr">
        <is>
          <t>Wasatch Photonics</t>
        </is>
      </c>
      <c r="E167" s="19" t="inlineStr">
        <is>
          <t>Foss</t>
        </is>
      </c>
      <c r="F167" s="18" t="n"/>
      <c r="G167" s="19" t="n"/>
      <c r="H167" s="20" t="n">
        <v>45971</v>
      </c>
      <c r="I167" s="20" t="n"/>
      <c r="J167" s="21" t="n">
        <v>2025</v>
      </c>
      <c r="K167" s="19" t="inlineStr">
        <is>
          <t>Merger/Acquisition</t>
        </is>
      </c>
      <c r="L167" s="19" t="n"/>
      <c r="M167" s="19" t="inlineStr">
        <is>
          <t>Completed</t>
        </is>
      </c>
      <c r="N167" s="22" t="n">
        <v>38.82</v>
      </c>
      <c r="O167" s="18" t="inlineStr">
        <is>
          <t>USD</t>
        </is>
      </c>
      <c r="R167" s="37" t="n"/>
      <c r="S167" s="22" t="n"/>
      <c r="T167" s="37" t="n"/>
      <c r="U167" s="22" t="n"/>
      <c r="V167" s="19" t="n"/>
      <c r="W167" s="22" t="n">
        <v>38.82</v>
      </c>
      <c r="X167" s="19" t="inlineStr">
        <is>
          <t>The company was acquired by Foss, a subsidiary of N. Foss &amp; Co., for DKK 250 million on November 10, 2025. This acquisition represents a bold step toward Foss's vision for the future and broader strategy in photonics.</t>
        </is>
      </c>
      <c r="Y167" s="19" t="inlineStr">
        <is>
          <t>Corporate Backed or Acquired</t>
        </is>
      </c>
      <c r="Z167" s="19" t="inlineStr">
        <is>
          <t>Generating Revenue</t>
        </is>
      </c>
      <c r="AA167" s="19" t="inlineStr">
        <is>
          <t>Foss (Kim Hansen)</t>
        </is>
      </c>
      <c r="AB167" s="19" t="inlineStr">
        <is>
          <t>Monitoring Equipment</t>
        </is>
      </c>
      <c r="AC167" s="19" t="inlineStr">
        <is>
          <t>Manufacturing</t>
        </is>
      </c>
      <c r="AD167" s="19" t="inlineStr">
        <is>
          <t>Manufacturer of gratings and spectrometers intended to serve the defense and security, chemical manufacturing, pharmaceutical, medical, energy, education, computer and electronics markets. The company specializes in manufacturing and developing volume-phase holographic gratings and volume-phase holographic optical elements for spectroscopy, hyperspectral imaging, astronomy and other systems.</t>
        </is>
      </c>
      <c r="AE167" s="19" t="inlineStr">
        <is>
          <t>Logan, UT</t>
        </is>
      </c>
      <c r="AF167" s="19" t="inlineStr">
        <is>
          <t>www.wasatchphotonics.com</t>
        </is>
      </c>
    </row>
    <row r="168" ht="42" customHeight="1">
      <c r="A168" s="12" t="inlineStr">
        <is>
          <t>USA-167</t>
        </is>
      </c>
      <c r="B168" s="12" t="inlineStr">
        <is>
          <t>USA</t>
        </is>
      </c>
      <c r="C168" s="12" t="inlineStr">
        <is>
          <t>USA</t>
        </is>
      </c>
      <c r="D168" s="13" t="inlineStr">
        <is>
          <t>Technifab Products</t>
        </is>
      </c>
      <c r="E168" s="13" t="inlineStr">
        <is>
          <t>Crane</t>
        </is>
      </c>
      <c r="F168" s="12" t="n"/>
      <c r="G168" s="13" t="n"/>
      <c r="H168" s="14" t="n">
        <v>45597</v>
      </c>
      <c r="I168" s="14" t="n"/>
      <c r="J168" s="15" t="n">
        <v>2024</v>
      </c>
      <c r="K168" s="13" t="inlineStr">
        <is>
          <t>Merger/Acquisition</t>
        </is>
      </c>
      <c r="L168" s="13" t="n"/>
      <c r="M168" s="13" t="inlineStr">
        <is>
          <t>Completed</t>
        </is>
      </c>
      <c r="N168" s="16" t="n">
        <v>38.8</v>
      </c>
      <c r="O168" s="12" t="inlineStr">
        <is>
          <t>USD</t>
        </is>
      </c>
      <c r="P168" s="50" t="n">
        <v>1.94</v>
      </c>
      <c r="Q168" s="50" t="n">
        <v>9.699999999999999</v>
      </c>
      <c r="R168" s="36" t="n">
        <v>9.699999999999999</v>
      </c>
      <c r="S168" s="16" t="n">
        <v>4</v>
      </c>
      <c r="T168" s="36" t="n">
        <v>1.94</v>
      </c>
      <c r="U168" s="16" t="n">
        <v>20</v>
      </c>
      <c r="V168" s="13" t="n"/>
      <c r="W168" s="16" t="n">
        <v>38.8</v>
      </c>
      <c r="X168" s="13" t="inlineStr">
        <is>
          <t>The company was acquired by Crane (NYS: CR) for $38.8 million on November 1, 2024. The company joins Crane as part of the company's Process Flow Technologies segment and extends its cryogenics capabilities into high-growth semiconductor, medical and pharmaceutical end markets, as well as further expanding its geographic footprint to better serve its customers.</t>
        </is>
      </c>
      <c r="Y168" s="13" t="inlineStr">
        <is>
          <t>Corporate Backed or Acquired</t>
        </is>
      </c>
      <c r="Z168" s="13" t="inlineStr">
        <is>
          <t>Generating Revenue</t>
        </is>
      </c>
      <c r="AA168" s="13" t="inlineStr">
        <is>
          <t>Crane (United States) (NYS: CR) (Max Mitchell)</t>
        </is>
      </c>
      <c r="AB168" s="13" t="inlineStr">
        <is>
          <t>Machinery (B2B)</t>
        </is>
      </c>
      <c r="AC168" s="13" t="inlineStr">
        <is>
          <t>Industrials, Manufacturing</t>
        </is>
      </c>
      <c r="AD168" s="13" t="inlineStr">
        <is>
          <t>Manufacturer of cryogenic equipment intended to serve various industries that include aerospace, defense, healthcare, food, semiconductor and electronics. the company specializes in the design, manufacturing, and installation of ASME-certified cryogenic equipment, including vacuum jacketed piping, transfer hoses, phase separators, and automatic fill stations.</t>
        </is>
      </c>
      <c r="AE168" s="13" t="inlineStr">
        <is>
          <t>Brazil, IN</t>
        </is>
      </c>
      <c r="AF168" s="13" t="inlineStr">
        <is>
          <t>www.technifab.com</t>
        </is>
      </c>
    </row>
    <row r="169" ht="42" customHeight="1">
      <c r="A169" s="18" t="inlineStr">
        <is>
          <t>USA-168</t>
        </is>
      </c>
      <c r="B169" s="18" t="inlineStr">
        <is>
          <t>USA</t>
        </is>
      </c>
      <c r="C169" s="18" t="inlineStr">
        <is>
          <t>USA</t>
        </is>
      </c>
      <c r="D169" s="19" t="inlineStr">
        <is>
          <t>Mystery Ranch</t>
        </is>
      </c>
      <c r="E169" s="19" t="inlineStr">
        <is>
          <t>Yeti Holdings</t>
        </is>
      </c>
      <c r="F169" s="18" t="n"/>
      <c r="G169" s="19" t="n"/>
      <c r="H169" s="20" t="n">
        <v>45324</v>
      </c>
      <c r="I169" s="20" t="n"/>
      <c r="J169" s="21" t="n">
        <v>2024</v>
      </c>
      <c r="K169" s="19" t="inlineStr">
        <is>
          <t>Merger/Acquisition</t>
        </is>
      </c>
      <c r="L169" s="19" t="n"/>
      <c r="M169" s="19" t="inlineStr">
        <is>
          <t>Completed</t>
        </is>
      </c>
      <c r="N169" s="22" t="n">
        <v>38.22</v>
      </c>
      <c r="O169" s="18" t="inlineStr">
        <is>
          <t>USD</t>
        </is>
      </c>
      <c r="R169" s="37" t="n"/>
      <c r="S169" s="22" t="n"/>
      <c r="T169" s="37" t="n"/>
      <c r="U169" s="22" t="n"/>
      <c r="V169" s="19" t="n"/>
      <c r="W169" s="22" t="n">
        <v>38.22</v>
      </c>
      <c r="X169" s="19" t="inlineStr">
        <is>
          <t>The company was acquired by YETI Coolers (NYS: YETI) for $38.216 million on February 2, 2024. The acquisition align with YETI Cooler's communities and ambassadors.</t>
        </is>
      </c>
      <c r="Y169" s="19" t="inlineStr">
        <is>
          <t>Corporate Backed or Acquired</t>
        </is>
      </c>
      <c r="Z169" s="19" t="inlineStr">
        <is>
          <t>Generating Revenue</t>
        </is>
      </c>
      <c r="AA169" s="19" t="inlineStr">
        <is>
          <t>Yeti Holdings (NYS: YETI) (Matthew Reintjes)</t>
        </is>
      </c>
      <c r="AB169" s="19" t="inlineStr">
        <is>
          <t>Accessories</t>
        </is>
      </c>
      <c r="AC169" s="19" t="inlineStr">
        <is>
          <t>Manufacturing</t>
        </is>
      </c>
      <c r="AD169" s="19" t="inlineStr">
        <is>
          <t>Manufacturer of load-bearing backpacks designed for the military, fire, hunting and mountain user groups. The company offers backpacks for applications from climbing, hunting, firefighting and military uses along with accessories, t-shirts and hoodies enabling customers to get waterproof and dust-resilient products.</t>
        </is>
      </c>
      <c r="AE169" s="19" t="inlineStr">
        <is>
          <t>Bozeman, MT</t>
        </is>
      </c>
      <c r="AF169" s="19" t="inlineStr">
        <is>
          <t>www.mysteryranch.com</t>
        </is>
      </c>
    </row>
    <row r="170" ht="42" customHeight="1">
      <c r="A170" s="12" t="inlineStr">
        <is>
          <t>USA-169</t>
        </is>
      </c>
      <c r="B170" s="12" t="inlineStr">
        <is>
          <t>USA</t>
        </is>
      </c>
      <c r="C170" s="12" t="inlineStr">
        <is>
          <t>USA</t>
        </is>
      </c>
      <c r="D170" s="13" t="inlineStr">
        <is>
          <t>Norden Millimeter</t>
        </is>
      </c>
      <c r="E170" s="13" t="inlineStr">
        <is>
          <t>Kratos Defense &amp; Security Solutions</t>
        </is>
      </c>
      <c r="F170" s="12" t="n"/>
      <c r="G170" s="13" t="n"/>
      <c r="H170" s="14" t="n">
        <v>45723</v>
      </c>
      <c r="I170" s="14" t="n"/>
      <c r="J170" s="15" t="n">
        <v>2025</v>
      </c>
      <c r="K170" s="13" t="inlineStr">
        <is>
          <t>Merger/Acquisition</t>
        </is>
      </c>
      <c r="L170" s="13" t="n"/>
      <c r="M170" s="13" t="inlineStr">
        <is>
          <t>Completed</t>
        </is>
      </c>
      <c r="N170" s="16" t="n">
        <v>37</v>
      </c>
      <c r="O170" s="12" t="inlineStr">
        <is>
          <t>USD</t>
        </is>
      </c>
      <c r="R170" s="36" t="n"/>
      <c r="S170" s="16" t="n"/>
      <c r="T170" s="36" t="n"/>
      <c r="U170" s="16" t="n"/>
      <c r="V170" s="13" t="n"/>
      <c r="W170" s="16" t="n">
        <v>37</v>
      </c>
      <c r="X170" s="13" t="inlineStr">
        <is>
          <t>The company was acquired by Kratos Defense &amp; Security Solutions (NAS: KTOS) for $37 million on March 7, 2025. With this acquisition, Kratos Defense &amp; Security Solutions broaden its portfolio, invest in growth, and leverage combined resources to create even greater value for their customers, partners, and employees.</t>
        </is>
      </c>
      <c r="Y170" s="13" t="inlineStr">
        <is>
          <t>Corporate Backed or Acquired</t>
        </is>
      </c>
      <c r="Z170" s="13" t="inlineStr">
        <is>
          <t>Generating Revenue</t>
        </is>
      </c>
      <c r="AA170" s="13" t="inlineStr">
        <is>
          <t>Kratos Defense &amp; Security Solutions (NAS: KTOS)</t>
        </is>
      </c>
      <c r="AB170" s="13" t="inlineStr">
        <is>
          <t>Aerospace and Defense</t>
        </is>
      </c>
      <c r="AC170" s="13" t="inlineStr">
        <is>
          <t>Manufacturing</t>
        </is>
      </c>
      <c r="AD170" s="13" t="inlineStr">
        <is>
          <t>Manufacturer of microwave and millimeter wave products intended to serve military, commercial and test applications. The company specializes in frequency converters, frequency multipliers, RF amplifiers and custom assemblies, thereby delivering high-performance solutions for advanced technology needs.</t>
        </is>
      </c>
      <c r="AE170" s="13" t="inlineStr">
        <is>
          <t>Placerville, CA</t>
        </is>
      </c>
      <c r="AF170" s="13" t="inlineStr">
        <is>
          <t>www.nordengroup.com</t>
        </is>
      </c>
    </row>
    <row r="171" ht="42" customHeight="1">
      <c r="A171" s="18" t="inlineStr">
        <is>
          <t>USA-170</t>
        </is>
      </c>
      <c r="B171" s="18" t="inlineStr">
        <is>
          <t>USA</t>
        </is>
      </c>
      <c r="C171" s="18" t="inlineStr">
        <is>
          <t>USA</t>
        </is>
      </c>
      <c r="D171" s="19" t="inlineStr">
        <is>
          <t>FlackTek</t>
        </is>
      </c>
      <c r="E171" s="19" t="inlineStr">
        <is>
          <t>Graham</t>
        </is>
      </c>
      <c r="F171" s="18" t="n"/>
      <c r="G171" s="19" t="n"/>
      <c r="H171" s="20" t="n">
        <v>46085</v>
      </c>
      <c r="I171" s="20" t="n"/>
      <c r="J171" s="21" t="n">
        <v>2026</v>
      </c>
      <c r="K171" s="19" t="inlineStr">
        <is>
          <t>Merger/Acquisition</t>
        </is>
      </c>
      <c r="L171" s="19" t="n"/>
      <c r="M171" s="19" t="inlineStr">
        <is>
          <t>Completed</t>
        </is>
      </c>
      <c r="N171" s="22" t="n">
        <v>35</v>
      </c>
      <c r="O171" s="18" t="inlineStr">
        <is>
          <t>USD</t>
        </is>
      </c>
      <c r="P171" s="50" t="n">
        <v>1.17</v>
      </c>
      <c r="R171" s="37" t="n"/>
      <c r="S171" s="22" t="n"/>
      <c r="T171" s="37" t="n">
        <v>1.17</v>
      </c>
      <c r="U171" s="22" t="n">
        <v>30</v>
      </c>
      <c r="V171" s="19" t="n"/>
      <c r="W171" s="22" t="n">
        <v>35</v>
      </c>
      <c r="X171" s="19" t="inlineStr">
        <is>
          <t>The company was acquired by Graham (Batavia) (NYS: GHM) for $35 million on March 4, 2026. This acquisition enables Graham to strengthen mission-critical engineered products platform.</t>
        </is>
      </c>
      <c r="Y171" s="19" t="inlineStr">
        <is>
          <t>Corporate Backed or Acquired</t>
        </is>
      </c>
      <c r="Z171" s="19" t="inlineStr">
        <is>
          <t>Generating Revenue</t>
        </is>
      </c>
      <c r="AA171" s="19" t="inlineStr">
        <is>
          <t>Graham (Machinery) (NYS: GHM) (Mathew Malone)</t>
        </is>
      </c>
      <c r="AB171" s="19" t="inlineStr">
        <is>
          <t>Machinery (B2B)</t>
        </is>
      </c>
      <c r="AC171" s="19" t="inlineStr">
        <is>
          <t>Advanced Manufacturing, Manufacturing</t>
        </is>
      </c>
      <c r="AD171" s="19" t="inlineStr">
        <is>
          <t>Manufacturer of mixers machines catering to 3D printing, aerospace, defense, energetics, personal care and cosmetics, and other sectors. The company manufactures speed mixers that allow users to mix thick and thin substances, powders, creams, and semi-solids and also supplies accessories for scales of needs, ranging from research and development to production, as well as in-depth training, technical service, and customer support.</t>
        </is>
      </c>
      <c r="AE171" s="19" t="inlineStr">
        <is>
          <t>Landrum, SC</t>
        </is>
      </c>
      <c r="AF171" s="19" t="inlineStr">
        <is>
          <t>www.flacktek.com</t>
        </is>
      </c>
    </row>
    <row r="172" ht="42" customHeight="1">
      <c r="A172" s="12" t="inlineStr">
        <is>
          <t>USA-171</t>
        </is>
      </c>
      <c r="B172" s="12" t="inlineStr">
        <is>
          <t>USA</t>
        </is>
      </c>
      <c r="C172" s="12" t="inlineStr">
        <is>
          <t>USA</t>
        </is>
      </c>
      <c r="D172" s="13" t="inlineStr">
        <is>
          <t>Perception Point</t>
        </is>
      </c>
      <c r="E172" s="13" t="inlineStr">
        <is>
          <t>Fortinet</t>
        </is>
      </c>
      <c r="F172" s="12" t="n"/>
      <c r="G172" s="13" t="n"/>
      <c r="H172" s="14" t="n">
        <v>45631</v>
      </c>
      <c r="I172" s="14" t="n"/>
      <c r="J172" s="15" t="n">
        <v>2024</v>
      </c>
      <c r="K172" s="13" t="inlineStr">
        <is>
          <t>Merger/Acquisition</t>
        </is>
      </c>
      <c r="L172" s="13" t="n"/>
      <c r="M172" s="13" t="inlineStr">
        <is>
          <t>Completed</t>
        </is>
      </c>
      <c r="N172" s="16" t="n">
        <v>33.7</v>
      </c>
      <c r="O172" s="12" t="inlineStr">
        <is>
          <t>USD</t>
        </is>
      </c>
      <c r="R172" s="36" t="n"/>
      <c r="S172" s="16" t="n"/>
      <c r="T172" s="36" t="n"/>
      <c r="U172" s="16" t="n"/>
      <c r="V172" s="13" t="n"/>
      <c r="W172" s="16" t="n">
        <v>33.7</v>
      </c>
      <c r="X172" s="13" t="inlineStr">
        <is>
          <t>The company was acquired by Fortinet (NAS: FTNT) for $33.7 million on December 5, 2024.</t>
        </is>
      </c>
      <c r="Y172" s="13" t="inlineStr">
        <is>
          <t>Formerly VC-backed</t>
        </is>
      </c>
      <c r="Z172" s="13" t="inlineStr">
        <is>
          <t>Generating Revenue</t>
        </is>
      </c>
      <c r="AA172" s="13" t="inlineStr">
        <is>
          <t>Fortinet (NAS: FTNT)</t>
        </is>
      </c>
      <c r="AB172" s="13" t="inlineStr">
        <is>
          <t>Network Management Software</t>
        </is>
      </c>
      <c r="AC172" s="13" t="inlineStr">
        <is>
          <t>Artificial Intelligence &amp; Machine Learning, Cybersecurity, SaaS</t>
        </is>
      </c>
      <c r="AD172" s="13" t="inlineStr">
        <is>
          <t>Developer of a cloud-based platform designed to prevent cyber threats across all enterprise collaboration channels. The company's AI-powered cyber security platform directly accesses a computer system's CPU to detect and prevent attacks before exploitation at the earliest possible stage, enabling businesses to protect their data and network from phishing and other attacks.</t>
        </is>
      </c>
      <c r="AE172" s="13" t="inlineStr">
        <is>
          <t>Boston, MA</t>
        </is>
      </c>
      <c r="AF172" s="13" t="inlineStr">
        <is>
          <t>www.perception-point.io</t>
        </is>
      </c>
    </row>
    <row r="173" ht="42" customHeight="1">
      <c r="A173" s="18" t="inlineStr">
        <is>
          <t>USA-172</t>
        </is>
      </c>
      <c r="B173" s="18" t="inlineStr">
        <is>
          <t>USA</t>
        </is>
      </c>
      <c r="C173" s="18" t="inlineStr">
        <is>
          <t>USA</t>
        </is>
      </c>
      <c r="D173" s="19" t="inlineStr">
        <is>
          <t>Turbine Standard</t>
        </is>
      </c>
      <c r="E173" s="19" t="inlineStr">
        <is>
          <t>Bet Shemesh Engines</t>
        </is>
      </c>
      <c r="F173" s="18" t="n"/>
      <c r="G173" s="19" t="n"/>
      <c r="H173" s="20" t="n">
        <v>45611</v>
      </c>
      <c r="I173" s="20" t="n"/>
      <c r="J173" s="21" t="n">
        <v>2024</v>
      </c>
      <c r="K173" s="19" t="inlineStr">
        <is>
          <t>Merger/Acquisition</t>
        </is>
      </c>
      <c r="L173" s="19" t="n"/>
      <c r="M173" s="19" t="inlineStr">
        <is>
          <t>Completed</t>
        </is>
      </c>
      <c r="N173" s="22" t="n">
        <v>33.3</v>
      </c>
      <c r="O173" s="18" t="inlineStr">
        <is>
          <t>USD</t>
        </is>
      </c>
      <c r="R173" s="37" t="n"/>
      <c r="S173" s="22" t="n"/>
      <c r="T173" s="37" t="n"/>
      <c r="U173" s="22" t="n"/>
      <c r="V173" s="19" t="n"/>
      <c r="W173" s="22" t="n">
        <v>41.63</v>
      </c>
      <c r="X173" s="19" t="inlineStr">
        <is>
          <t>The company was acquired by Bet Shemesh Engines (TAE: BSEN) for $33.3 million on November 15, 2024.</t>
        </is>
      </c>
      <c r="Y173" s="19" t="inlineStr">
        <is>
          <t>Corporate Backed or Acquired</t>
        </is>
      </c>
      <c r="Z173" s="19" t="inlineStr">
        <is>
          <t>Generating Revenue</t>
        </is>
      </c>
      <c r="AA173" s="19" t="inlineStr">
        <is>
          <t>Bet Shemesh Engines (TAE: BSEN) (Ram Drori)</t>
        </is>
      </c>
      <c r="AB173" s="19" t="inlineStr">
        <is>
          <t>Aerospace and Defense</t>
        </is>
      </c>
      <c r="AC173" s="19" t="n"/>
      <c r="AD173" s="19" t="inlineStr">
        <is>
          <t>Provider of aircraft engine repair services designed to maintain and overhaul turbine engines. The company specializes in turbine engines, engine overhaul, inspection, repair, and performance testing, enabling aviation clients to ensure their engines operate efficiently and reliably.</t>
        </is>
      </c>
      <c r="AE173" s="19" t="inlineStr">
        <is>
          <t>Holland, OH</t>
        </is>
      </c>
      <c r="AF173" s="19" t="inlineStr">
        <is>
          <t>www.turbinestandard.com</t>
        </is>
      </c>
    </row>
    <row r="174" ht="42" customHeight="1">
      <c r="A174" s="12" t="inlineStr">
        <is>
          <t>USA-173</t>
        </is>
      </c>
      <c r="B174" s="12" t="inlineStr">
        <is>
          <t>USA</t>
        </is>
      </c>
      <c r="C174" s="12" t="inlineStr">
        <is>
          <t>USA</t>
        </is>
      </c>
      <c r="D174" s="13" t="inlineStr">
        <is>
          <t>Intelligent Manufacturing Solutions</t>
        </is>
      </c>
      <c r="E174" s="13" t="inlineStr">
        <is>
          <t>Perimeter Solutions</t>
        </is>
      </c>
      <c r="F174" s="12" t="n"/>
      <c r="G174" s="13" t="n"/>
      <c r="H174" s="14" t="n">
        <v>45650</v>
      </c>
      <c r="I174" s="14" t="n"/>
      <c r="J174" s="15" t="n">
        <v>2024</v>
      </c>
      <c r="K174" s="13" t="inlineStr">
        <is>
          <t>Merger/Acquisition</t>
        </is>
      </c>
      <c r="L174" s="13" t="n"/>
      <c r="M174" s="13" t="inlineStr">
        <is>
          <t>Completed</t>
        </is>
      </c>
      <c r="N174" s="16" t="n">
        <v>32.8</v>
      </c>
      <c r="O174" s="12" t="inlineStr">
        <is>
          <t>USD</t>
        </is>
      </c>
      <c r="P174" s="50" t="n">
        <v>4.37</v>
      </c>
      <c r="Q174" s="50" t="n">
        <v>9.94</v>
      </c>
      <c r="R174" s="36" t="n">
        <v>9.94</v>
      </c>
      <c r="S174" s="16" t="n">
        <v>3.3</v>
      </c>
      <c r="T174" s="36" t="n">
        <v>4.37</v>
      </c>
      <c r="U174" s="16" t="n">
        <v>7.5</v>
      </c>
      <c r="V174" s="13" t="n"/>
      <c r="W174" s="16" t="n">
        <v>32.8</v>
      </c>
      <c r="X174" s="13" t="inlineStr">
        <is>
          <t>The company was acquired by Perimeter Solutions (NYS: PRM) for $32.8 million on December 24, 2024.</t>
        </is>
      </c>
      <c r="Y174" s="13" t="inlineStr">
        <is>
          <t>Formerly PE-Backed</t>
        </is>
      </c>
      <c r="Z174" s="13" t="inlineStr">
        <is>
          <t>Generating Revenue</t>
        </is>
      </c>
      <c r="AA174" s="13" t="inlineStr">
        <is>
          <t>Perimeter Solutions (NYS: PRM)</t>
        </is>
      </c>
      <c r="AB174" s="13" t="inlineStr">
        <is>
          <t>BPO/Outsource Services</t>
        </is>
      </c>
      <c r="AC174" s="13" t="inlineStr">
        <is>
          <t>Manufacturing</t>
        </is>
      </c>
      <c r="AD174" s="13" t="inlineStr">
        <is>
          <t>Provider of prototyping and on-demand manufacturing services intended to serve the communications, aerospace and defense, medical and instrumentation, and automotive markets across the Northeast United States. The company offers electronics manufacturing services specializing in the quick-turn assembly of prototype, high-mix, and build-to-order printed circuit boards, enabling customers to market objectives and maximize their profits.</t>
        </is>
      </c>
      <c r="AE174" s="13" t="inlineStr">
        <is>
          <t>Londonderry, NH</t>
        </is>
      </c>
      <c r="AF174" s="13" t="inlineStr">
        <is>
          <t>www.imscorp-us.com</t>
        </is>
      </c>
    </row>
    <row r="175" ht="42" customHeight="1">
      <c r="A175" s="18" t="inlineStr">
        <is>
          <t>USA-174</t>
        </is>
      </c>
      <c r="B175" s="18" t="inlineStr">
        <is>
          <t>USA</t>
        </is>
      </c>
      <c r="C175" s="18" t="inlineStr">
        <is>
          <t>USA</t>
        </is>
      </c>
      <c r="D175" s="19" t="inlineStr">
        <is>
          <t>ElectroMagnetic Systems</t>
        </is>
      </c>
      <c r="E175" s="19" t="inlineStr">
        <is>
          <t>Voyager</t>
        </is>
      </c>
      <c r="F175" s="18" t="n"/>
      <c r="G175" s="19" t="n"/>
      <c r="H175" s="20" t="n">
        <v>45875</v>
      </c>
      <c r="I175" s="20" t="n"/>
      <c r="J175" s="21" t="n">
        <v>2025</v>
      </c>
      <c r="K175" s="19" t="inlineStr">
        <is>
          <t>Merger/Acquisition</t>
        </is>
      </c>
      <c r="L175" s="19" t="n"/>
      <c r="M175" s="19" t="inlineStr">
        <is>
          <t>Completed</t>
        </is>
      </c>
      <c r="N175" s="22" t="n">
        <v>32.7</v>
      </c>
      <c r="O175" s="18" t="inlineStr">
        <is>
          <t>USD</t>
        </is>
      </c>
      <c r="R175" s="37" t="n"/>
      <c r="S175" s="22" t="n"/>
      <c r="T175" s="37" t="n"/>
      <c r="U175" s="22" t="n"/>
      <c r="V175" s="19" t="n"/>
      <c r="W175" s="22" t="n">
        <v>32.7</v>
      </c>
      <c r="X175" s="19" t="inlineStr">
        <is>
          <t>The company was acquired by Voyager (NYS: VOYG) for $32.7 million on August 6, 2025. The acquisition adds EMSI's AI-enabled radar technology to Voyager's intelligence, surveillance and reconnaissance capabilities.</t>
        </is>
      </c>
      <c r="Y175" s="19" t="inlineStr">
        <is>
          <t>Corporate Backed or Acquired</t>
        </is>
      </c>
      <c r="Z175" s="19" t="inlineStr">
        <is>
          <t>Generating Revenue</t>
        </is>
      </c>
      <c r="AA175" s="19" t="inlineStr">
        <is>
          <t>Voyager (NYS: VOYG) (Dylan Taylor)</t>
        </is>
      </c>
      <c r="AB175" s="19" t="inlineStr">
        <is>
          <t>Business/Productivity Software</t>
        </is>
      </c>
      <c r="AC175" s="19" t="inlineStr">
        <is>
          <t>Artificial Intelligence &amp; Machine Learning, Big Data, Space Technology</t>
        </is>
      </c>
      <c r="AD175" s="19" t="inlineStr">
        <is>
          <t>Developer of AI and machine learning-based automated target recognition software and intelligence analytics for space-based radar systems. The company possesses expertise in inverse synthetic aperture radar image processing algorithm development, modeling and analysis of radar systems, radar-automated target recognition technologies, distortion invariant matching, machine learning, and more.</t>
        </is>
      </c>
      <c r="AE175" s="19" t="inlineStr">
        <is>
          <t>El Segundo, CA</t>
        </is>
      </c>
      <c r="AF175" s="19" t="inlineStr">
        <is>
          <t>www.emagsys.com</t>
        </is>
      </c>
    </row>
    <row r="176" ht="42" customHeight="1">
      <c r="A176" s="12" t="inlineStr">
        <is>
          <t>USA-175</t>
        </is>
      </c>
      <c r="B176" s="12" t="inlineStr">
        <is>
          <t>USA</t>
        </is>
      </c>
      <c r="C176" s="12" t="inlineStr">
        <is>
          <t>USA</t>
        </is>
      </c>
      <c r="D176" s="13" t="inlineStr">
        <is>
          <t>Ametherm</t>
        </is>
      </c>
      <c r="E176" s="13" t="inlineStr">
        <is>
          <t>Vishay Intertechnology</t>
        </is>
      </c>
      <c r="F176" s="12" t="n"/>
      <c r="G176" s="13" t="n"/>
      <c r="H176" s="14" t="n">
        <v>45448</v>
      </c>
      <c r="I176" s="14" t="n"/>
      <c r="J176" s="15" t="n">
        <v>2024</v>
      </c>
      <c r="K176" s="13" t="inlineStr">
        <is>
          <t>Merger/Acquisition</t>
        </is>
      </c>
      <c r="L176" s="13" t="n"/>
      <c r="M176" s="13" t="inlineStr">
        <is>
          <t>Completed</t>
        </is>
      </c>
      <c r="N176" s="16" t="n">
        <v>31.48</v>
      </c>
      <c r="O176" s="12" t="inlineStr">
        <is>
          <t>USD</t>
        </is>
      </c>
      <c r="R176" s="36" t="n"/>
      <c r="S176" s="16" t="n"/>
      <c r="T176" s="36" t="n"/>
      <c r="U176" s="16" t="n"/>
      <c r="V176" s="13" t="n"/>
      <c r="W176" s="16" t="n">
        <v>31.48</v>
      </c>
      <c r="X176" s="13" t="inlineStr">
        <is>
          <t>The company was acquired by Vishay Intertechnology (NYS: VSH) for approximately $31.478 million on June 5, 2024. Through this acquisition Vishay Intertechnology is expanding its product portfolio, filling technology gaps and enhancing innovation to support deeper technical engagement with its customers.</t>
        </is>
      </c>
      <c r="Y176" s="13" t="inlineStr">
        <is>
          <t>Corporate Backed or Acquired</t>
        </is>
      </c>
      <c r="Z176" s="13" t="inlineStr">
        <is>
          <t>Generating Revenue</t>
        </is>
      </c>
      <c r="AA176" s="13" t="inlineStr">
        <is>
          <t>Vishay Intertechnology (NYS: VSH) (Joel Smejkal)</t>
        </is>
      </c>
      <c r="AB176" s="13" t="inlineStr">
        <is>
          <t>Electrical Equipment</t>
        </is>
      </c>
      <c r="AC176" s="13" t="inlineStr">
        <is>
          <t>Manufacturing</t>
        </is>
      </c>
      <c r="AD176" s="13" t="inlineStr">
        <is>
          <t>Manufacturer of inrush current limiters and sensing thermistor solutions intended to serve automotive, industrial, aerospace/defense and medical markets. The company specializes in precision thermistors for inrush current limiters, voltage monitoring and temperature sensing solutions that come in various sizes, forms and packages, helping clients solve their inrush temperature sensing challenges with cost-effective and time-saving solutions.</t>
        </is>
      </c>
      <c r="AE176" s="13" t="inlineStr">
        <is>
          <t>Carson City, NV</t>
        </is>
      </c>
      <c r="AF176" s="13" t="inlineStr">
        <is>
          <t>www.ametherm.com</t>
        </is>
      </c>
    </row>
    <row r="177" ht="42" customHeight="1">
      <c r="A177" s="18" t="inlineStr">
        <is>
          <t>USA-176</t>
        </is>
      </c>
      <c r="B177" s="18" t="inlineStr">
        <is>
          <t>USA</t>
        </is>
      </c>
      <c r="C177" s="18" t="inlineStr">
        <is>
          <t>USA</t>
        </is>
      </c>
      <c r="D177" s="19" t="inlineStr">
        <is>
          <t>KinetX Aerospace</t>
        </is>
      </c>
      <c r="E177" s="19" t="inlineStr">
        <is>
          <t>Intuitive Machines</t>
        </is>
      </c>
      <c r="F177" s="18" t="n"/>
      <c r="G177" s="19" t="n"/>
      <c r="H177" s="20" t="n">
        <v>45931</v>
      </c>
      <c r="I177" s="20" t="n"/>
      <c r="J177" s="21" t="n">
        <v>2025</v>
      </c>
      <c r="K177" s="19" t="inlineStr">
        <is>
          <t>Merger/Acquisition</t>
        </is>
      </c>
      <c r="L177" s="19" t="n"/>
      <c r="M177" s="19" t="inlineStr">
        <is>
          <t>Completed</t>
        </is>
      </c>
      <c r="N177" s="22" t="n">
        <v>31.35</v>
      </c>
      <c r="O177" s="18" t="inlineStr">
        <is>
          <t>USD</t>
        </is>
      </c>
      <c r="R177" s="37" t="n"/>
      <c r="S177" s="22" t="n"/>
      <c r="T177" s="37" t="n"/>
      <c r="U177" s="22" t="n"/>
      <c r="V177" s="19" t="n"/>
      <c r="W177" s="22" t="n">
        <v>31.35</v>
      </c>
      <c r="X177" s="19" t="inlineStr">
        <is>
          <t>The company was acquired by Intuitive Machines (NAS: LUNR) for $31.345 million on October 1, 2025. The acquisition of the company expands Intuitive Machines' operating footprint to include additional locations in Arizona, Colorado, and California.</t>
        </is>
      </c>
      <c r="Y177" s="19" t="inlineStr">
        <is>
          <t>Formerly VC-backed</t>
        </is>
      </c>
      <c r="Z177" s="19" t="inlineStr">
        <is>
          <t>Generating Revenue</t>
        </is>
      </c>
      <c r="AA177" s="19" t="inlineStr">
        <is>
          <t>Intuitive Machines (NAS: LUNR) (Steven Altemus)</t>
        </is>
      </c>
      <c r="AB177" s="19" t="inlineStr">
        <is>
          <t>Aerospace and Defense</t>
        </is>
      </c>
      <c r="AC177" s="19" t="inlineStr">
        <is>
          <t>Industrials, SaaS, Space Technology, TMT</t>
        </is>
      </c>
      <c r="AD177" s="19" t="inlineStr">
        <is>
          <t>Developer of aerospace systems designed for mission design, navigation, and spacecraft flight dynamics. The company offers systems engineering, software and hardware design, and satellite and communication systems development, enabling commercial, civil, and government aerospace clients to conduct complex space missions and operations across earth-orbiting, sub-orbital, and deep-space environments with certified processes.</t>
        </is>
      </c>
      <c r="AE177" s="19" t="inlineStr">
        <is>
          <t>Tempe, AZ</t>
        </is>
      </c>
      <c r="AF177" s="19" t="inlineStr">
        <is>
          <t>www.kinetx.com</t>
        </is>
      </c>
    </row>
    <row r="178" ht="42" customHeight="1">
      <c r="A178" s="12" t="inlineStr">
        <is>
          <t>USA-177</t>
        </is>
      </c>
      <c r="B178" s="12" t="inlineStr">
        <is>
          <t>USA</t>
        </is>
      </c>
      <c r="C178" s="12" t="inlineStr">
        <is>
          <t>USA</t>
        </is>
      </c>
      <c r="D178" s="13" t="inlineStr">
        <is>
          <t>Microstrain by HBK</t>
        </is>
      </c>
      <c r="E178" s="13" t="inlineStr">
        <is>
          <t>Hottinger Brüel &amp; Kjær</t>
        </is>
      </c>
      <c r="F178" s="12" t="n"/>
      <c r="G178" s="13" t="n"/>
      <c r="H178" s="14" t="n">
        <v>45188</v>
      </c>
      <c r="I178" s="14" t="n"/>
      <c r="J178" s="15" t="n">
        <v>2023</v>
      </c>
      <c r="K178" s="13" t="inlineStr">
        <is>
          <t>Merger/Acquisition</t>
        </is>
      </c>
      <c r="L178" s="13" t="n"/>
      <c r="M178" s="13" t="inlineStr">
        <is>
          <t>Completed</t>
        </is>
      </c>
      <c r="N178" s="16" t="n">
        <v>31.34</v>
      </c>
      <c r="O178" s="12" t="inlineStr">
        <is>
          <t>USD</t>
        </is>
      </c>
      <c r="R178" s="36" t="n"/>
      <c r="S178" s="16" t="n"/>
      <c r="T178" s="36" t="n"/>
      <c r="U178" s="16" t="n"/>
      <c r="V178" s="13" t="n"/>
      <c r="W178" s="16" t="n">
        <v>31.34</v>
      </c>
      <c r="X178" s="13" t="inlineStr">
        <is>
          <t>The company, a subsidiary of Parker LORD, was acquired by Hottinger Brüel &amp; Kjær, a subsidiary of Spectris (LON: SXS), for $29.1 million on September 19, 2023. The acquisition strengthens Hottinger Brüel &amp; Kjær's North American presence, enhances customer offering and expands our presence in robotics and agriculture.</t>
        </is>
      </c>
      <c r="Y178" s="13" t="inlineStr">
        <is>
          <t>Corporate Backed or Acquired</t>
        </is>
      </c>
      <c r="Z178" s="13" t="inlineStr">
        <is>
          <t>Generating Revenue</t>
        </is>
      </c>
      <c r="AA178" s="13" t="inlineStr">
        <is>
          <t>Hottinger Brüel &amp; Kjær</t>
        </is>
      </c>
      <c r="AB178" s="13" t="inlineStr">
        <is>
          <t>Electronic Equipment and Instruments</t>
        </is>
      </c>
      <c r="AC178" s="13" t="inlineStr">
        <is>
          <t>Manufacturing</t>
        </is>
      </c>
      <c r="AD178" s="13" t="inlineStr">
        <is>
          <t>Manufacturer of micro-displacement sensors and systems designed for measurement applications in biomechanics, military, civil structure and down-hole tools. The company designs tactical-grade microcontrollers, miniature digital sensors, displacement transducers and signal conditioners for data acquisition, millivolt inputs and time-aligned sampling in wireless gateway nodes, thereby supporting enterprises with angle measurements and data transfers in extreme temperatures and saline conditions.</t>
        </is>
      </c>
      <c r="AE178" s="13" t="inlineStr">
        <is>
          <t>Williston, VT</t>
        </is>
      </c>
      <c r="AF178" s="13" t="inlineStr">
        <is>
          <t>www.microstrain.com</t>
        </is>
      </c>
    </row>
    <row r="179" ht="42" customHeight="1">
      <c r="A179" s="18" t="inlineStr">
        <is>
          <t>USA-178</t>
        </is>
      </c>
      <c r="B179" s="18" t="inlineStr">
        <is>
          <t>USA</t>
        </is>
      </c>
      <c r="C179" s="18" t="inlineStr">
        <is>
          <t>USA</t>
        </is>
      </c>
      <c r="D179" s="19" t="inlineStr">
        <is>
          <t>Norlen</t>
        </is>
      </c>
      <c r="E179" s="19" t="inlineStr">
        <is>
          <t>Ryerson</t>
        </is>
      </c>
      <c r="F179" s="18" t="n"/>
      <c r="G179" s="19" t="n"/>
      <c r="H179" s="20" t="n">
        <v>45201</v>
      </c>
      <c r="I179" s="20" t="n"/>
      <c r="J179" s="21" t="n">
        <v>2023</v>
      </c>
      <c r="K179" s="19" t="inlineStr">
        <is>
          <t>Merger/Acquisition</t>
        </is>
      </c>
      <c r="L179" s="19" t="n"/>
      <c r="M179" s="19" t="inlineStr">
        <is>
          <t>Completed</t>
        </is>
      </c>
      <c r="N179" s="22" t="n">
        <v>30.5</v>
      </c>
      <c r="O179" s="18" t="inlineStr">
        <is>
          <t>USD</t>
        </is>
      </c>
      <c r="R179" s="37" t="n"/>
      <c r="S179" s="22" t="n"/>
      <c r="T179" s="37" t="n"/>
      <c r="U179" s="22" t="n"/>
      <c r="V179" s="19" t="n"/>
      <c r="W179" s="22" t="n">
        <v>30.5</v>
      </c>
      <c r="X179" s="19" t="inlineStr">
        <is>
          <t>The company was acquired by Ryerson (NYS: RYI) for $30.5 Million on October 2, 2023. The acquisition strengthens Ryerson's network of service in the Midwest.</t>
        </is>
      </c>
      <c r="Y179" s="19" t="inlineStr">
        <is>
          <t>Corporate Backed or Acquired</t>
        </is>
      </c>
      <c r="Z179" s="19" t="inlineStr">
        <is>
          <t>Generating Revenue</t>
        </is>
      </c>
      <c r="AA179" s="19" t="inlineStr">
        <is>
          <t>Ryerson (NYS: RYZ) (Jacob Kotzubei)</t>
        </is>
      </c>
      <c r="AB179" s="19" t="inlineStr">
        <is>
          <t>Industrial Supplies and Parts</t>
        </is>
      </c>
      <c r="AC179" s="19" t="n"/>
      <c r="AD179" s="19" t="inlineStr">
        <is>
          <t>Provider of metal fabrication catering to agriculture, HVAC, and defense industries. The company specializes in stamping, machining, painting and fabrication services.</t>
        </is>
      </c>
      <c r="AE179" s="19" t="inlineStr">
        <is>
          <t>Schofield, WI</t>
        </is>
      </c>
      <c r="AF179" s="19" t="inlineStr">
        <is>
          <t>www.norlen.com</t>
        </is>
      </c>
    </row>
    <row r="180" ht="42" customHeight="1">
      <c r="A180" s="12" t="inlineStr">
        <is>
          <t>USA-179</t>
        </is>
      </c>
      <c r="B180" s="12" t="inlineStr">
        <is>
          <t>USA</t>
        </is>
      </c>
      <c r="C180" s="12" t="inlineStr">
        <is>
          <t>USA</t>
        </is>
      </c>
      <c r="D180" s="13" t="inlineStr">
        <is>
          <t>RMX Industries (Business/Productivity Software)</t>
        </is>
      </c>
      <c r="E180" s="13" t="inlineStr">
        <is>
          <t>RMX Industries</t>
        </is>
      </c>
      <c r="F180" s="12" t="n"/>
      <c r="G180" s="13" t="n"/>
      <c r="H180" s="14" t="n">
        <v>45762</v>
      </c>
      <c r="I180" s="14" t="n"/>
      <c r="J180" s="15" t="n">
        <v>2025</v>
      </c>
      <c r="K180" s="13" t="inlineStr">
        <is>
          <t>Merger/Acquisition</t>
        </is>
      </c>
      <c r="L180" s="13" t="n"/>
      <c r="M180" s="13" t="inlineStr">
        <is>
          <t>Completed</t>
        </is>
      </c>
      <c r="N180" s="16" t="n">
        <v>29.9</v>
      </c>
      <c r="O180" s="12" t="inlineStr">
        <is>
          <t>USD</t>
        </is>
      </c>
      <c r="R180" s="36" t="n"/>
      <c r="S180" s="16" t="n"/>
      <c r="T180" s="36" t="n"/>
      <c r="U180" s="16" t="n"/>
      <c r="V180" s="13" t="n"/>
      <c r="W180" s="16" t="n">
        <v>29.9</v>
      </c>
      <c r="X180" s="13" t="inlineStr">
        <is>
          <t>The company was acquired by Reticulate Micro (PINX: RMXI) for approximately $29.9 million on April 15, 2025. The consideration consists of 8,555,393 shares of Reticulate Micro's class A common stock. The acquisition consolidates Reticulate Micro's operations and aligns resources to accelerate commercial business opportunities across key sectors.</t>
        </is>
      </c>
      <c r="Y180" s="13" t="inlineStr">
        <is>
          <t>Corporate Backed or Acquired</t>
        </is>
      </c>
      <c r="Z180" s="13" t="inlineStr">
        <is>
          <t>Generating Revenue</t>
        </is>
      </c>
      <c r="AA180" s="13" t="inlineStr">
        <is>
          <t>RMX Industries (PINX: RMXI)</t>
        </is>
      </c>
      <c r="AB180" s="13" t="inlineStr">
        <is>
          <t>Business/Productivity Software</t>
        </is>
      </c>
      <c r="AC180" s="13" t="n"/>
      <c r="AD180" s="13" t="inlineStr">
        <is>
          <t>Developer of compressed rate intelligent streaming protocol technology intended to address critical challenges in data transmission and infrastructure efficiency. The company offers unparalleled compression efficiency, reduced latency, and superior video streaming capabilities enabling clients to optimize network performance, reduce operational costs, and enable new data-driven capabilities.</t>
        </is>
      </c>
      <c r="AE180" s="13" t="inlineStr">
        <is>
          <t>Dallas, TX</t>
        </is>
      </c>
      <c r="AF180" s="13" t="n"/>
    </row>
    <row r="181" ht="42" customHeight="1">
      <c r="A181" s="18" t="inlineStr">
        <is>
          <t>USA-180</t>
        </is>
      </c>
      <c r="B181" s="18" t="inlineStr">
        <is>
          <t>USA</t>
        </is>
      </c>
      <c r="C181" s="18" t="inlineStr">
        <is>
          <t>USA</t>
        </is>
      </c>
      <c r="D181" s="19" t="inlineStr">
        <is>
          <t>Altek Electronics</t>
        </is>
      </c>
      <c r="E181" s="19" t="inlineStr">
        <is>
          <t>Cyient DLM</t>
        </is>
      </c>
      <c r="F181" s="18" t="n"/>
      <c r="G181" s="19" t="n"/>
      <c r="H181" s="20" t="n">
        <v>45569</v>
      </c>
      <c r="I181" s="20" t="n"/>
      <c r="J181" s="21" t="n">
        <v>2024</v>
      </c>
      <c r="K181" s="19" t="inlineStr">
        <is>
          <t>Merger/Acquisition</t>
        </is>
      </c>
      <c r="L181" s="19" t="n"/>
      <c r="M181" s="19" t="inlineStr">
        <is>
          <t>Completed</t>
        </is>
      </c>
      <c r="N181" s="22" t="n">
        <v>29.2</v>
      </c>
      <c r="O181" s="18" t="inlineStr">
        <is>
          <t>USD</t>
        </is>
      </c>
      <c r="R181" s="37" t="n"/>
      <c r="S181" s="22" t="n"/>
      <c r="T181" s="37" t="n"/>
      <c r="U181" s="22" t="n"/>
      <c r="V181" s="19" t="n"/>
      <c r="W181" s="22" t="n">
        <v>29.2</v>
      </c>
      <c r="X181" s="19" t="inlineStr">
        <is>
          <t>The company was acquired by Cyient DLM (BOM: 543933), a subsidiary of Cyient (NSE: CYIENT), for $29.2 million on October 4, 2024. The purchase price consists of $5.8 million as a contingent payment. This strategic move expands Cyient DLM's presence in North America and enhances its capabilities in the medical, industrial, and defence markets. The acquisition adds 80,000 square feet of manufacturing space and brings ITAR certification, positioning Cyient DLM to address the growing US defence market.</t>
        </is>
      </c>
      <c r="Y181" s="19" t="inlineStr">
        <is>
          <t>Corporate Backed or Acquired</t>
        </is>
      </c>
      <c r="Z181" s="19" t="inlineStr">
        <is>
          <t>Generating Revenue</t>
        </is>
      </c>
      <c r="AA181" s="19" t="inlineStr">
        <is>
          <t>Cyient DLM (BOM: 543933) (Krishna Bodanapu)</t>
        </is>
      </c>
      <c r="AB181" s="19" t="inlineStr">
        <is>
          <t>Other Commercial Services</t>
        </is>
      </c>
      <c r="AC181" s="19" t="n"/>
      <c r="AD181" s="19" t="inlineStr">
        <is>
          <t>Provider of electronic contract manufacturing services intended to serve the medical, telecommunications, aerospace, defence, and commercial industries. The company specializes in printed circuit board assembly and pricing, electromechanical assembly, product identification and traceability, and box building assembly, enabling clients to increase inventory turns, improve on-time delivery, and reduce defects and returns.</t>
        </is>
      </c>
      <c r="AE181" s="19" t="inlineStr">
        <is>
          <t>Torrington, CT</t>
        </is>
      </c>
      <c r="AF181" s="19" t="inlineStr">
        <is>
          <t>www.altekelectronics.com</t>
        </is>
      </c>
    </row>
    <row r="182" ht="42" customHeight="1">
      <c r="A182" s="12" t="inlineStr">
        <is>
          <t>USA-181</t>
        </is>
      </c>
      <c r="B182" s="12" t="inlineStr">
        <is>
          <t>USA</t>
        </is>
      </c>
      <c r="C182" s="12" t="inlineStr">
        <is>
          <t>USA</t>
        </is>
      </c>
      <c r="D182" s="13" t="inlineStr">
        <is>
          <t>Vsi Parylene</t>
        </is>
      </c>
      <c r="E182" s="13" t="inlineStr">
        <is>
          <t>Integer Holdings</t>
        </is>
      </c>
      <c r="F182" s="12" t="n"/>
      <c r="G182" s="13" t="n"/>
      <c r="H182" s="14" t="n">
        <v>45716</v>
      </c>
      <c r="I182" s="14" t="n"/>
      <c r="J182" s="15" t="n">
        <v>2025</v>
      </c>
      <c r="K182" s="13" t="inlineStr">
        <is>
          <t>Merger/Acquisition</t>
        </is>
      </c>
      <c r="L182" s="13" t="n"/>
      <c r="M182" s="13" t="inlineStr">
        <is>
          <t>Completed</t>
        </is>
      </c>
      <c r="N182" s="16" t="n">
        <v>29.1</v>
      </c>
      <c r="O182" s="12" t="inlineStr">
        <is>
          <t>USD</t>
        </is>
      </c>
      <c r="R182" s="36" t="n"/>
      <c r="S182" s="16" t="n"/>
      <c r="T182" s="36" t="n"/>
      <c r="U182" s="16" t="n"/>
      <c r="V182" s="13" t="n"/>
      <c r="W182" s="16" t="n">
        <v>29.1</v>
      </c>
      <c r="X182" s="13" t="inlineStr">
        <is>
          <t>The company was acquired by Integer Holdings (NYS: ITGR) for approximately $29.1 million on February 28, 2025. The company will receive a contingent payout of $1.1 million. This strategic move marks a significant milestone in VSi Parylene's growth and reinforces its commitment to delivering exceptional coating solutions to its global clientele.</t>
        </is>
      </c>
      <c r="Y182" s="13" t="inlineStr">
        <is>
          <t>Corporate Backed or Acquired</t>
        </is>
      </c>
      <c r="Z182" s="13" t="inlineStr">
        <is>
          <t>Generating Revenue</t>
        </is>
      </c>
      <c r="AA182" s="13" t="inlineStr">
        <is>
          <t>Integer Holdings (NYS: ITGR) (Joseph Dziedzic)</t>
        </is>
      </c>
      <c r="AB182" s="13" t="inlineStr">
        <is>
          <t>Other Commercial Services</t>
        </is>
      </c>
      <c r="AC182" s="13" t="n"/>
      <c r="AD182" s="13" t="inlineStr">
        <is>
          <t>Provider of parylene coating services intended for industries such as medical devices, electronics, aerospace, defense, transportation, and elastomer. The company offers protection against moisture, electrical charges, bodily fluids, and contamination, provides electrical insulation, and reduces surface friction through its products.</t>
        </is>
      </c>
      <c r="AE182" s="13" t="inlineStr">
        <is>
          <t>Broomfield, CO</t>
        </is>
      </c>
      <c r="AF182" s="13" t="inlineStr">
        <is>
          <t>www.vsiparylene.com</t>
        </is>
      </c>
    </row>
    <row r="183" ht="42" customHeight="1">
      <c r="A183" s="18" t="inlineStr">
        <is>
          <t>USA-182</t>
        </is>
      </c>
      <c r="B183" s="18" t="inlineStr">
        <is>
          <t>USA</t>
        </is>
      </c>
      <c r="C183" s="18" t="inlineStr">
        <is>
          <t>USA</t>
        </is>
      </c>
      <c r="D183" s="19" t="inlineStr">
        <is>
          <t>Diligent Robotics</t>
        </is>
      </c>
      <c r="E183" s="19" t="inlineStr">
        <is>
          <t>Serve Robotics</t>
        </is>
      </c>
      <c r="F183" s="18" t="n"/>
      <c r="G183" s="19" t="n"/>
      <c r="H183" s="20" t="n">
        <v>46049</v>
      </c>
      <c r="I183" s="20" t="n"/>
      <c r="J183" s="21" t="n">
        <v>2026</v>
      </c>
      <c r="K183" s="19" t="inlineStr">
        <is>
          <t>Merger/Acquisition</t>
        </is>
      </c>
      <c r="L183" s="19" t="n"/>
      <c r="M183" s="19" t="inlineStr">
        <is>
          <t>Completed</t>
        </is>
      </c>
      <c r="N183" s="22" t="n">
        <v>29</v>
      </c>
      <c r="O183" s="18" t="inlineStr">
        <is>
          <t>USD</t>
        </is>
      </c>
      <c r="R183" s="37" t="n"/>
      <c r="S183" s="22" t="n"/>
      <c r="T183" s="37" t="n"/>
      <c r="U183" s="22" t="n"/>
      <c r="V183" s="19" t="n"/>
      <c r="W183" s="22" t="n">
        <v>29</v>
      </c>
      <c r="X183" s="19" t="inlineStr">
        <is>
          <t>The company was acquired by Serve Robotics (NAS: SERV) for $29 million on January 27, 2026.</t>
        </is>
      </c>
      <c r="Y183" s="19" t="inlineStr">
        <is>
          <t>Formerly VC-backed</t>
        </is>
      </c>
      <c r="Z183" s="19" t="inlineStr">
        <is>
          <t>Generating Revenue</t>
        </is>
      </c>
      <c r="AA183" s="19" t="inlineStr">
        <is>
          <t>Serve Robotics (NAS: SERV) (Ali Kashani)</t>
        </is>
      </c>
      <c r="AB183" s="19" t="inlineStr">
        <is>
          <t>Other Healthcare Technology Systems</t>
        </is>
      </c>
      <c r="AC183" s="19" t="inlineStr">
        <is>
          <t>Artificial Intelligence &amp; Machine Learning, Digital Health, HealthTech, Robotics and Drones</t>
        </is>
      </c>
      <c r="AD183" s="19" t="inlineStr">
        <is>
          <t>Developer of artificial intelligence-based robot assistants designed to support healthcare workers with routine tasks The company's technologies encompass a suite of artificial intelligence that enables robots to collaborate with and adapt to humans in everyday environments, enabling healthcare providers to spend more of their time on direct patient care to improve patient satisfaction, quality of service, and safety.</t>
        </is>
      </c>
      <c r="AE183" s="19" t="inlineStr">
        <is>
          <t>Austin, TX</t>
        </is>
      </c>
      <c r="AF183" s="19" t="inlineStr">
        <is>
          <t>www.diligentrobots.com</t>
        </is>
      </c>
    </row>
    <row r="184" ht="42" customHeight="1">
      <c r="A184" s="12" t="inlineStr">
        <is>
          <t>USA-183</t>
        </is>
      </c>
      <c r="B184" s="12" t="inlineStr">
        <is>
          <t>USA</t>
        </is>
      </c>
      <c r="C184" s="12" t="inlineStr">
        <is>
          <t>USA</t>
        </is>
      </c>
      <c r="D184" s="13" t="inlineStr">
        <is>
          <t>Rightbot</t>
        </is>
      </c>
      <c r="E184" s="13" t="inlineStr">
        <is>
          <t>Amazon.com</t>
        </is>
      </c>
      <c r="F184" s="12" t="n"/>
      <c r="G184" s="13" t="n"/>
      <c r="H184" s="14" t="n">
        <v>45663</v>
      </c>
      <c r="I184" s="14" t="n"/>
      <c r="J184" s="15" t="n">
        <v>2025</v>
      </c>
      <c r="K184" s="13" t="inlineStr">
        <is>
          <t>Merger/Acquisition</t>
        </is>
      </c>
      <c r="L184" s="13" t="n"/>
      <c r="M184" s="13" t="inlineStr">
        <is>
          <t>Completed</t>
        </is>
      </c>
      <c r="N184" s="16" t="n">
        <v>28.5</v>
      </c>
      <c r="O184" s="12" t="inlineStr">
        <is>
          <t>USD</t>
        </is>
      </c>
      <c r="R184" s="36" t="n"/>
      <c r="S184" s="16" t="n"/>
      <c r="T184" s="36" t="n"/>
      <c r="U184" s="16" t="n"/>
      <c r="V184" s="13" t="n"/>
      <c r="W184" s="16" t="n">
        <v>28.5</v>
      </c>
      <c r="X184" s="13" t="inlineStr">
        <is>
          <t>The company was acquired by Amazon.com (NAS: AMZN) for $28.5 million on January 6, 2025.</t>
        </is>
      </c>
      <c r="Y184" s="13" t="inlineStr">
        <is>
          <t>Formerly VC-backed</t>
        </is>
      </c>
      <c r="Z184" s="13" t="inlineStr">
        <is>
          <t>Generating Revenue</t>
        </is>
      </c>
      <c r="AA184" s="13" t="inlineStr">
        <is>
          <t>Amazon.com (NAS: AMZN)</t>
        </is>
      </c>
      <c r="AB184" s="13" t="inlineStr">
        <is>
          <t>Other Hardware</t>
        </is>
      </c>
      <c r="AC184" s="13" t="inlineStr">
        <is>
          <t>Advanced Manufacturing, Artificial Intelligence &amp; Machine Learning, Big Data, Robotics and Drones, Supply Chain Tech</t>
        </is>
      </c>
      <c r="AD184" s="13" t="inlineStr">
        <is>
          <t>Developer of artificial intelligence-driven robotics technology designed to provide warehouse automation. The company develops bin-picking autonomous mobile robots capable of automating warehouse inventory functions, including order fulfillment, inventory replenishment, cycle audit, and consolidation, among others, enabling online commerce players to satisfy the needs and demands of their consumers.</t>
        </is>
      </c>
      <c r="AE184" s="13" t="inlineStr">
        <is>
          <t>North Bergen, NJ</t>
        </is>
      </c>
      <c r="AF184" s="13" t="inlineStr">
        <is>
          <t>www.rightbot.com</t>
        </is>
      </c>
    </row>
    <row r="185" ht="42" customHeight="1">
      <c r="A185" s="18" t="inlineStr">
        <is>
          <t>USA-184</t>
        </is>
      </c>
      <c r="B185" s="18" t="inlineStr">
        <is>
          <t>USA</t>
        </is>
      </c>
      <c r="C185" s="18" t="inlineStr">
        <is>
          <t>USA</t>
        </is>
      </c>
      <c r="D185" s="19" t="inlineStr">
        <is>
          <t>Atomic Alchemy</t>
        </is>
      </c>
      <c r="E185" s="19" t="inlineStr">
        <is>
          <t>Oklo</t>
        </is>
      </c>
      <c r="F185" s="18" t="n"/>
      <c r="G185" s="19" t="n"/>
      <c r="H185" s="20" t="n">
        <v>45716</v>
      </c>
      <c r="I185" s="20" t="n"/>
      <c r="J185" s="21" t="n">
        <v>2025</v>
      </c>
      <c r="K185" s="19" t="inlineStr">
        <is>
          <t>Merger/Acquisition</t>
        </is>
      </c>
      <c r="L185" s="19" t="n"/>
      <c r="M185" s="19" t="inlineStr">
        <is>
          <t>Completed</t>
        </is>
      </c>
      <c r="N185" s="22" t="n">
        <v>28.42</v>
      </c>
      <c r="O185" s="18" t="inlineStr">
        <is>
          <t>USD</t>
        </is>
      </c>
      <c r="P185" s="50" t="n">
        <v>1.14</v>
      </c>
      <c r="R185" s="37" t="n"/>
      <c r="S185" s="22" t="n"/>
      <c r="T185" s="37" t="n">
        <v>1.14</v>
      </c>
      <c r="U185" s="22" t="n">
        <v>25</v>
      </c>
      <c r="V185" s="19" t="n"/>
      <c r="W185" s="22" t="n">
        <v>28.42</v>
      </c>
      <c r="X185" s="19" t="inlineStr">
        <is>
          <t>The company was acquired by Oklo (NYS: OKLO) for $28.424 million on February 28, 2025. The consideration consists of $900,000 net of cash and 820,840 shares of the company's common stock, representing stock consideration in exchange for Atomic Alchemy's common stock. The acquisition will enable the company to develop specialized radioisotope production capabilities, addressing urgent supply shortages in life-saving medical radioisotopes and advanced industrial applications.</t>
        </is>
      </c>
      <c r="Y185" s="19" t="inlineStr">
        <is>
          <t>Formerly VC-backed</t>
        </is>
      </c>
      <c r="Z185" s="19" t="inlineStr">
        <is>
          <t>Generating Revenue</t>
        </is>
      </c>
      <c r="AA185" s="19" t="inlineStr">
        <is>
          <t>Oklo (Alternative Energy Equipment) (NYS: OKLO) (Jacob DeWitte)</t>
        </is>
      </c>
      <c r="AB185" s="19" t="inlineStr">
        <is>
          <t>Multi-line Chemicals</t>
        </is>
      </c>
      <c r="AC185" s="19" t="inlineStr">
        <is>
          <t>Life Sciences, Manufacturing, Oncology, Space Technology</t>
        </is>
      </c>
      <c r="AD185" s="19" t="inlineStr">
        <is>
          <t>Developer of radioisotopes intended for use in nuclear medicine, industry, defense, and space exploration. The company operates a bank of non-power atomic reactors to produce radioisotopes for radiopharmaceutical applications like biological tracers, diagnostic imaging, and cancer treatments, enabling medical, research, and exploration clients to meet the demand for radioisotopes.</t>
        </is>
      </c>
      <c r="AE185" s="19" t="inlineStr">
        <is>
          <t>Idaho Falls, ID</t>
        </is>
      </c>
      <c r="AF185" s="19" t="inlineStr">
        <is>
          <t>www.atomicalchemy.us</t>
        </is>
      </c>
    </row>
    <row r="186" ht="42" customHeight="1">
      <c r="A186" s="12" t="inlineStr">
        <is>
          <t>USA-185</t>
        </is>
      </c>
      <c r="B186" s="12" t="inlineStr">
        <is>
          <t>USA</t>
        </is>
      </c>
      <c r="C186" s="12" t="inlineStr">
        <is>
          <t>USA</t>
        </is>
      </c>
      <c r="D186" s="13" t="inlineStr">
        <is>
          <t>Sierra Technical Services ()</t>
        </is>
      </c>
      <c r="E186" s="13" t="inlineStr">
        <is>
          <t>Kratos Defense &amp; Security Solutions</t>
        </is>
      </c>
      <c r="F186" s="12" t="n"/>
      <c r="G186" s="13" t="n"/>
      <c r="H186" s="14" t="n">
        <v>45202</v>
      </c>
      <c r="I186" s="14" t="n"/>
      <c r="J186" s="15" t="n">
        <v>2023</v>
      </c>
      <c r="K186" s="13" t="inlineStr">
        <is>
          <t>Merger/Acquisition</t>
        </is>
      </c>
      <c r="L186" s="13" t="n"/>
      <c r="M186" s="13" t="inlineStr">
        <is>
          <t>Completed</t>
        </is>
      </c>
      <c r="N186" s="16" t="n">
        <v>27.3</v>
      </c>
      <c r="O186" s="12" t="inlineStr">
        <is>
          <t>USD</t>
        </is>
      </c>
      <c r="R186" s="36" t="n"/>
      <c r="S186" s="16" t="n"/>
      <c r="T186" s="36" t="n"/>
      <c r="U186" s="16" t="n"/>
      <c r="V186" s="13" t="n"/>
      <c r="W186" s="16" t="n">
        <v>27.3</v>
      </c>
      <c r="X186" s="13" t="inlineStr">
        <is>
          <t>The company was acquired by Kratos Defense &amp; Security Solutions (NAS: KTOS) for $27.3 million on October 3, 2023.</t>
        </is>
      </c>
      <c r="Y186" s="13" t="inlineStr">
        <is>
          <t>Corporate Backed or Acquired</t>
        </is>
      </c>
      <c r="Z186" s="13" t="inlineStr">
        <is>
          <t>Generating Revenue</t>
        </is>
      </c>
      <c r="AA186" s="13" t="inlineStr">
        <is>
          <t>Kratos Defense &amp; Security Solutions (NAS: KTOS) (Steven Fendley)</t>
        </is>
      </c>
      <c r="AB186" s="13" t="inlineStr">
        <is>
          <t>Industrial Supplies and Parts</t>
        </is>
      </c>
      <c r="AC186" s="13" t="n"/>
      <c r="AD186" s="13" t="inlineStr">
        <is>
          <t>Provider of aerospace engineering and manufacturing services catering to the aerospace and defense sector. The company offers solutions that include tooling manufacturing, airframe assembly, aircraft configuration development, thermodynamics analysis and flight controls, thereby helping clients with composite aircraft and components using next-generation materials and processes.</t>
        </is>
      </c>
      <c r="AE186" s="13" t="inlineStr">
        <is>
          <t>Tehachapi, CA</t>
        </is>
      </c>
      <c r="AF186" s="13" t="inlineStr">
        <is>
          <t>www.sierratechnicalservices.com</t>
        </is>
      </c>
    </row>
    <row r="187" ht="42" customHeight="1">
      <c r="A187" s="18" t="inlineStr">
        <is>
          <t>USA-186</t>
        </is>
      </c>
      <c r="B187" s="18" t="inlineStr">
        <is>
          <t>USA</t>
        </is>
      </c>
      <c r="C187" s="18" t="inlineStr">
        <is>
          <t>USA</t>
        </is>
      </c>
      <c r="D187" s="19" t="inlineStr">
        <is>
          <t>G5 Infrared</t>
        </is>
      </c>
      <c r="E187" s="19" t="inlineStr">
        <is>
          <t>Lightpath Technologies</t>
        </is>
      </c>
      <c r="F187" s="18" t="n"/>
      <c r="G187" s="19" t="n"/>
      <c r="H187" s="20" t="n">
        <v>45706</v>
      </c>
      <c r="I187" s="20" t="n"/>
      <c r="J187" s="21" t="n">
        <v>2025</v>
      </c>
      <c r="K187" s="19" t="inlineStr">
        <is>
          <t>Merger/Acquisition</t>
        </is>
      </c>
      <c r="L187" s="19" t="n"/>
      <c r="M187" s="19" t="inlineStr">
        <is>
          <t>Completed</t>
        </is>
      </c>
      <c r="N187" s="22" t="n">
        <v>27</v>
      </c>
      <c r="O187" s="18" t="inlineStr">
        <is>
          <t>USD</t>
        </is>
      </c>
      <c r="P187" s="50" t="n">
        <v>1.8</v>
      </c>
      <c r="R187" s="37" t="n"/>
      <c r="S187" s="22" t="n"/>
      <c r="T187" s="37" t="n">
        <v>1.8</v>
      </c>
      <c r="U187" s="22" t="n">
        <v>15</v>
      </c>
      <c r="V187" s="19" t="n"/>
      <c r="W187" s="22" t="n">
        <v>27</v>
      </c>
      <c r="X187" s="19" t="inlineStr">
        <is>
          <t>The company was acquired by Lightpath Technologies (NAS: LPTH) for $27 million on February 18, 2025. This acquisition is a significant milestone for LightPath as we broaden our product portfolio and expand our reach into high-growth defense markets.</t>
        </is>
      </c>
      <c r="Y187" s="19" t="inlineStr">
        <is>
          <t>Corporate Backed or Acquired</t>
        </is>
      </c>
      <c r="Z187" s="19" t="inlineStr">
        <is>
          <t>Generating Revenue</t>
        </is>
      </c>
      <c r="AA187" s="19" t="inlineStr">
        <is>
          <t>Lightpath Technologies (NAS: LPTH) (Shmuel Rubin)</t>
        </is>
      </c>
      <c r="AB187" s="19" t="inlineStr">
        <is>
          <t>Other Commercial Products</t>
        </is>
      </c>
      <c r="AC187" s="19" t="inlineStr">
        <is>
          <t>Manufacturing, Robotics and Drones</t>
        </is>
      </c>
      <c r="AD187" s="19" t="inlineStr">
        <is>
          <t>Manufacturer of infrared camera systems and imaging services intended for defense, border security, and counter-drone markets. The company offers lens elements, windows, filters, and integrated sensor suites, and offers build-to-print services for prototype and high-volume production, as well as optical and mechanical design services supporting complex infrared optical systems.</t>
        </is>
      </c>
      <c r="AE187" s="19" t="inlineStr">
        <is>
          <t>Hudson, NH</t>
        </is>
      </c>
      <c r="AF187" s="19" t="inlineStr">
        <is>
          <t>www.g5ir.com</t>
        </is>
      </c>
    </row>
    <row r="188" ht="42" customHeight="1">
      <c r="A188" s="12" t="inlineStr">
        <is>
          <t>USA-187</t>
        </is>
      </c>
      <c r="B188" s="12" t="inlineStr">
        <is>
          <t>USA</t>
        </is>
      </c>
      <c r="C188" s="12" t="inlineStr">
        <is>
          <t>USA</t>
        </is>
      </c>
      <c r="D188" s="13" t="inlineStr">
        <is>
          <t>ONExia</t>
        </is>
      </c>
      <c r="E188" s="13" t="inlineStr">
        <is>
          <t>Doosan Robotics</t>
        </is>
      </c>
      <c r="F188" s="12" t="n"/>
      <c r="G188" s="13" t="n"/>
      <c r="H188" s="14" t="n">
        <v>45866</v>
      </c>
      <c r="I188" s="14" t="n"/>
      <c r="J188" s="15" t="n">
        <v>2025</v>
      </c>
      <c r="K188" s="13" t="inlineStr">
        <is>
          <t>Merger/Acquisition</t>
        </is>
      </c>
      <c r="L188" s="13" t="n"/>
      <c r="M188" s="13" t="inlineStr">
        <is>
          <t>Completed</t>
        </is>
      </c>
      <c r="N188" s="16" t="n">
        <v>25.86</v>
      </c>
      <c r="O188" s="12" t="inlineStr">
        <is>
          <t>USD</t>
        </is>
      </c>
      <c r="R188" s="36" t="n"/>
      <c r="S188" s="16" t="n"/>
      <c r="T188" s="36" t="n"/>
      <c r="U188" s="16" t="n"/>
      <c r="V188" s="13" t="n"/>
      <c r="W188" s="16" t="n">
        <v>28.86</v>
      </c>
      <c r="X188" s="13" t="inlineStr">
        <is>
          <t>The company was acquired by Doosan Robotics (KRX: 454910), a subsidiary of Doosan (KRX: 000150), for approximately KRW 35.6 billion on July 28, 2025. The acquisition helps Doosan Robotics to strengthen its physical artificial intelligence (AI) capabilities.</t>
        </is>
      </c>
      <c r="Y188" s="13" t="inlineStr">
        <is>
          <t>Corporate Backed or Acquired</t>
        </is>
      </c>
      <c r="Z188" s="13" t="inlineStr">
        <is>
          <t>Generating Revenue</t>
        </is>
      </c>
      <c r="AA188" s="13" t="inlineStr">
        <is>
          <t>Doosan Robotics (KRX: 454910) (Kim Minpyo)</t>
        </is>
      </c>
      <c r="AB188" s="13" t="inlineStr">
        <is>
          <t>Distributors/Wholesale</t>
        </is>
      </c>
      <c r="AC188" s="13" t="inlineStr">
        <is>
          <t>Manufacturing, Robotics and Drones</t>
        </is>
      </c>
      <c r="AD188" s="13" t="inlineStr">
        <is>
          <t>Distributor of custom machine building and robotics integrator products for manufacturing process automation. The company offers turn-key robotic cells, collaborative robots, and automated packaging systems, as well as software development, vision system integration, and machine safety services for clients.</t>
        </is>
      </c>
      <c r="AE188" s="13" t="inlineStr">
        <is>
          <t>Exton, PA</t>
        </is>
      </c>
      <c r="AF188" s="13" t="inlineStr">
        <is>
          <t>www.onexia.com</t>
        </is>
      </c>
    </row>
    <row r="189" ht="42" customHeight="1">
      <c r="A189" s="18" t="inlineStr">
        <is>
          <t>USA-188</t>
        </is>
      </c>
      <c r="B189" s="18" t="inlineStr">
        <is>
          <t>USA</t>
        </is>
      </c>
      <c r="C189" s="18" t="inlineStr">
        <is>
          <t>USA</t>
        </is>
      </c>
      <c r="D189" s="19" t="inlineStr">
        <is>
          <t>SafePointe</t>
        </is>
      </c>
      <c r="E189" s="19" t="inlineStr">
        <is>
          <t>SoundThinking</t>
        </is>
      </c>
      <c r="F189" s="18" t="n"/>
      <c r="G189" s="19" t="n"/>
      <c r="H189" s="20" t="n">
        <v>45156</v>
      </c>
      <c r="I189" s="20" t="n"/>
      <c r="J189" s="21" t="n">
        <v>2023</v>
      </c>
      <c r="K189" s="19" t="inlineStr">
        <is>
          <t>Merger/Acquisition</t>
        </is>
      </c>
      <c r="L189" s="19" t="n"/>
      <c r="M189" s="19" t="inlineStr">
        <is>
          <t>Completed</t>
        </is>
      </c>
      <c r="N189" s="22" t="n">
        <v>25.6</v>
      </c>
      <c r="O189" s="18" t="inlineStr">
        <is>
          <t>USD</t>
        </is>
      </c>
      <c r="R189" s="37" t="n"/>
      <c r="S189" s="22" t="n"/>
      <c r="T189" s="37" t="n"/>
      <c r="U189" s="22" t="n"/>
      <c r="V189" s="19" t="n"/>
      <c r="W189" s="22" t="n">
        <v>25.6</v>
      </c>
      <c r="X189" s="19" t="inlineStr">
        <is>
          <t>The company was acquired by SoundThinking (NAS: SSTI) for $25.6 million on August 18, 2023. The company will receive a contingent payout of $11.5 million.</t>
        </is>
      </c>
      <c r="Y189" s="19" t="inlineStr">
        <is>
          <t>Formerly VC-backed</t>
        </is>
      </c>
      <c r="Z189" s="19" t="inlineStr">
        <is>
          <t>Generating Revenue</t>
        </is>
      </c>
      <c r="AA189" s="19" t="inlineStr">
        <is>
          <t>SoundThinking (NAS: SSTI) (Ralph Clark)</t>
        </is>
      </c>
      <c r="AB189" s="19" t="inlineStr">
        <is>
          <t>Other Commercial Services</t>
        </is>
      </c>
      <c r="AC189" s="19" t="n"/>
      <c r="AD189" s="19" t="inlineStr">
        <is>
          <t>Provider of security and threat detection services intended to route security in the most challenging regions in the world. The company's service creates a Common Operating Picture (COP) through an enhanced information-sharing platform that provides a single dashboard to display real-time incident details, resource availability, and a robust management operations tool, enabling users to detect mass-casualty weapons, such as rifles and bombs.</t>
        </is>
      </c>
      <c r="AE189" s="19" t="inlineStr">
        <is>
          <t>Lake Mary, FL</t>
        </is>
      </c>
      <c r="AF189" s="19" t="inlineStr">
        <is>
          <t>www.safepointe.com</t>
        </is>
      </c>
    </row>
    <row r="190" ht="42" customHeight="1">
      <c r="A190" s="12" t="inlineStr">
        <is>
          <t>USA-189</t>
        </is>
      </c>
      <c r="B190" s="12" t="inlineStr">
        <is>
          <t>USA</t>
        </is>
      </c>
      <c r="C190" s="12" t="inlineStr">
        <is>
          <t>USA</t>
        </is>
      </c>
      <c r="D190" s="13" t="inlineStr">
        <is>
          <t>Shimmick (NAS: SHIM)</t>
        </is>
      </c>
      <c r="E190" s="13" t="n"/>
      <c r="F190" s="12" t="n"/>
      <c r="G190" s="13" t="n"/>
      <c r="H190" s="14" t="n">
        <v>45244</v>
      </c>
      <c r="I190" s="14" t="n"/>
      <c r="J190" s="15" t="n">
        <v>2023</v>
      </c>
      <c r="K190" s="13" t="inlineStr">
        <is>
          <t>IPO</t>
        </is>
      </c>
      <c r="L190" s="13" t="n"/>
      <c r="M190" s="13" t="inlineStr">
        <is>
          <t>Completed</t>
        </is>
      </c>
      <c r="N190" s="16" t="n">
        <v>25.03</v>
      </c>
      <c r="O190" s="12" t="inlineStr">
        <is>
          <t>USD</t>
        </is>
      </c>
      <c r="R190" s="36" t="n">
        <v>1.73</v>
      </c>
      <c r="S190" s="16" t="n">
        <v>14.45</v>
      </c>
      <c r="T190" s="36" t="n">
        <v>0.04</v>
      </c>
      <c r="U190" s="16" t="n">
        <v>680.96</v>
      </c>
      <c r="V190" s="13" t="n"/>
      <c r="W190" s="16" t="n">
        <v>178.46</v>
      </c>
      <c r="X190" s="13" t="inlineStr">
        <is>
          <t>The company raised $25.03 million in its initial public offering on the Nasdaq stock exchange under the ticker symbol of SHIM on November 14, 2023. A total of 3,575,000 shares were sold at $7 per share. After the offering, there was a total of 25,493,877 outstanding shares (excluding the over-allotment option) priced at $7 per share, valuing the company at $178.46 million. The underwriters were granted an option to purchase up to an additional 536,250 shares from the company to cover over-allotments, if any.</t>
        </is>
      </c>
      <c r="Y190" s="13" t="inlineStr">
        <is>
          <t>Formerly PE-Backed</t>
        </is>
      </c>
      <c r="Z190" s="13" t="inlineStr">
        <is>
          <t>Generating Revenue</t>
        </is>
      </c>
      <c r="AA190" s="13" t="n"/>
      <c r="AB190" s="13" t="inlineStr">
        <is>
          <t>Construction and Engineering</t>
        </is>
      </c>
      <c r="AC190" s="13" t="inlineStr">
        <is>
          <t>Industrials</t>
        </is>
      </c>
      <c r="AD190" s="13" t="inlineStr">
        <is>
          <t>Shimmick Corp is engaged in delivering turnkey infrastructure solutions that strengthen critical markets across water, energy, climate resiliency, and sustainable transportation. It selectively focuses on the following types of infrastructure projects: Water Treatment, Water Resources, and Other Critical Infrastructure. In water treatment projects the company expands, rehabilitates, upgrades, builds and rebuilds water and wastewater treatment infrastructure. In Other Critical Infrastructure projects, It builds, retrofits, expands, rehabilitates, operates, and maintains critical infrastructure, including mass transit, bridges, and military infrastructure. The company has one operating and reportable segment: infrastructure solutions. All of its revenue is derived from the United States.</t>
        </is>
      </c>
      <c r="AE190" s="13" t="inlineStr">
        <is>
          <t>Irvine, CA</t>
        </is>
      </c>
      <c r="AF190" s="13" t="inlineStr">
        <is>
          <t>www.shimmick.com</t>
        </is>
      </c>
    </row>
    <row r="191" ht="42" customHeight="1">
      <c r="A191" s="18" t="inlineStr">
        <is>
          <t>USA-190</t>
        </is>
      </c>
      <c r="B191" s="18" t="inlineStr">
        <is>
          <t>USA</t>
        </is>
      </c>
      <c r="C191" s="18" t="inlineStr">
        <is>
          <t>USA</t>
        </is>
      </c>
      <c r="D191" s="19" t="inlineStr">
        <is>
          <t>Spacecraft Components</t>
        </is>
      </c>
      <c r="E191" s="19" t="inlineStr">
        <is>
          <t>Mobix Labs</t>
        </is>
      </c>
      <c r="F191" s="18" t="n"/>
      <c r="G191" s="19" t="n"/>
      <c r="H191" s="20" t="n">
        <v>45717</v>
      </c>
      <c r="I191" s="20" t="n"/>
      <c r="J191" s="21" t="n">
        <v>2025</v>
      </c>
      <c r="K191" s="19" t="inlineStr">
        <is>
          <t>Merger/Acquisition</t>
        </is>
      </c>
      <c r="L191" s="19" t="n"/>
      <c r="M191" s="19" t="inlineStr">
        <is>
          <t>Completed</t>
        </is>
      </c>
      <c r="N191" s="22" t="n">
        <v>24</v>
      </c>
      <c r="O191" s="18" t="inlineStr">
        <is>
          <t>USD</t>
        </is>
      </c>
      <c r="R191" s="37" t="n"/>
      <c r="S191" s="22" t="n"/>
      <c r="T191" s="37" t="n"/>
      <c r="U191" s="22" t="n"/>
      <c r="V191" s="19" t="n"/>
      <c r="W191" s="22" t="n">
        <v>24</v>
      </c>
      <c r="X191" s="19" t="inlineStr">
        <is>
          <t>The company was acquired by Mobix Labs (NAS: MOBX) for $24 million on March 1, 2025.</t>
        </is>
      </c>
      <c r="Y191" s="19" t="inlineStr">
        <is>
          <t>Corporate Backed or Acquired</t>
        </is>
      </c>
      <c r="Z191" s="19" t="inlineStr">
        <is>
          <t>Generating Revenue</t>
        </is>
      </c>
      <c r="AA191" s="19" t="inlineStr">
        <is>
          <t>Mobix Labs (NAS: MOBX) (Fabrizio Battaglia)</t>
        </is>
      </c>
      <c r="AB191" s="19" t="inlineStr">
        <is>
          <t>Aerospace and Defense</t>
        </is>
      </c>
      <c r="AC191" s="19" t="inlineStr">
        <is>
          <t>Manufacturing</t>
        </is>
      </c>
      <c r="AD191" s="19" t="inlineStr">
        <is>
          <t>Manufacturer and distributor of cylindrical connectors catering to the railways, environment markets, transport, military and aerospace industries. The company offers a comprehensive range of products including reverse bayonet connectors, dummy receptacles, dust caps, flange gaskets, crimp contact wire adapters and termination bands, thereby delivering quality products to clients to gain a competitive advantage in their markets.</t>
        </is>
      </c>
      <c r="AE191" s="19" t="inlineStr">
        <is>
          <t>North Las Vegas, NV</t>
        </is>
      </c>
      <c r="AF191" s="19" t="inlineStr">
        <is>
          <t>www.spacecraft.com</t>
        </is>
      </c>
    </row>
    <row r="192" ht="42" customHeight="1">
      <c r="A192" s="12" t="inlineStr">
        <is>
          <t>USA-191</t>
        </is>
      </c>
      <c r="B192" s="12" t="inlineStr">
        <is>
          <t>USA</t>
        </is>
      </c>
      <c r="C192" s="12" t="inlineStr">
        <is>
          <t>USA</t>
        </is>
      </c>
      <c r="D192" s="13" t="inlineStr">
        <is>
          <t>LookingGlass Cyber Solutions</t>
        </is>
      </c>
      <c r="E192" s="13" t="inlineStr">
        <is>
          <t>ZeroFox</t>
        </is>
      </c>
      <c r="F192" s="12" t="n"/>
      <c r="G192" s="13" t="n"/>
      <c r="H192" s="14" t="n">
        <v>45037</v>
      </c>
      <c r="I192" s="14" t="n"/>
      <c r="J192" s="15" t="n">
        <v>2023</v>
      </c>
      <c r="K192" s="13" t="inlineStr">
        <is>
          <t>Merger/Acquisition</t>
        </is>
      </c>
      <c r="L192" s="13" t="n"/>
      <c r="M192" s="13" t="inlineStr">
        <is>
          <t>Completed</t>
        </is>
      </c>
      <c r="N192" s="16" t="n">
        <v>22.26</v>
      </c>
      <c r="O192" s="12" t="inlineStr">
        <is>
          <t>USD</t>
        </is>
      </c>
      <c r="R192" s="36" t="n"/>
      <c r="S192" s="16" t="n"/>
      <c r="T192" s="36" t="n"/>
      <c r="U192" s="16" t="n"/>
      <c r="V192" s="13" t="n"/>
      <c r="W192" s="16" t="n">
        <v>22.26</v>
      </c>
      <c r="X192" s="13" t="inlineStr">
        <is>
          <t>The company was acquired by ZeroFox (NAS: ZFOX) for an estimated $22.26 million on April 21, 2023. ZeroFox acquired the company primarily in the stock of 9.4 million shares combined with convertible debt and cash.</t>
        </is>
      </c>
      <c r="Y192" s="13" t="inlineStr">
        <is>
          <t>Formerly PE-Backed</t>
        </is>
      </c>
      <c r="Z192" s="13" t="inlineStr">
        <is>
          <t>Generating Revenue</t>
        </is>
      </c>
      <c r="AA192" s="13" t="inlineStr">
        <is>
          <t>ZeroFox (James Foster)</t>
        </is>
      </c>
      <c r="AB192" s="13" t="inlineStr">
        <is>
          <t>Network Management Software</t>
        </is>
      </c>
      <c r="AC192" s="13" t="inlineStr">
        <is>
          <t>Cybersecurity, TMT</t>
        </is>
      </c>
      <c r="AD192" s="13" t="inlineStr">
        <is>
          <t>Developer of threat intelligence platform catering to financial services, defense, government and energy sectors. The company's platform addresses the full spectrum of threats including structured threats, indicators of compromise, internal network telemetry and physical threats as well as have capabilities of collection and processing of data and exploration outside the firewalls, thereby enabling clients to monitor and manage cyber threats.</t>
        </is>
      </c>
      <c r="AE192" s="13" t="inlineStr">
        <is>
          <t>Reston, VA</t>
        </is>
      </c>
      <c r="AF192" s="13" t="inlineStr">
        <is>
          <t>www.lookingglasscyber.com</t>
        </is>
      </c>
    </row>
    <row r="193" ht="42" customHeight="1">
      <c r="A193" s="18" t="inlineStr">
        <is>
          <t>USA-192</t>
        </is>
      </c>
      <c r="B193" s="18" t="inlineStr">
        <is>
          <t>USA</t>
        </is>
      </c>
      <c r="C193" s="18" t="inlineStr">
        <is>
          <t>USA</t>
        </is>
      </c>
      <c r="D193" s="19" t="inlineStr">
        <is>
          <t>Holaday Circuits</t>
        </is>
      </c>
      <c r="E193" s="19" t="inlineStr">
        <is>
          <t>Firan Technology Group</t>
        </is>
      </c>
      <c r="F193" s="18" t="n"/>
      <c r="G193" s="19" t="n"/>
      <c r="H193" s="20" t="n">
        <v>45044</v>
      </c>
      <c r="I193" s="20" t="n"/>
      <c r="J193" s="21" t="n">
        <v>2023</v>
      </c>
      <c r="K193" s="19" t="inlineStr">
        <is>
          <t>Merger/Acquisition</t>
        </is>
      </c>
      <c r="L193" s="19" t="n"/>
      <c r="M193" s="19" t="inlineStr">
        <is>
          <t>Completed</t>
        </is>
      </c>
      <c r="N193" s="22" t="n">
        <v>22.2</v>
      </c>
      <c r="O193" s="18" t="inlineStr">
        <is>
          <t>USD</t>
        </is>
      </c>
      <c r="R193" s="37" t="n"/>
      <c r="S193" s="22" t="n"/>
      <c r="T193" s="37" t="n"/>
      <c r="U193" s="22" t="n"/>
      <c r="V193" s="19" t="n"/>
      <c r="W193" s="22" t="n">
        <v>22.2</v>
      </c>
      <c r="X193" s="19" t="inlineStr">
        <is>
          <t>The company was acquired by Firan Technology Group (TSE: FTG) for approximately CAD 30 million on April 28, 2023. The consideration includes a contingent payout of CAD 6 million based on certain future performance. The acquisition gives FTG a large, US-based facility that can address the market for high-technology circuit boards, particularly for defense applications which, will again enable us to better support our customers.</t>
        </is>
      </c>
      <c r="Y193" s="19" t="inlineStr">
        <is>
          <t>Corporate Backed or Acquired</t>
        </is>
      </c>
      <c r="Z193" s="19" t="inlineStr">
        <is>
          <t>Generating Revenue</t>
        </is>
      </c>
      <c r="AA193" s="19" t="inlineStr">
        <is>
          <t>Firan Technology Group (TSE: FTG) (Bradley Bourne)</t>
        </is>
      </c>
      <c r="AB193" s="19" t="inlineStr">
        <is>
          <t>General Purpose Semiconductors</t>
        </is>
      </c>
      <c r="AC193" s="19" t="inlineStr">
        <is>
          <t>Manufacturing</t>
        </is>
      </c>
      <c r="AD193" s="19" t="inlineStr">
        <is>
          <t>Manufacturer of printed circuit boards intended to serve the aerospace, military, and electronics industries. The company's product line includes imaging and etching capabilities, mechanical drilling, laser drilling, nomenclature, fabrication, solder mask, hole fill, and material, and finishes, enabling industries to integrate reliable circuit board components into advanced electronic systems and mission-critical applications.</t>
        </is>
      </c>
      <c r="AE193" s="19" t="inlineStr">
        <is>
          <t>Minnetonka, MN</t>
        </is>
      </c>
      <c r="AF193" s="19" t="inlineStr">
        <is>
          <t>www.holaday.com</t>
        </is>
      </c>
    </row>
    <row r="194" ht="42" customHeight="1">
      <c r="A194" s="12" t="inlineStr">
        <is>
          <t>USA-193</t>
        </is>
      </c>
      <c r="B194" s="12" t="inlineStr">
        <is>
          <t>USA</t>
        </is>
      </c>
      <c r="C194" s="12" t="inlineStr">
        <is>
          <t>USA</t>
        </is>
      </c>
      <c r="D194" s="13" t="inlineStr">
        <is>
          <t>Hera Systems</t>
        </is>
      </c>
      <c r="E194" s="13" t="inlineStr">
        <is>
          <t>Redwire</t>
        </is>
      </c>
      <c r="F194" s="12" t="n"/>
      <c r="G194" s="13" t="n"/>
      <c r="H194" s="14" t="n">
        <v>45534</v>
      </c>
      <c r="I194" s="14" t="n"/>
      <c r="J194" s="15" t="n">
        <v>2024</v>
      </c>
      <c r="K194" s="13" t="inlineStr">
        <is>
          <t>Merger/Acquisition</t>
        </is>
      </c>
      <c r="L194" s="13" t="n"/>
      <c r="M194" s="13" t="inlineStr">
        <is>
          <t>Completed</t>
        </is>
      </c>
      <c r="N194" s="16" t="n">
        <v>21.9</v>
      </c>
      <c r="O194" s="12" t="inlineStr">
        <is>
          <t>USD</t>
        </is>
      </c>
      <c r="R194" s="36" t="n"/>
      <c r="S194" s="16" t="n"/>
      <c r="T194" s="36" t="n"/>
      <c r="U194" s="16" t="n"/>
      <c r="V194" s="13" t="n"/>
      <c r="W194" s="16" t="n">
        <v>21.9</v>
      </c>
      <c r="X194" s="13" t="inlineStr">
        <is>
          <t>The company was acquired by Redwire (NYS: RDW), for $21.9 million on August 30, 2024.</t>
        </is>
      </c>
      <c r="Y194" s="13" t="inlineStr">
        <is>
          <t>Formerly VC-backed</t>
        </is>
      </c>
      <c r="Z194" s="13" t="inlineStr">
        <is>
          <t>Generating Revenue</t>
        </is>
      </c>
      <c r="AA194" s="13" t="inlineStr">
        <is>
          <t>Redwire (NYS: RDW)</t>
        </is>
      </c>
      <c r="AB194" s="13" t="inlineStr">
        <is>
          <t>Media and Information Services (B2B)</t>
        </is>
      </c>
      <c r="AC194" s="13" t="inlineStr">
        <is>
          <t>Artificial Intelligence &amp; Machine Learning, Big Data, Space Technology</t>
        </is>
      </c>
      <c r="AD194" s="13" t="inlineStr">
        <is>
          <t>Operator of a satellite information and analytics company intended to empower satellite technology for critical missions in defense and security. The company captures sub-meter resolution imagery and video empowering near real-time understanding analytics and derived information products, enabling clients to easily monitor change and offer smart decisions for the ever-changing features and emerging situations across the globe.</t>
        </is>
      </c>
      <c r="AE194" s="13" t="inlineStr">
        <is>
          <t>San Jose, CA</t>
        </is>
      </c>
      <c r="AF194" s="13" t="inlineStr">
        <is>
          <t>www.herasys.com</t>
        </is>
      </c>
    </row>
    <row r="195" ht="42" customHeight="1">
      <c r="A195" s="18" t="inlineStr">
        <is>
          <t>USA-194</t>
        </is>
      </c>
      <c r="B195" s="18" t="inlineStr">
        <is>
          <t>USA</t>
        </is>
      </c>
      <c r="C195" s="18" t="inlineStr">
        <is>
          <t>USA</t>
        </is>
      </c>
      <c r="D195" s="19" t="inlineStr">
        <is>
          <t>ATI (East Hartford Operations)</t>
        </is>
      </c>
      <c r="E195" s="19" t="inlineStr">
        <is>
          <t>Barnes Aerospace</t>
        </is>
      </c>
      <c r="F195" s="18" t="n"/>
      <c r="G195" s="19" t="n"/>
      <c r="H195" s="20" t="n">
        <v>45882</v>
      </c>
      <c r="I195" s="20" t="n"/>
      <c r="J195" s="21" t="n">
        <v>2025</v>
      </c>
      <c r="K195" s="19" t="inlineStr">
        <is>
          <t>Merger/Acquisition</t>
        </is>
      </c>
      <c r="L195" s="19" t="n"/>
      <c r="M195" s="19" t="inlineStr">
        <is>
          <t>Completed</t>
        </is>
      </c>
      <c r="N195" s="22" t="n">
        <v>20.5</v>
      </c>
      <c r="O195" s="18" t="inlineStr">
        <is>
          <t>USD</t>
        </is>
      </c>
      <c r="R195" s="37" t="n"/>
      <c r="S195" s="22" t="n"/>
      <c r="T195" s="37" t="n"/>
      <c r="U195" s="22" t="n"/>
      <c r="V195" s="19" t="inlineStr">
        <is>
          <t>Corporate Divestiture</t>
        </is>
      </c>
      <c r="W195" s="22" t="n">
        <v>20.5</v>
      </c>
      <c r="X195" s="19" t="inlineStr">
        <is>
          <t>The East Hartford Operations of Allegheny Technologies (NYS: ATI), was acquired by Barnes Aerospace for $20.5 million on August 13, 2025. The acquisition streamlines ATI's portfolio and focus on core aerospace and defense capabilities.</t>
        </is>
      </c>
      <c r="Y195" s="19" t="inlineStr">
        <is>
          <t>Corporate Backed or Acquired</t>
        </is>
      </c>
      <c r="Z195" s="19" t="inlineStr">
        <is>
          <t>Generating Revenue</t>
        </is>
      </c>
      <c r="AA195" s="19" t="inlineStr">
        <is>
          <t>Barnes Aerospace</t>
        </is>
      </c>
      <c r="AB195" s="19" t="inlineStr">
        <is>
          <t>Distributors/Wholesale</t>
        </is>
      </c>
      <c r="AC195" s="19" t="n"/>
      <c r="AD195" s="19" t="inlineStr">
        <is>
          <t>Supplier of flight-safety critical components and assemblies intended for commercial and defense aerospace sectors. The business unit specializes in the machining of flight-safety critical rotating hardware, including rotor hubs, rotorcraft components, and jet engine discs.</t>
        </is>
      </c>
      <c r="AE195" s="19" t="inlineStr">
        <is>
          <t>East Hartford, CT</t>
        </is>
      </c>
      <c r="AF195" s="19" t="n"/>
    </row>
    <row r="196" ht="42" customHeight="1">
      <c r="A196" s="12" t="inlineStr">
        <is>
          <t>USA-195</t>
        </is>
      </c>
      <c r="B196" s="12" t="inlineStr">
        <is>
          <t>USA</t>
        </is>
      </c>
      <c r="C196" s="12" t="inlineStr">
        <is>
          <t>USA</t>
        </is>
      </c>
      <c r="D196" s="13" t="inlineStr">
        <is>
          <t>SWIR Vision Systems</t>
        </is>
      </c>
      <c r="E196" s="13" t="inlineStr">
        <is>
          <t>ON Semiconductor</t>
        </is>
      </c>
      <c r="F196" s="12" t="n"/>
      <c r="G196" s="13" t="n"/>
      <c r="H196" s="14" t="n">
        <v>45474</v>
      </c>
      <c r="I196" s="14" t="n"/>
      <c r="J196" s="15" t="n">
        <v>2024</v>
      </c>
      <c r="K196" s="13" t="inlineStr">
        <is>
          <t>Merger/Acquisition</t>
        </is>
      </c>
      <c r="L196" s="13" t="n"/>
      <c r="M196" s="13" t="inlineStr">
        <is>
          <t>Completed</t>
        </is>
      </c>
      <c r="N196" s="16" t="n">
        <v>20.5</v>
      </c>
      <c r="O196" s="12" t="inlineStr">
        <is>
          <t>USD</t>
        </is>
      </c>
      <c r="R196" s="36" t="n"/>
      <c r="S196" s="16" t="n"/>
      <c r="T196" s="36" t="n"/>
      <c r="U196" s="16" t="n"/>
      <c r="V196" s="13" t="n"/>
      <c r="W196" s="16" t="n">
        <v>20.5</v>
      </c>
      <c r="X196" s="13" t="inlineStr">
        <is>
          <t>The company was acquired by onsemi (NAS: ON) for cash consideration of approximately $20.5 million on July 1, 2024.</t>
        </is>
      </c>
      <c r="Y196" s="13" t="inlineStr">
        <is>
          <t>Formerly VC-backed</t>
        </is>
      </c>
      <c r="Z196" s="13" t="inlineStr">
        <is>
          <t>Generating Revenue</t>
        </is>
      </c>
      <c r="AA196" s="13" t="inlineStr">
        <is>
          <t>ON Semiconductor (NAS: ON)</t>
        </is>
      </c>
      <c r="AB196" s="13" t="inlineStr">
        <is>
          <t>Electronic Equipment and Instruments</t>
        </is>
      </c>
      <c r="AC196" s="13" t="inlineStr">
        <is>
          <t>Artificial Intelligence &amp; Machine Learning, Internet of Things</t>
        </is>
      </c>
      <c r="AD196" s="13" t="inlineStr">
        <is>
          <t>Developer of an image sensor technology designed to offer short-wave infrared cameras. The company's technology offers clarity, visible-to-short-wavelength infrared band, and high-resolution images with superior performance which can be applied to industrial machine vision, security, agricultural imaging and other advanced vision systems applications, enabling clients to easily avail affordable infrared imaging cameras with full high-definition resolution.</t>
        </is>
      </c>
      <c r="AE196" s="13" t="inlineStr">
        <is>
          <t>Durham, NC</t>
        </is>
      </c>
      <c r="AF196" s="13" t="inlineStr">
        <is>
          <t>www.swirvisionsystems.com</t>
        </is>
      </c>
    </row>
    <row r="197" ht="42" customHeight="1">
      <c r="A197" s="18" t="inlineStr">
        <is>
          <t>USA-196</t>
        </is>
      </c>
      <c r="B197" s="18" t="inlineStr">
        <is>
          <t>USA</t>
        </is>
      </c>
      <c r="C197" s="18" t="inlineStr">
        <is>
          <t>USA</t>
        </is>
      </c>
      <c r="D197" s="19" t="inlineStr">
        <is>
          <t>Bestway AG</t>
        </is>
      </c>
      <c r="E197" s="19" t="inlineStr">
        <is>
          <t>Valley Industries</t>
        </is>
      </c>
      <c r="F197" s="18" t="n"/>
      <c r="G197" s="19" t="n"/>
      <c r="H197" s="20" t="n">
        <v>44958</v>
      </c>
      <c r="I197" s="20" t="n"/>
      <c r="J197" s="21" t="n">
        <v>2023</v>
      </c>
      <c r="K197" s="19" t="inlineStr">
        <is>
          <t>Merger/Acquisition</t>
        </is>
      </c>
      <c r="L197" s="19" t="n"/>
      <c r="M197" s="19" t="inlineStr">
        <is>
          <t>Completed</t>
        </is>
      </c>
      <c r="N197" s="22" t="n">
        <v>20.1</v>
      </c>
      <c r="O197" s="18" t="inlineStr">
        <is>
          <t>USD</t>
        </is>
      </c>
      <c r="P197" s="50" t="n">
        <v>0.63</v>
      </c>
      <c r="Q197" s="50" t="n">
        <v>8.039999999999999</v>
      </c>
      <c r="R197" s="37" t="n">
        <v>8.039999999999999</v>
      </c>
      <c r="S197" s="22" t="n">
        <v>2.5</v>
      </c>
      <c r="T197" s="37" t="n">
        <v>0.63</v>
      </c>
      <c r="U197" s="22" t="n">
        <v>32</v>
      </c>
      <c r="V197" s="19" t="n"/>
      <c r="W197" s="22" t="n">
        <v>20.1</v>
      </c>
      <c r="X197" s="19" t="inlineStr">
        <is>
          <t>The company was acquired by Valley Industries, a subsidiary of Emak (MIL: EM), for $20.1 million on February 1, 2023.</t>
        </is>
      </c>
      <c r="Y197" s="19" t="inlineStr">
        <is>
          <t>Corporate Backed or Acquired</t>
        </is>
      </c>
      <c r="Z197" s="19" t="inlineStr">
        <is>
          <t>Generating Revenue</t>
        </is>
      </c>
      <c r="AA197" s="19" t="inlineStr">
        <is>
          <t>Valley Industries (Dan Savage)</t>
        </is>
      </c>
      <c r="AB197" s="19" t="inlineStr">
        <is>
          <t>Machinery (B2B)</t>
        </is>
      </c>
      <c r="AC197" s="19" t="inlineStr">
        <is>
          <t>AgTech, Manufacturing, Robotics and Drones</t>
        </is>
      </c>
      <c r="AD197" s="19" t="inlineStr">
        <is>
          <t>Manufacturer of agricultural spraying equipment designed for precision application and field efficiency. The company offers pull-type sprayers, three-point hitch sprayers, trailer-mounted systems, boom height control technology, liquid fertilizer applicators, spot spraying solutions, and drone-assisted spraying capabilities, enabling farmers and agricultural operators to optimize chemical distribution, reduce waste, enhance crop protection, improve operational reliability, and integrate advanced spraying technologies for effective field management and sustainable farming practices.</t>
        </is>
      </c>
      <c r="AE197" s="19" t="inlineStr">
        <is>
          <t>Hopkinsville, KY</t>
        </is>
      </c>
      <c r="AF197" s="19" t="inlineStr">
        <is>
          <t>www.bestwayag.com</t>
        </is>
      </c>
    </row>
    <row r="198" ht="42" customHeight="1">
      <c r="A198" s="12" t="inlineStr">
        <is>
          <t>USA-197</t>
        </is>
      </c>
      <c r="B198" s="12" t="inlineStr">
        <is>
          <t>USA</t>
        </is>
      </c>
      <c r="C198" s="12" t="inlineStr">
        <is>
          <t>USA</t>
        </is>
      </c>
      <c r="D198" s="13" t="inlineStr">
        <is>
          <t>Snc Manufacturing</t>
        </is>
      </c>
      <c r="E198" s="13" t="inlineStr">
        <is>
          <t>Allient</t>
        </is>
      </c>
      <c r="F198" s="12" t="n"/>
      <c r="G198" s="13" t="n"/>
      <c r="H198" s="14" t="n">
        <v>45302</v>
      </c>
      <c r="I198" s="14" t="n"/>
      <c r="J198" s="15" t="n">
        <v>2024</v>
      </c>
      <c r="K198" s="13" t="inlineStr">
        <is>
          <t>Merger/Acquisition</t>
        </is>
      </c>
      <c r="L198" s="13" t="n"/>
      <c r="M198" s="13" t="inlineStr">
        <is>
          <t>Completed</t>
        </is>
      </c>
      <c r="N198" s="16" t="n">
        <v>19.72</v>
      </c>
      <c r="O198" s="12" t="inlineStr">
        <is>
          <t>USD</t>
        </is>
      </c>
      <c r="P198" s="50" t="n">
        <v>0.49</v>
      </c>
      <c r="R198" s="36" t="n"/>
      <c r="S198" s="16" t="n"/>
      <c r="T198" s="36" t="n">
        <v>0.49</v>
      </c>
      <c r="U198" s="16" t="n">
        <v>40</v>
      </c>
      <c r="V198" s="13" t="n"/>
      <c r="W198" s="16" t="n">
        <v>19.72</v>
      </c>
      <c r="X198" s="13" t="inlineStr">
        <is>
          <t>The company was acquired by Allied Motion (NAS: ALNT) for approximately $19.724 million on January 11, 2024. The acquisition helps Allient in extending its capabilities in the clean power industry with a broader reach into industrial automation, defence, medical and in the energy and alternative energy markets.</t>
        </is>
      </c>
      <c r="Y198" s="13" t="inlineStr">
        <is>
          <t>Corporate Backed or Acquired</t>
        </is>
      </c>
      <c r="Z198" s="13" t="inlineStr">
        <is>
          <t>Generating Revenue</t>
        </is>
      </c>
      <c r="AA198" s="13" t="inlineStr">
        <is>
          <t>Allient (NAS: ALNT)</t>
        </is>
      </c>
      <c r="AB198" s="13" t="inlineStr">
        <is>
          <t>Electrical Equipment</t>
        </is>
      </c>
      <c r="AC198" s="13" t="inlineStr">
        <is>
          <t>Manufacturing</t>
        </is>
      </c>
      <c r="AD198" s="13" t="inlineStr">
        <is>
          <t>Manufacturer of electrical transformers catering to blue-chip companies in defense, industrial automation, alternative power generation sectors. The company provides military transformers, industrial transformers, custom transformers, medium voltage transformers.</t>
        </is>
      </c>
      <c r="AE198" s="13" t="inlineStr">
        <is>
          <t>Oshkosh, WI</t>
        </is>
      </c>
      <c r="AF198" s="13" t="inlineStr">
        <is>
          <t>www.sncmfg.com</t>
        </is>
      </c>
    </row>
    <row r="199" ht="42" customHeight="1">
      <c r="A199" s="18" t="inlineStr">
        <is>
          <t>USA-198</t>
        </is>
      </c>
      <c r="B199" s="18" t="inlineStr">
        <is>
          <t>USA</t>
        </is>
      </c>
      <c r="C199" s="18" t="inlineStr">
        <is>
          <t>USA</t>
        </is>
      </c>
      <c r="D199" s="19" t="inlineStr">
        <is>
          <t>Specline</t>
        </is>
      </c>
      <c r="E199" s="19" t="inlineStr">
        <is>
          <t>RBC Bearings</t>
        </is>
      </c>
      <c r="F199" s="18" t="n"/>
      <c r="G199" s="19" t="n"/>
      <c r="H199" s="20" t="n">
        <v>45156</v>
      </c>
      <c r="I199" s="20" t="n"/>
      <c r="J199" s="21" t="n">
        <v>2023</v>
      </c>
      <c r="K199" s="19" t="inlineStr">
        <is>
          <t>Merger/Acquisition</t>
        </is>
      </c>
      <c r="L199" s="19" t="n"/>
      <c r="M199" s="19" t="inlineStr">
        <is>
          <t>Completed</t>
        </is>
      </c>
      <c r="N199" s="22" t="n">
        <v>18.7</v>
      </c>
      <c r="O199" s="18" t="inlineStr">
        <is>
          <t>USD</t>
        </is>
      </c>
      <c r="P199" s="50" t="n">
        <v>2.23</v>
      </c>
      <c r="R199" s="37" t="n"/>
      <c r="S199" s="22" t="n"/>
      <c r="T199" s="37" t="n">
        <v>2.23</v>
      </c>
      <c r="U199" s="22" t="n">
        <v>8.4</v>
      </c>
      <c r="V199" s="19" t="n"/>
      <c r="W199" s="22" t="n">
        <v>18.7</v>
      </c>
      <c r="X199" s="19" t="inlineStr">
        <is>
          <t>The company was acquired by RBC Bearings (NYS: RBC) for $18.7 million on August 18, 2023. The acquisition increases the breadth of RBC Bearings aerospace product offering and enhances its production capacity.</t>
        </is>
      </c>
      <c r="Y199" s="19" t="inlineStr">
        <is>
          <t>Corporate Backed or Acquired</t>
        </is>
      </c>
      <c r="Z199" s="19" t="inlineStr">
        <is>
          <t>Generating Revenue</t>
        </is>
      </c>
      <c r="AA199" s="19" t="inlineStr">
        <is>
          <t>RBC Bearings (NYS: RBC) (Michael Hartnett)</t>
        </is>
      </c>
      <c r="AB199" s="19" t="inlineStr">
        <is>
          <t>Aerospace and Defense</t>
        </is>
      </c>
      <c r="AC199" s="19" t="inlineStr">
        <is>
          <t>Manufacturing</t>
        </is>
      </c>
      <c r="AD199" s="19" t="inlineStr">
        <is>
          <t>Manufacturer of precision bearings intended for the commercial and defense aerospace markets. The company offers spherical bearings, journal bearings, rod end bearings, specialty bearings and loader slot bearings.</t>
        </is>
      </c>
      <c r="AE199" s="19" t="inlineStr">
        <is>
          <t>Carson City, NV</t>
        </is>
      </c>
      <c r="AF199" s="19" t="inlineStr">
        <is>
          <t>www.specline.com</t>
        </is>
      </c>
    </row>
    <row r="200" ht="42" customHeight="1">
      <c r="A200" s="12" t="inlineStr">
        <is>
          <t>USA-199</t>
        </is>
      </c>
      <c r="B200" s="12" t="inlineStr">
        <is>
          <t>USA</t>
        </is>
      </c>
      <c r="C200" s="12" t="inlineStr">
        <is>
          <t>USA</t>
        </is>
      </c>
      <c r="D200" s="13" t="inlineStr">
        <is>
          <t>MRV Systems</t>
        </is>
      </c>
      <c r="E200" s="13" t="inlineStr">
        <is>
          <t>General Oceans</t>
        </is>
      </c>
      <c r="F200" s="12" t="n"/>
      <c r="G200" s="13" t="n"/>
      <c r="H200" s="14" t="n">
        <v>46122</v>
      </c>
      <c r="I200" s="14" t="n"/>
      <c r="J200" s="15" t="n">
        <v>2026</v>
      </c>
      <c r="K200" s="13" t="inlineStr">
        <is>
          <t>Merger/Acquisition</t>
        </is>
      </c>
      <c r="L200" s="13" t="n"/>
      <c r="M200" s="13" t="inlineStr">
        <is>
          <t>Completed</t>
        </is>
      </c>
      <c r="N200" s="16" t="n">
        <v>18</v>
      </c>
      <c r="O200" s="12" t="inlineStr">
        <is>
          <t>USD</t>
        </is>
      </c>
      <c r="R200" s="36" t="n"/>
      <c r="S200" s="16" t="n"/>
      <c r="T200" s="36" t="n"/>
      <c r="U200" s="16" t="n"/>
      <c r="V200" s="13" t="n"/>
      <c r="W200" s="16" t="n">
        <v>18</v>
      </c>
      <c r="X200" s="13" t="inlineStr">
        <is>
          <t>The company was acquired by General Oceans (OSL: GENO) for $18 million on April 10, 2026.</t>
        </is>
      </c>
      <c r="Y200" s="13" t="inlineStr">
        <is>
          <t>Formerly Angel backed</t>
        </is>
      </c>
      <c r="Z200" s="13" t="inlineStr">
        <is>
          <t>Generating Revenue</t>
        </is>
      </c>
      <c r="AA200" s="13" t="inlineStr">
        <is>
          <t>General Oceans (OSL: GENO)</t>
        </is>
      </c>
      <c r="AB200" s="13" t="inlineStr">
        <is>
          <t>Aerospace and Defense</t>
        </is>
      </c>
      <c r="AC200" s="13" t="inlineStr">
        <is>
          <t>Industrials, Manufacturing, Robotics and Drones</t>
        </is>
      </c>
      <c r="AD200" s="13" t="inlineStr">
        <is>
          <t>Manufacturer of autonomous marine observation systems intended to collect high-resolution oceanographic data. The company's platform offers a range of profiling floats and underwater gliders, including models capable of operating in extreme environments, enabling research institutions and defense organizations to conduct comprehensive ocean monitoring and contribute to global initiatives like the Argo and Deep Argo programs.</t>
        </is>
      </c>
      <c r="AE200" s="13" t="inlineStr">
        <is>
          <t>San Diego, CA</t>
        </is>
      </c>
      <c r="AF200" s="13" t="inlineStr">
        <is>
          <t>www.mrvsys.com</t>
        </is>
      </c>
    </row>
    <row r="201" ht="42" customHeight="1">
      <c r="A201" s="18" t="inlineStr">
        <is>
          <t>USA-200</t>
        </is>
      </c>
      <c r="B201" s="18" t="inlineStr">
        <is>
          <t>USA</t>
        </is>
      </c>
      <c r="C201" s="18" t="inlineStr">
        <is>
          <t>USA</t>
        </is>
      </c>
      <c r="D201" s="19" t="inlineStr">
        <is>
          <t>Global Photonics</t>
        </is>
      </c>
      <c r="E201" s="19" t="inlineStr">
        <is>
          <t>Gooch &amp; Housego</t>
        </is>
      </c>
      <c r="F201" s="18" t="n"/>
      <c r="G201" s="19" t="n"/>
      <c r="H201" s="20" t="n">
        <v>45825</v>
      </c>
      <c r="I201" s="20" t="n"/>
      <c r="J201" s="21" t="n">
        <v>2025</v>
      </c>
      <c r="K201" s="19" t="inlineStr">
        <is>
          <t>Merger/Acquisition</t>
        </is>
      </c>
      <c r="L201" s="19" t="n"/>
      <c r="M201" s="19" t="inlineStr">
        <is>
          <t>Completed</t>
        </is>
      </c>
      <c r="N201" s="22" t="n">
        <v>17.5</v>
      </c>
      <c r="O201" s="18" t="inlineStr">
        <is>
          <t>USD</t>
        </is>
      </c>
      <c r="P201" s="50" t="n">
        <v>1.58</v>
      </c>
      <c r="Q201" s="50" t="n">
        <v>9.720000000000001</v>
      </c>
      <c r="R201" s="37" t="n">
        <v>9.720000000000001</v>
      </c>
      <c r="S201" s="22" t="n">
        <v>1.8</v>
      </c>
      <c r="T201" s="37" t="n">
        <v>1.58</v>
      </c>
      <c r="U201" s="22" t="n">
        <v>11.1</v>
      </c>
      <c r="V201" s="19" t="n"/>
      <c r="W201" s="22" t="n">
        <v>17.5</v>
      </c>
      <c r="X201" s="19" t="inlineStr">
        <is>
          <t>The company was acquired by Gooch &amp; Housego (LON: GHH) for $17.5 million on June 17, 2025. This acquisition significantly extends Gooch &amp; Housego's presence in the U.S. aerospace and defence market and marks an important step towards replicating the success of the Group's optical systems hub in the UK by establishing a full optical systems engineering and manufacturing capability in the United States.</t>
        </is>
      </c>
      <c r="Y201" s="19" t="inlineStr">
        <is>
          <t>Corporate Backed or Acquired</t>
        </is>
      </c>
      <c r="Z201" s="19" t="inlineStr">
        <is>
          <t>Generating Revenue</t>
        </is>
      </c>
      <c r="AA201" s="19" t="inlineStr">
        <is>
          <t>Gooch &amp; Housego (LON: GHH) (Charlie Peppiatt)</t>
        </is>
      </c>
      <c r="AB201" s="19" t="inlineStr">
        <is>
          <t>Other Commercial Products</t>
        </is>
      </c>
      <c r="AC201" s="19" t="n"/>
      <c r="AD201" s="19" t="inlineStr">
        <is>
          <t>Developer of advanced optical and optomechanical solutions designed for the defense, aerospace, and industrial markets. The company supplies optical systems for military land applications, including periscopes and fire-control systems, as well as instrumentation for air platforms and other advanced precision optics.</t>
        </is>
      </c>
      <c r="AE201" s="19" t="inlineStr">
        <is>
          <t>Trinity, FL</t>
        </is>
      </c>
      <c r="AF201" s="19" t="inlineStr">
        <is>
          <t>www.globalphotonics.com</t>
        </is>
      </c>
    </row>
    <row r="202" ht="42" customHeight="1">
      <c r="A202" s="12" t="inlineStr">
        <is>
          <t>USA-201</t>
        </is>
      </c>
      <c r="B202" s="12" t="inlineStr">
        <is>
          <t>USA</t>
        </is>
      </c>
      <c r="C202" s="12" t="inlineStr">
        <is>
          <t>USA</t>
        </is>
      </c>
      <c r="D202" s="13" t="inlineStr">
        <is>
          <t>ADCO Circuits</t>
        </is>
      </c>
      <c r="E202" s="13" t="inlineStr">
        <is>
          <t>Scanfil</t>
        </is>
      </c>
      <c r="F202" s="12" t="n"/>
      <c r="G202" s="13" t="n"/>
      <c r="H202" s="14" t="n">
        <v>45821</v>
      </c>
      <c r="I202" s="14" t="n"/>
      <c r="J202" s="15" t="n">
        <v>2025</v>
      </c>
      <c r="K202" s="13" t="inlineStr">
        <is>
          <t>Merger/Acquisition</t>
        </is>
      </c>
      <c r="L202" s="13" t="n"/>
      <c r="M202" s="13" t="inlineStr">
        <is>
          <t>Completed</t>
        </is>
      </c>
      <c r="N202" s="16" t="n">
        <v>15.5</v>
      </c>
      <c r="O202" s="12" t="inlineStr">
        <is>
          <t>USD</t>
        </is>
      </c>
      <c r="P202" s="50" t="n">
        <v>0.59</v>
      </c>
      <c r="R202" s="36" t="n"/>
      <c r="S202" s="16" t="n"/>
      <c r="T202" s="36" t="n">
        <v>0.47</v>
      </c>
      <c r="U202" s="16" t="n">
        <v>33.11</v>
      </c>
      <c r="V202" s="13" t="n"/>
      <c r="W202" s="16" t="n">
        <v>19.38</v>
      </c>
      <c r="X202" s="13" t="inlineStr">
        <is>
          <t>The company was acquired by Scanfil (HEL: SCANFL) for $15.5 million on June 13, 2025. With this acquisition, Scanfil aims to increase its expertise in electronics and box build manufacturing with a strong presence in industrial and aerospace and defense markets.</t>
        </is>
      </c>
      <c r="Y202" s="13" t="inlineStr">
        <is>
          <t>Corporate Backed or Acquired</t>
        </is>
      </c>
      <c r="Z202" s="13" t="inlineStr">
        <is>
          <t>Generating Revenue</t>
        </is>
      </c>
      <c r="AA202" s="13" t="inlineStr">
        <is>
          <t>Scanfil (HEL: SCANFL) (Christophe Sut)</t>
        </is>
      </c>
      <c r="AB202" s="13" t="inlineStr">
        <is>
          <t>Electrical Equipment</t>
        </is>
      </c>
      <c r="AC202" s="13" t="inlineStr">
        <is>
          <t>Manufacturing</t>
        </is>
      </c>
      <c r="AD202" s="13" t="inlineStr">
        <is>
          <t>Provider of electronics manufacturing services intended to cater to the industrial, medical, automotive, telecommunications, aerospace and military equipment markets. The company specializes in the assembly of complex designs and has a precision culture with a focus on reducing risks and maximizing efficiency including process control, assembly capabilities, testing resources, material and production planning, and portals and resources.</t>
        </is>
      </c>
      <c r="AE202" s="13" t="inlineStr">
        <is>
          <t>Rochester Hills, MI</t>
        </is>
      </c>
      <c r="AF202" s="13" t="inlineStr">
        <is>
          <t>www.adcocircuits.com</t>
        </is>
      </c>
    </row>
    <row r="203" ht="42" customHeight="1">
      <c r="A203" s="18" t="inlineStr">
        <is>
          <t>USA-202</t>
        </is>
      </c>
      <c r="B203" s="18" t="inlineStr">
        <is>
          <t>USA</t>
        </is>
      </c>
      <c r="C203" s="18" t="inlineStr">
        <is>
          <t>USA</t>
        </is>
      </c>
      <c r="D203" s="19" t="inlineStr">
        <is>
          <t>Aero-Plastics</t>
        </is>
      </c>
      <c r="E203" s="19" t="inlineStr">
        <is>
          <t>Trelleborg Group</t>
        </is>
      </c>
      <c r="F203" s="18" t="n"/>
      <c r="G203" s="19" t="n"/>
      <c r="H203" s="20" t="n">
        <v>45758</v>
      </c>
      <c r="I203" s="20" t="n"/>
      <c r="J203" s="21" t="n">
        <v>2025</v>
      </c>
      <c r="K203" s="19" t="inlineStr">
        <is>
          <t>Merger/Acquisition</t>
        </is>
      </c>
      <c r="L203" s="19" t="n"/>
      <c r="M203" s="19" t="inlineStr">
        <is>
          <t>Completed</t>
        </is>
      </c>
      <c r="N203" s="22" t="n">
        <v>15.3</v>
      </c>
      <c r="O203" s="18" t="inlineStr">
        <is>
          <t>USD</t>
        </is>
      </c>
      <c r="P203" s="50" t="n">
        <v>1.08</v>
      </c>
      <c r="R203" s="37" t="n"/>
      <c r="S203" s="22" t="n"/>
      <c r="T203" s="37" t="n">
        <v>1.08</v>
      </c>
      <c r="U203" s="22" t="n">
        <v>14.18</v>
      </c>
      <c r="V203" s="19" t="n"/>
      <c r="W203" s="22" t="n">
        <v>15.3</v>
      </c>
      <c r="X203" s="19" t="inlineStr">
        <is>
          <t>The company was acquired by Trelleborg Group (STO: TREL B), a subsidiary of Parker-Hannifin (NYS: PH), for approximately $15.3 million on April 11, 2025.</t>
        </is>
      </c>
      <c r="Y203" s="19" t="inlineStr">
        <is>
          <t>Corporate Backed or Acquired</t>
        </is>
      </c>
      <c r="Z203" s="19" t="inlineStr">
        <is>
          <t>Generating Revenue</t>
        </is>
      </c>
      <c r="AA203" s="19" t="inlineStr">
        <is>
          <t>Trelleborg Group (STO: TREL B) (Jürgen Bosch)</t>
        </is>
      </c>
      <c r="AB203" s="19" t="inlineStr">
        <is>
          <t>Industrial Supplies and Parts</t>
        </is>
      </c>
      <c r="AC203" s="19" t="inlineStr">
        <is>
          <t>Manufacturing</t>
        </is>
      </c>
      <c r="AD203" s="19" t="inlineStr">
        <is>
          <t>Manufacturer of plastic products for aerospace, medical, energy, and transportation industries. The company specializes in machined nonmetallic, precision injection molding, thermoforming, and injection molded components using polymers and engineered resins and services such as assembly, engraving, and specialized painted coatings, helping to simplify customer supply chains.</t>
        </is>
      </c>
      <c r="AE203" s="19" t="inlineStr">
        <is>
          <t>Renton, WA</t>
        </is>
      </c>
      <c r="AF203" s="19" t="inlineStr">
        <is>
          <t>www.aero-plastics.com</t>
        </is>
      </c>
    </row>
    <row r="204" ht="42" customHeight="1">
      <c r="A204" s="12" t="inlineStr">
        <is>
          <t>USA-203</t>
        </is>
      </c>
      <c r="B204" s="12" t="inlineStr">
        <is>
          <t>USA</t>
        </is>
      </c>
      <c r="C204" s="12" t="inlineStr">
        <is>
          <t>USA</t>
        </is>
      </c>
      <c r="D204" s="13" t="inlineStr">
        <is>
          <t>Star 26 Capital</t>
        </is>
      </c>
      <c r="E204" s="13" t="inlineStr">
        <is>
          <t>T3 Defense</t>
        </is>
      </c>
      <c r="F204" s="12" t="n"/>
      <c r="G204" s="13" t="n"/>
      <c r="H204" s="14" t="n">
        <v>45641</v>
      </c>
      <c r="I204" s="14" t="n"/>
      <c r="J204" s="15" t="n">
        <v>2024</v>
      </c>
      <c r="K204" s="13" t="inlineStr">
        <is>
          <t>Merger/Acquisition</t>
        </is>
      </c>
      <c r="L204" s="13" t="n"/>
      <c r="M204" s="13" t="inlineStr">
        <is>
          <t>Completed</t>
        </is>
      </c>
      <c r="N204" s="16" t="n">
        <v>15</v>
      </c>
      <c r="O204" s="12" t="inlineStr">
        <is>
          <t>USD</t>
        </is>
      </c>
      <c r="R204" s="36" t="n"/>
      <c r="S204" s="16" t="n"/>
      <c r="T204" s="36" t="n"/>
      <c r="U204" s="16" t="n"/>
      <c r="V204" s="13" t="n"/>
      <c r="W204" s="16" t="n">
        <v>29.41</v>
      </c>
      <c r="X204" s="13" t="inlineStr">
        <is>
          <t>The company was acquired by Nukkleus (NAS: NUKK) for $15 million on December 15, 2024. This strategic acquisition positions Nukkleus to benefit from increasing global defense spending, which has been bolstered by geopolitical instability, regional conflicts, and heightened security concerns.</t>
        </is>
      </c>
      <c r="Y204" s="13" t="inlineStr">
        <is>
          <t>Corporate Backed or Acquired</t>
        </is>
      </c>
      <c r="Z204" s="13" t="inlineStr">
        <is>
          <t>Generating Revenue</t>
        </is>
      </c>
      <c r="AA204" s="13" t="inlineStr">
        <is>
          <t>T3 Defense (NAS: DFNS) (Emil Assentato)</t>
        </is>
      </c>
      <c r="AB204" s="13" t="inlineStr">
        <is>
          <t>Private Equity</t>
        </is>
      </c>
      <c r="AC204" s="13" t="inlineStr">
        <is>
          <t>FinTech</t>
        </is>
      </c>
      <c r="AD204" s="13" t="inlineStr">
        <is>
          <t>Operator of an acquisition holding company in the defense sector. The company specializes in strategic investments that not only provide financial backing but also leverage industry expertise, extensive networks, and resources.</t>
        </is>
      </c>
      <c r="AE204" s="13" t="inlineStr">
        <is>
          <t>New York, NY</t>
        </is>
      </c>
      <c r="AF204" s="13" t="inlineStr">
        <is>
          <t>www.star26.capital</t>
        </is>
      </c>
    </row>
    <row r="205" ht="42" customHeight="1">
      <c r="A205" s="18" t="inlineStr">
        <is>
          <t>USA-204</t>
        </is>
      </c>
      <c r="B205" s="18" t="inlineStr">
        <is>
          <t>USA</t>
        </is>
      </c>
      <c r="C205" s="18" t="inlineStr">
        <is>
          <t>USA</t>
        </is>
      </c>
      <c r="D205" s="19" t="inlineStr">
        <is>
          <t>Swarmer (NAS: SWMR)</t>
        </is>
      </c>
      <c r="E205" s="19" t="n"/>
      <c r="F205" s="18" t="n"/>
      <c r="G205" s="19" t="n"/>
      <c r="H205" s="20" t="n">
        <v>46098</v>
      </c>
      <c r="I205" s="20" t="n"/>
      <c r="J205" s="21" t="n">
        <v>2026</v>
      </c>
      <c r="K205" s="19" t="inlineStr">
        <is>
          <t>IPO</t>
        </is>
      </c>
      <c r="L205" s="19" t="n"/>
      <c r="M205" s="19" t="inlineStr">
        <is>
          <t>Completed</t>
        </is>
      </c>
      <c r="N205" s="22" t="n">
        <v>15</v>
      </c>
      <c r="O205" s="18" t="inlineStr">
        <is>
          <t>USD</t>
        </is>
      </c>
      <c r="R205" s="37" t="n">
        <v>-1.77</v>
      </c>
      <c r="S205" s="22" t="n">
        <v>-8.49</v>
      </c>
      <c r="T205" s="37" t="n">
        <v>48.4</v>
      </c>
      <c r="U205" s="22" t="n">
        <v>0.31</v>
      </c>
      <c r="V205" s="19" t="n"/>
      <c r="W205" s="22" t="n">
        <v>61.74</v>
      </c>
      <c r="X205" s="19" t="inlineStr">
        <is>
          <t>The company raised $15 million in its initial public offering on the Nasdaq stock exchange under the ticker symbol of SWMR on March 17, 2026. A total of 3,000,000 shares were sold at $5 per share. After the offering, there was a total of 12,348,579 outstanding shares (excluding the over-allotment option) priced at $5 per share, valuing the company at $61.74 million. The underwriters were granted an option to purchase up to an additional 450,000 shares from the company to cover over-allotments, if any.</t>
        </is>
      </c>
      <c r="Y205" s="19" t="inlineStr">
        <is>
          <t>Formerly VC-backed</t>
        </is>
      </c>
      <c r="Z205" s="19" t="inlineStr">
        <is>
          <t>Generating Revenue</t>
        </is>
      </c>
      <c r="AA205" s="19" t="n"/>
      <c r="AB205" s="19" t="inlineStr">
        <is>
          <t>Other Hardware</t>
        </is>
      </c>
      <c r="AC205" s="19" t="inlineStr">
        <is>
          <t>Artificial Intelligence &amp; Machine Learning, Robotics and Drones</t>
        </is>
      </c>
      <c r="AD205" s="19" t="inlineStr">
        <is>
          <t>Swarmer Inc is a provider of autonomous drone swarm software and AI solutions, specializing in vendor-agnostic technologies. It develops software platforms and artificial intelligence systems for defence applications, enabling military organisations to deploy and coordinate large-scale unmanned and autonomous systems. Its offerings include swarm coordination software, multi-domain unmanned systems integration, collaborative autonomy solutions, and command-and-control software for distributed robotic operations. Its key software and AI systems include: i) STYX AI Command &amp; Control System, ii) MINAS Autonomy and Collaboration AI and iii) TRIDENT Embedded Drone Operating System. The company generates revenue through software license sales.</t>
        </is>
      </c>
      <c r="AE205" s="19" t="inlineStr">
        <is>
          <t>Austin, TX</t>
        </is>
      </c>
      <c r="AF205" s="19" t="inlineStr">
        <is>
          <t>www.getswarmer.com</t>
        </is>
      </c>
    </row>
    <row r="206" ht="42" customHeight="1">
      <c r="A206" s="12" t="inlineStr">
        <is>
          <t>USA-205</t>
        </is>
      </c>
      <c r="B206" s="12" t="inlineStr">
        <is>
          <t>USA</t>
        </is>
      </c>
      <c r="C206" s="12" t="inlineStr">
        <is>
          <t>USA</t>
        </is>
      </c>
      <c r="D206" s="13" t="inlineStr">
        <is>
          <t>Stainless Design Concepts</t>
        </is>
      </c>
      <c r="E206" s="13" t="inlineStr">
        <is>
          <t>Atlas Copco</t>
        </is>
      </c>
      <c r="F206" s="12" t="n"/>
      <c r="G206" s="13" t="n"/>
      <c r="H206" s="14" t="n">
        <v>46113</v>
      </c>
      <c r="I206" s="14" t="n"/>
      <c r="J206" s="15" t="n">
        <v>2026</v>
      </c>
      <c r="K206" s="13" t="inlineStr">
        <is>
          <t>Merger/Acquisition</t>
        </is>
      </c>
      <c r="L206" s="13" t="n"/>
      <c r="M206" s="13" t="inlineStr">
        <is>
          <t>Completed</t>
        </is>
      </c>
      <c r="N206" s="16" t="n">
        <v>14.8</v>
      </c>
      <c r="O206" s="12" t="inlineStr">
        <is>
          <t>USD</t>
        </is>
      </c>
      <c r="R206" s="36" t="n"/>
      <c r="S206" s="16" t="n"/>
      <c r="T206" s="36" t="n"/>
      <c r="U206" s="16" t="n"/>
      <c r="V206" s="13" t="inlineStr">
        <is>
          <t>Corporate Divestiture</t>
        </is>
      </c>
      <c r="W206" s="16" t="n">
        <v>14.8</v>
      </c>
      <c r="X206" s="13" t="inlineStr">
        <is>
          <t>The company, a subsidiary of CVD Equipment (NAS: CVV), was acquired by Atlas Copco (STO: ATCO A) for $14.8 million on April 1, 2026. The sale has significantly strengthened CVD Equipment's balance sheet, providing additional financial flexibility as it continues to evaluate strategic opportunities for the CVD Equipment business.</t>
        </is>
      </c>
      <c r="Y206" s="13" t="inlineStr">
        <is>
          <t>Corporate Backed or Acquired</t>
        </is>
      </c>
      <c r="Z206" s="13" t="inlineStr">
        <is>
          <t>Generating Revenue</t>
        </is>
      </c>
      <c r="AA206" s="13" t="inlineStr">
        <is>
          <t>Atlas Copco (STO: ATCO A) (Koen Lauwers)</t>
        </is>
      </c>
      <c r="AB206" s="13" t="inlineStr">
        <is>
          <t>Machinery (B2B)</t>
        </is>
      </c>
      <c r="AC206" s="13" t="inlineStr">
        <is>
          <t>Manufacturing</t>
        </is>
      </c>
      <c r="AD206" s="13" t="inlineStr">
        <is>
          <t>Manufacturer of gas and chemical delivery systems intended to serve microelectronics, nanomaterial production, aerospace, research, and pharmaceutical markets. The company's product line includes gas rack systems, heated gas cabinets, valve manifold boxes, bubblers, and evaporators.</t>
        </is>
      </c>
      <c r="AE206" s="13" t="inlineStr">
        <is>
          <t>Saugerties, NY</t>
        </is>
      </c>
      <c r="AF206" s="13" t="inlineStr">
        <is>
          <t>www.stainlessdesign.com</t>
        </is>
      </c>
    </row>
    <row r="207" ht="42" customHeight="1">
      <c r="A207" s="18" t="inlineStr">
        <is>
          <t>USA-206</t>
        </is>
      </c>
      <c r="B207" s="18" t="inlineStr">
        <is>
          <t>USA</t>
        </is>
      </c>
      <c r="C207" s="18" t="inlineStr">
        <is>
          <t>USA</t>
        </is>
      </c>
      <c r="D207" s="19" t="inlineStr">
        <is>
          <t>ENGIN-IC</t>
        </is>
      </c>
      <c r="E207" s="19" t="inlineStr">
        <is>
          <t>MACOM</t>
        </is>
      </c>
      <c r="F207" s="18" t="n"/>
      <c r="G207" s="19" t="n"/>
      <c r="H207" s="20" t="n">
        <v>45601</v>
      </c>
      <c r="I207" s="20" t="n"/>
      <c r="J207" s="21" t="n">
        <v>2024</v>
      </c>
      <c r="K207" s="19" t="inlineStr">
        <is>
          <t>Merger/Acquisition</t>
        </is>
      </c>
      <c r="L207" s="19" t="n"/>
      <c r="M207" s="19" t="inlineStr">
        <is>
          <t>Completed</t>
        </is>
      </c>
      <c r="N207" s="22" t="n">
        <v>14.4</v>
      </c>
      <c r="O207" s="18" t="inlineStr">
        <is>
          <t>USD</t>
        </is>
      </c>
      <c r="R207" s="37" t="n"/>
      <c r="S207" s="22" t="n"/>
      <c r="T207" s="37" t="n"/>
      <c r="U207" s="22" t="n"/>
      <c r="V207" s="19" t="n"/>
      <c r="W207" s="22" t="n">
        <v>14.4</v>
      </c>
      <c r="X207" s="19" t="inlineStr">
        <is>
          <t>The company was acquired by MACOM Technology Solutions (NAS: MTSI) for approximately $14.4 million on November 5, 2024. With the acquisition MACOM Technology Solutions further expand and strengthen their MMIC and module design capabilities.</t>
        </is>
      </c>
      <c r="Y207" s="19" t="inlineStr">
        <is>
          <t>Corporate Backed or Acquired</t>
        </is>
      </c>
      <c r="Z207" s="19" t="inlineStr">
        <is>
          <t>Generating Revenue</t>
        </is>
      </c>
      <c r="AA207" s="19" t="inlineStr">
        <is>
          <t>MACOM (NAS: MTSI) (Stephen Daly)</t>
        </is>
      </c>
      <c r="AB207" s="19" t="inlineStr">
        <is>
          <t>General Purpose Semiconductors</t>
        </is>
      </c>
      <c r="AC207" s="19" t="inlineStr">
        <is>
          <t>Manufacturing</t>
        </is>
      </c>
      <c r="AD207" s="19" t="inlineStr">
        <is>
          <t>Manufacturer of semiconductor and related circuit chips intended to serve the defence, high-reliability, and telecommunication markets. The company specializes in the production of monolithic microwave integrated circuit products, chips, custom monolithic microwave integrated circuits and many more.</t>
        </is>
      </c>
      <c r="AE207" s="19" t="inlineStr">
        <is>
          <t>Plano, TX</t>
        </is>
      </c>
      <c r="AF207" s="19" t="inlineStr">
        <is>
          <t>engin-ic.com</t>
        </is>
      </c>
    </row>
    <row r="208" ht="42" customHeight="1">
      <c r="A208" s="12" t="inlineStr">
        <is>
          <t>USA-207</t>
        </is>
      </c>
      <c r="B208" s="12" t="inlineStr">
        <is>
          <t>USA</t>
        </is>
      </c>
      <c r="C208" s="12" t="inlineStr">
        <is>
          <t>USA</t>
        </is>
      </c>
      <c r="D208" s="13" t="inlineStr">
        <is>
          <t>Seatrepid International</t>
        </is>
      </c>
      <c r="E208" s="13" t="inlineStr">
        <is>
          <t>Nauticus Robotics</t>
        </is>
      </c>
      <c r="F208" s="12" t="n"/>
      <c r="G208" s="13" t="n"/>
      <c r="H208" s="14" t="n">
        <v>45736</v>
      </c>
      <c r="I208" s="14" t="n"/>
      <c r="J208" s="15" t="n">
        <v>2025</v>
      </c>
      <c r="K208" s="13" t="inlineStr">
        <is>
          <t>Merger/Acquisition</t>
        </is>
      </c>
      <c r="L208" s="13" t="n"/>
      <c r="M208" s="13" t="inlineStr">
        <is>
          <t>Completed</t>
        </is>
      </c>
      <c r="N208" s="16" t="n">
        <v>14.36</v>
      </c>
      <c r="O208" s="12" t="inlineStr">
        <is>
          <t>USD</t>
        </is>
      </c>
      <c r="P208" s="50" t="n">
        <v>1.02</v>
      </c>
      <c r="R208" s="36" t="n"/>
      <c r="S208" s="16" t="n"/>
      <c r="T208" s="36" t="n">
        <v>1.02</v>
      </c>
      <c r="U208" s="16" t="n">
        <v>14.08</v>
      </c>
      <c r="V208" s="13" t="n"/>
      <c r="W208" s="16" t="n">
        <v>14.36</v>
      </c>
      <c r="X208" s="13" t="inlineStr">
        <is>
          <t>The company was acquired by Nauticus Robotics (NAS: KITT) for $14.36 million on March 20, 2025. This acquisition will offer subsea robotic services to customers throughout the world.</t>
        </is>
      </c>
      <c r="Y208" s="13" t="inlineStr">
        <is>
          <t>Corporate Backed or Acquired</t>
        </is>
      </c>
      <c r="Z208" s="13" t="inlineStr">
        <is>
          <t>Generating Revenue</t>
        </is>
      </c>
      <c r="AA208" s="13" t="inlineStr">
        <is>
          <t>Nauticus Robotics (NAS: KITT) (John Gibson)</t>
        </is>
      </c>
      <c r="AB208" s="13" t="inlineStr">
        <is>
          <t>Marine</t>
        </is>
      </c>
      <c r="AC208" s="13" t="inlineStr">
        <is>
          <t>Robotics and Drones</t>
        </is>
      </c>
      <c r="AD208" s="13" t="inlineStr">
        <is>
          <t>Provider of subsea robotic services catering to commercial, governmental, and scientific sectors. The company offers deepwater subsea drilling, autonomous industry vehicles, unmanned surface vehicles, and various sensors and tooling for inspection and exploration.</t>
        </is>
      </c>
      <c r="AE208" s="13" t="inlineStr">
        <is>
          <t>Robert, LA</t>
        </is>
      </c>
      <c r="AF208" s="13" t="inlineStr">
        <is>
          <t>www.seatrepid.com</t>
        </is>
      </c>
    </row>
    <row r="209" ht="42" customHeight="1">
      <c r="A209" s="18" t="inlineStr">
        <is>
          <t>USA-208</t>
        </is>
      </c>
      <c r="B209" s="18" t="inlineStr">
        <is>
          <t>USA</t>
        </is>
      </c>
      <c r="C209" s="18" t="inlineStr">
        <is>
          <t>USA</t>
        </is>
      </c>
      <c r="D209" s="19" t="inlineStr">
        <is>
          <t>Telemetrics</t>
        </is>
      </c>
      <c r="E209" s="19" t="inlineStr">
        <is>
          <t>EVS Broadcast Equipment</t>
        </is>
      </c>
      <c r="F209" s="18" t="n"/>
      <c r="G209" s="19" t="n"/>
      <c r="H209" s="20" t="n">
        <v>45931</v>
      </c>
      <c r="I209" s="20" t="n"/>
      <c r="J209" s="21" t="n">
        <v>2025</v>
      </c>
      <c r="K209" s="19" t="inlineStr">
        <is>
          <t>Merger/Acquisition</t>
        </is>
      </c>
      <c r="L209" s="19" t="n"/>
      <c r="M209" s="19" t="inlineStr">
        <is>
          <t>Completed</t>
        </is>
      </c>
      <c r="N209" s="22" t="n">
        <v>14.02</v>
      </c>
      <c r="O209" s="18" t="inlineStr">
        <is>
          <t>USD</t>
        </is>
      </c>
      <c r="P209" s="50" t="n">
        <v>1.17</v>
      </c>
      <c r="Q209" s="50" t="n">
        <v>10.78</v>
      </c>
      <c r="R209" s="37" t="n">
        <v>10.79</v>
      </c>
      <c r="S209" s="22" t="n">
        <v>1.3</v>
      </c>
      <c r="T209" s="37" t="n">
        <v>1.17</v>
      </c>
      <c r="U209" s="22" t="n">
        <v>12</v>
      </c>
      <c r="V209" s="19" t="n"/>
      <c r="W209" s="22" t="n">
        <v>14.02</v>
      </c>
      <c r="X209" s="19" t="inlineStr">
        <is>
          <t>The company was acquired by EVS Broadcast Equipment (BRU: EVS) for approximately EUR 11.953 million on October 1, 2025. The company will receive a contingent payout of EUR 5.201 million upon the completion of future performance terms. This acquisition not only broadens EVS's product portfolio but also provides it with valuable production capacity in the United States, supporting its ambition to accelerate growth in North America.</t>
        </is>
      </c>
      <c r="Y209" s="19" t="inlineStr">
        <is>
          <t>Corporate Backed or Acquired</t>
        </is>
      </c>
      <c r="Z209" s="19" t="inlineStr">
        <is>
          <t>Generating Revenue</t>
        </is>
      </c>
      <c r="AA209" s="19" t="inlineStr">
        <is>
          <t>EVS Broadcast Equipment (BRU: EVS)</t>
        </is>
      </c>
      <c r="AB209" s="19" t="inlineStr">
        <is>
          <t>Electronic Equipment and Instruments</t>
        </is>
      </c>
      <c r="AC209" s="19" t="inlineStr">
        <is>
          <t>Manufacturing</t>
        </is>
      </c>
      <c r="AD209" s="19" t="inlineStr">
        <is>
          <t>Manufacturer of camera robotics and control systems for broadcast, industrial, educational, and military applications. The company's product line includes camera robotics systems, including programmable computer-controlled pan-tilt mechanisms, weatherproof camera robotic systems, and motorized camera trolley systems, thereby enabling high-performance video capture with reliability and fast return on investment.</t>
        </is>
      </c>
      <c r="AE209" s="19" t="inlineStr">
        <is>
          <t>Allendale, NJ</t>
        </is>
      </c>
      <c r="AF209" s="19" t="inlineStr">
        <is>
          <t>www.telemetricsinc.com</t>
        </is>
      </c>
    </row>
    <row r="210" ht="42" customHeight="1">
      <c r="A210" s="12" t="inlineStr">
        <is>
          <t>USA-209</t>
        </is>
      </c>
      <c r="B210" s="12" t="inlineStr">
        <is>
          <t>USA</t>
        </is>
      </c>
      <c r="C210" s="12" t="inlineStr">
        <is>
          <t>PR</t>
        </is>
      </c>
      <c r="D210" s="13" t="inlineStr">
        <is>
          <t>FlightWave</t>
        </is>
      </c>
      <c r="E210" s="13" t="inlineStr">
        <is>
          <t>Red Cat Holdings</t>
        </is>
      </c>
      <c r="F210" s="12" t="n"/>
      <c r="G210" s="13" t="n"/>
      <c r="H210" s="14" t="n">
        <v>45539</v>
      </c>
      <c r="I210" s="14" t="n"/>
      <c r="J210" s="15" t="n">
        <v>2024</v>
      </c>
      <c r="K210" s="13" t="inlineStr">
        <is>
          <t>Merger/Acquisition</t>
        </is>
      </c>
      <c r="L210" s="13" t="n"/>
      <c r="M210" s="13" t="inlineStr">
        <is>
          <t>Completed</t>
        </is>
      </c>
      <c r="N210" s="16" t="n">
        <v>14</v>
      </c>
      <c r="O210" s="12" t="inlineStr">
        <is>
          <t>USD</t>
        </is>
      </c>
      <c r="R210" s="36" t="n"/>
      <c r="S210" s="16" t="n"/>
      <c r="T210" s="36" t="n"/>
      <c r="U210" s="16" t="n"/>
      <c r="V210" s="13" t="n"/>
      <c r="W210" s="16" t="n">
        <v>14</v>
      </c>
      <c r="X210" s="13" t="inlineStr">
        <is>
          <t>The company was acquired by Red Cat Holdings (NAS: RCAT) for $14 million on September 4, 2024.</t>
        </is>
      </c>
      <c r="Y210" s="13" t="inlineStr">
        <is>
          <t>Formerly VC-backed</t>
        </is>
      </c>
      <c r="Z210" s="13" t="inlineStr">
        <is>
          <t>Generating Revenue</t>
        </is>
      </c>
      <c r="AA210" s="13" t="inlineStr">
        <is>
          <t>Red Cat Holdings (NAS: RCAT) (Jeffrey Thompson)</t>
        </is>
      </c>
      <c r="AB210" s="13" t="inlineStr">
        <is>
          <t>Aerospace and Defense</t>
        </is>
      </c>
      <c r="AC210" s="13" t="inlineStr">
        <is>
          <t>Robotics and Drones</t>
        </is>
      </c>
      <c r="AD210" s="13" t="inlineStr">
        <is>
          <t>Developer of dual-use VTOL drones, sensors, and software solutions designed to boost the range and endurance of aerospace vehicles ranging from small UAVs to spacecraft via carbon-free energy sources. The company's systems facilitate aerial operations in any condition for protecting assets, mapping the environment, or monitoring wildlife, enabling clients to with superior aerial data capture to both the commercial and defense markets.</t>
        </is>
      </c>
      <c r="AE210" s="13" t="inlineStr">
        <is>
          <t>Humacao, PR</t>
        </is>
      </c>
      <c r="AF210" s="13" t="inlineStr">
        <is>
          <t>www.flightwave.aero</t>
        </is>
      </c>
    </row>
    <row r="211" ht="42" customHeight="1">
      <c r="A211" s="18" t="inlineStr">
        <is>
          <t>USA-210</t>
        </is>
      </c>
      <c r="B211" s="18" t="inlineStr">
        <is>
          <t>USA</t>
        </is>
      </c>
      <c r="C211" s="18" t="inlineStr">
        <is>
          <t>USA</t>
        </is>
      </c>
      <c r="D211" s="19" t="inlineStr">
        <is>
          <t>Krebs Stamos Group</t>
        </is>
      </c>
      <c r="E211" s="19" t="inlineStr">
        <is>
          <t>SentinelOne</t>
        </is>
      </c>
      <c r="F211" s="18" t="n"/>
      <c r="G211" s="19" t="n"/>
      <c r="H211" s="20" t="n">
        <v>45238</v>
      </c>
      <c r="I211" s="20" t="n"/>
      <c r="J211" s="21" t="n">
        <v>2023</v>
      </c>
      <c r="K211" s="19" t="inlineStr">
        <is>
          <t>Merger/Acquisition</t>
        </is>
      </c>
      <c r="L211" s="19" t="n"/>
      <c r="M211" s="19" t="inlineStr">
        <is>
          <t>Completed</t>
        </is>
      </c>
      <c r="N211" s="22" t="n">
        <v>13.9</v>
      </c>
      <c r="O211" s="18" t="inlineStr">
        <is>
          <t>USD</t>
        </is>
      </c>
      <c r="R211" s="37" t="n"/>
      <c r="S211" s="22" t="n"/>
      <c r="T211" s="37" t="n"/>
      <c r="U211" s="22" t="n"/>
      <c r="V211" s="19" t="n"/>
      <c r="W211" s="22" t="n">
        <v>13.9</v>
      </c>
      <c r="X211" s="19" t="inlineStr">
        <is>
          <t>The company was acquired by SentinelOne (NYS: S) for $13.9 million on November 8, 2023.</t>
        </is>
      </c>
      <c r="Y211" s="19" t="inlineStr">
        <is>
          <t>Corporate Backed or Acquired</t>
        </is>
      </c>
      <c r="Z211" s="19" t="inlineStr">
        <is>
          <t>Generating Revenue</t>
        </is>
      </c>
      <c r="AA211" s="19" t="inlineStr">
        <is>
          <t>SentinelOne (NYS: S) (Eran Ashkenazi)</t>
        </is>
      </c>
      <c r="AB211" s="19" t="inlineStr">
        <is>
          <t>IT Consulting and Outsourcing</t>
        </is>
      </c>
      <c r="AC211" s="19" t="inlineStr">
        <is>
          <t>Cybersecurity</t>
        </is>
      </c>
      <c r="AD211" s="19" t="inlineStr">
        <is>
          <t>Provider of cybersecurity strategy services intended to serve the manufacturing, aerospace, life sciences and telecommunication industries. The company offers services such as strategy, security risk management, geopolitics, crisis management and incident response, thereby providing clients with clients insights to confidently navigate uncharted territory.</t>
        </is>
      </c>
      <c r="AE211" s="19" t="inlineStr">
        <is>
          <t>Washington, DC</t>
        </is>
      </c>
      <c r="AF211" s="19" t="inlineStr">
        <is>
          <t>www.ks.group</t>
        </is>
      </c>
    </row>
    <row r="212" ht="42" customHeight="1">
      <c r="A212" s="12" t="inlineStr">
        <is>
          <t>USA-211</t>
        </is>
      </c>
      <c r="B212" s="12" t="inlineStr">
        <is>
          <t>USA</t>
        </is>
      </c>
      <c r="C212" s="12" t="inlineStr">
        <is>
          <t>USA</t>
        </is>
      </c>
      <c r="D212" s="13" t="inlineStr">
        <is>
          <t>A2e Technologies</t>
        </is>
      </c>
      <c r="E212" s="13" t="n"/>
      <c r="F212" s="12" t="n"/>
      <c r="G212" s="13" t="n"/>
      <c r="H212" s="14" t="n">
        <v>45028</v>
      </c>
      <c r="I212" s="14" t="n"/>
      <c r="J212" s="15" t="n">
        <v>2023</v>
      </c>
      <c r="K212" s="13" t="inlineStr">
        <is>
          <t>Merger/Acquisition</t>
        </is>
      </c>
      <c r="L212" s="13" t="n"/>
      <c r="M212" s="13" t="inlineStr">
        <is>
          <t>Completed</t>
        </is>
      </c>
      <c r="N212" s="16" t="n">
        <v>13</v>
      </c>
      <c r="O212" s="12" t="inlineStr">
        <is>
          <t>USD</t>
        </is>
      </c>
      <c r="R212" s="36" t="n"/>
      <c r="S212" s="16" t="n"/>
      <c r="T212" s="36" t="n"/>
      <c r="U212" s="16" t="n"/>
      <c r="V212" s="13" t="n"/>
      <c r="W212" s="16" t="n">
        <v>13</v>
      </c>
      <c r="X212" s="13" t="inlineStr">
        <is>
          <t>The company was acquired by an undisclosed investor for $13 million on April 12, 2023.</t>
        </is>
      </c>
      <c r="Y212" s="13" t="inlineStr">
        <is>
          <t>Corporate Backed or Acquired</t>
        </is>
      </c>
      <c r="Z212" s="13" t="inlineStr">
        <is>
          <t>Generating Revenue</t>
        </is>
      </c>
      <c r="AA212" s="13" t="n"/>
      <c r="AB212" s="13" t="inlineStr">
        <is>
          <t>Construction and Engineering</t>
        </is>
      </c>
      <c r="AC212" s="13" t="inlineStr">
        <is>
          <t>Industrials</t>
        </is>
      </c>
      <c r="AD212" s="13" t="inlineStr">
        <is>
          <t>Provider of electronic product designing services intended for surveillance, defense, medical, space electronics and internet of things industries. The company specializes in embedded systems, engineering design and electronic product design consulting services as well as full turnkey product development through multiple on-shore and near-shore design centers, thereby helping clients develop their embedded technology based product or system.</t>
        </is>
      </c>
      <c r="AE212" s="13" t="inlineStr">
        <is>
          <t>San Diego, CA</t>
        </is>
      </c>
      <c r="AF212" s="13" t="inlineStr">
        <is>
          <t>www.a2etechnologies.com</t>
        </is>
      </c>
    </row>
    <row r="213" ht="42" customHeight="1">
      <c r="A213" s="18" t="inlineStr">
        <is>
          <t>USA-212</t>
        </is>
      </c>
      <c r="B213" s="18" t="inlineStr">
        <is>
          <t>USA</t>
        </is>
      </c>
      <c r="C213" s="18" t="inlineStr">
        <is>
          <t>USA</t>
        </is>
      </c>
      <c r="D213" s="19" t="inlineStr">
        <is>
          <t>OhmniLabs</t>
        </is>
      </c>
      <c r="E213" s="19" t="inlineStr">
        <is>
          <t>Symbotic</t>
        </is>
      </c>
      <c r="F213" s="18" t="n"/>
      <c r="G213" s="19" t="n"/>
      <c r="H213" s="20" t="n">
        <v>45638</v>
      </c>
      <c r="I213" s="20" t="n"/>
      <c r="J213" s="21" t="n">
        <v>2024</v>
      </c>
      <c r="K213" s="19" t="inlineStr">
        <is>
          <t>Merger/Acquisition</t>
        </is>
      </c>
      <c r="L213" s="19" t="n"/>
      <c r="M213" s="19" t="inlineStr">
        <is>
          <t>Completed</t>
        </is>
      </c>
      <c r="N213" s="22" t="n">
        <v>13</v>
      </c>
      <c r="O213" s="18" t="inlineStr">
        <is>
          <t>USD</t>
        </is>
      </c>
      <c r="R213" s="37" t="n"/>
      <c r="S213" s="22" t="n"/>
      <c r="T213" s="37" t="n"/>
      <c r="U213" s="22" t="n"/>
      <c r="V213" s="19" t="n"/>
      <c r="W213" s="22" t="n">
        <v>13</v>
      </c>
      <c r="X213" s="19" t="inlineStr">
        <is>
          <t>The company was acquired by Symbotic (NAS: SYM) for approximately $13 million on December 12, 2024.</t>
        </is>
      </c>
      <c r="Y213" s="19" t="inlineStr">
        <is>
          <t>Formerly VC-backed</t>
        </is>
      </c>
      <c r="Z213" s="19" t="inlineStr">
        <is>
          <t>Generating Revenue</t>
        </is>
      </c>
      <c r="AA213" s="19" t="inlineStr">
        <is>
          <t>Symbotic (NAS: SYM) (Richard Cohen)</t>
        </is>
      </c>
      <c r="AB213" s="19" t="inlineStr">
        <is>
          <t>Other Hardware</t>
        </is>
      </c>
      <c r="AC213" s="19" t="inlineStr">
        <is>
          <t>Robotics and Drones, SaaS</t>
        </is>
      </c>
      <c r="AD213" s="19" t="inlineStr">
        <is>
          <t>Developer of personal robots designed to connect people over long distances via video telepresence. The company's robots are made by lean manufacturing techniques and processes and are controllable via a mouse or touchpad and accessible through cloud programming applications, enabling families, healthcare providers, and other sectors to connect in a more natural and engaging way than any video chat.</t>
        </is>
      </c>
      <c r="AE213" s="19" t="inlineStr">
        <is>
          <t>Milpitas, CA</t>
        </is>
      </c>
      <c r="AF213" s="19" t="inlineStr">
        <is>
          <t>www.ohmnilabs.com</t>
        </is>
      </c>
    </row>
    <row r="214" ht="42" customHeight="1">
      <c r="A214" s="12" t="inlineStr">
        <is>
          <t>USA-213</t>
        </is>
      </c>
      <c r="B214" s="12" t="inlineStr">
        <is>
          <t>USA</t>
        </is>
      </c>
      <c r="C214" s="12" t="inlineStr">
        <is>
          <t>USA</t>
        </is>
      </c>
      <c r="D214" s="13" t="inlineStr">
        <is>
          <t>Joined Alloys</t>
        </is>
      </c>
      <c r="E214" s="13" t="inlineStr">
        <is>
          <t>Trusted Aerospace Engineering</t>
        </is>
      </c>
      <c r="F214" s="12" t="n"/>
      <c r="G214" s="13" t="n"/>
      <c r="H214" s="14" t="n">
        <v>45944</v>
      </c>
      <c r="I214" s="14" t="n"/>
      <c r="J214" s="15" t="n">
        <v>2025</v>
      </c>
      <c r="K214" s="13" t="inlineStr">
        <is>
          <t>Merger/Acquisition</t>
        </is>
      </c>
      <c r="L214" s="13" t="n"/>
      <c r="M214" s="13" t="inlineStr">
        <is>
          <t>Completed</t>
        </is>
      </c>
      <c r="N214" s="16" t="n">
        <v>11.97</v>
      </c>
      <c r="O214" s="12" t="inlineStr">
        <is>
          <t>USD</t>
        </is>
      </c>
      <c r="R214" s="36" t="n"/>
      <c r="S214" s="16" t="n"/>
      <c r="T214" s="36" t="n"/>
      <c r="U214" s="16" t="n"/>
      <c r="V214" s="13" t="inlineStr">
        <is>
          <t>Corporate Divestiture</t>
        </is>
      </c>
      <c r="W214" s="16" t="n">
        <v>11.97</v>
      </c>
      <c r="X214" s="13" t="inlineStr">
        <is>
          <t>The company, a subsidiary of Leading Edge Manufacturing, was acquired by Trusted Aerospace Engineering for INR 1.06 billion on October 14, 2025. This acquisition has enabled Trusted Aerospace to expand its areas of work into precision metal assembly.</t>
        </is>
      </c>
      <c r="Y214" s="13" t="inlineStr">
        <is>
          <t>Corporate Backed or Acquired</t>
        </is>
      </c>
      <c r="Z214" s="13" t="inlineStr">
        <is>
          <t>Generating Revenue</t>
        </is>
      </c>
      <c r="AA214" s="13" t="inlineStr">
        <is>
          <t>Trusted Aerospace Engineering (Sankararaman Vaidyanathan)</t>
        </is>
      </c>
      <c r="AB214" s="13" t="inlineStr">
        <is>
          <t>Industrial Supplies and Parts</t>
        </is>
      </c>
      <c r="AC214" s="13" t="inlineStr">
        <is>
          <t>Manufacturing</t>
        </is>
      </c>
      <c r="AD214" s="13" t="inlineStr">
        <is>
          <t>Manufacturer of precision components and sub-assemblies for aerospace, defense, and renewable energy industries. The company offers complex processes such as machining, sheet metal fabrication, vacuum, torch and induction brazing, vacuum heat treating, welding, and non-destructive testing.</t>
        </is>
      </c>
      <c r="AE214" s="13" t="inlineStr">
        <is>
          <t>Phoenix, AZ</t>
        </is>
      </c>
      <c r="AF214" s="13" t="inlineStr">
        <is>
          <t>www.joinedalloys.com</t>
        </is>
      </c>
    </row>
    <row r="215" ht="42" customHeight="1">
      <c r="A215" s="18" t="inlineStr">
        <is>
          <t>USA-214</t>
        </is>
      </c>
      <c r="B215" s="18" t="inlineStr">
        <is>
          <t>USA</t>
        </is>
      </c>
      <c r="C215" s="18" t="inlineStr">
        <is>
          <t>USA</t>
        </is>
      </c>
      <c r="D215" s="19" t="inlineStr">
        <is>
          <t>Maddox Defense</t>
        </is>
      </c>
      <c r="E215" s="19" t="inlineStr">
        <is>
          <t>Envirotech Vehicles</t>
        </is>
      </c>
      <c r="F215" s="18" t="n"/>
      <c r="G215" s="19" t="n"/>
      <c r="H215" s="20" t="n">
        <v>45230</v>
      </c>
      <c r="I215" s="20" t="n"/>
      <c r="J215" s="21" t="n">
        <v>2023</v>
      </c>
      <c r="K215" s="19" t="inlineStr">
        <is>
          <t>Merger/Acquisition</t>
        </is>
      </c>
      <c r="L215" s="19" t="n"/>
      <c r="M215" s="19" t="inlineStr">
        <is>
          <t>Completed</t>
        </is>
      </c>
      <c r="N215" s="22" t="n">
        <v>11.39</v>
      </c>
      <c r="O215" s="18" t="inlineStr">
        <is>
          <t>USD</t>
        </is>
      </c>
      <c r="R215" s="37" t="n"/>
      <c r="S215" s="22" t="n"/>
      <c r="T215" s="37" t="n"/>
      <c r="U215" s="22" t="n"/>
      <c r="V215" s="19" t="n"/>
      <c r="W215" s="22" t="n">
        <v>21.9</v>
      </c>
      <c r="X215" s="19" t="inlineStr">
        <is>
          <t>The company was acquired by Envirotech Drive Systems (NAS: EVTV) for $11.39 million on October 31, 2023.</t>
        </is>
      </c>
      <c r="Y215" s="19" t="inlineStr">
        <is>
          <t>Corporate Backed or Acquired</t>
        </is>
      </c>
      <c r="Z215" s="19" t="inlineStr">
        <is>
          <t>Generating Revenue</t>
        </is>
      </c>
      <c r="AA215" s="19" t="inlineStr">
        <is>
          <t>Envirotech Vehicles (NAS: EVTV) (Phillip Oldridge)</t>
        </is>
      </c>
      <c r="AB215" s="19" t="inlineStr">
        <is>
          <t>Aerospace and Defense</t>
        </is>
      </c>
      <c r="AC215" s="19" t="n"/>
      <c r="AD215" s="19" t="inlineStr">
        <is>
          <t>Manufacturer of specialty equipment intended to offer green technologies to support the California government's transition to a sustainable future.. The company offers medical equipment, chem biowarfare protection, expeditionary solar and power systems, targets, tactical sewn goods, and underwater equipment, enabling the government to protect the environment against the threats of climate as well as all external threats.</t>
        </is>
      </c>
      <c r="AE215" s="19" t="inlineStr">
        <is>
          <t>San Diego, CA</t>
        </is>
      </c>
      <c r="AF215" s="19" t="inlineStr">
        <is>
          <t>www.maddoxdefense.com</t>
        </is>
      </c>
    </row>
    <row r="216" ht="42" customHeight="1">
      <c r="A216" s="12" t="inlineStr">
        <is>
          <t>USA-215</t>
        </is>
      </c>
      <c r="B216" s="12" t="inlineStr">
        <is>
          <t>USA</t>
        </is>
      </c>
      <c r="C216" s="12" t="inlineStr">
        <is>
          <t>USA</t>
        </is>
      </c>
      <c r="D216" s="13" t="inlineStr">
        <is>
          <t>Cirrus Aircraft (HKG: 02507)</t>
        </is>
      </c>
      <c r="E216" s="13" t="n"/>
      <c r="F216" s="12" t="n"/>
      <c r="G216" s="13" t="n"/>
      <c r="H216" s="14" t="n">
        <v>45485</v>
      </c>
      <c r="I216" s="14" t="n"/>
      <c r="J216" s="15" t="n">
        <v>2024</v>
      </c>
      <c r="K216" s="13" t="inlineStr">
        <is>
          <t>IPO</t>
        </is>
      </c>
      <c r="L216" s="13" t="n"/>
      <c r="M216" s="13" t="inlineStr">
        <is>
          <t>Completed</t>
        </is>
      </c>
      <c r="N216" s="16" t="n">
        <v>11.34</v>
      </c>
      <c r="O216" s="12" t="inlineStr">
        <is>
          <t>USD</t>
        </is>
      </c>
      <c r="R216" s="36" t="n">
        <v>0.07000000000000001</v>
      </c>
      <c r="S216" s="16" t="n">
        <v>166.62</v>
      </c>
      <c r="T216" s="36" t="n">
        <v>0.01</v>
      </c>
      <c r="U216" s="16" t="n">
        <v>1117.09</v>
      </c>
      <c r="V216" s="13" t="n"/>
      <c r="W216" s="16" t="n">
        <v>75.41</v>
      </c>
      <c r="X216" s="13" t="inlineStr">
        <is>
          <t>The company raised HTG 1.51 billion in its initial public offering on the Hong Kong Stock Exchange under the ticker symbol of 02507 on July 12, 2024. A total of 55,025,500 shares were sold at HTG 27.5 per share. After the offering, there was a total of 365,988,818 outstanding shares at HTG 27.5 per share, valuing the company at HTG 10.06 billion. The underwriters were granted an option to purchase up to an additional 149,600 shares from the company to cover over-allotments, if any. The over-allotment option was exercised in partial by the underwriter.</t>
        </is>
      </c>
      <c r="Y216" s="13" t="inlineStr">
        <is>
          <t>Formerly PE-Backed</t>
        </is>
      </c>
      <c r="Z216" s="13" t="inlineStr">
        <is>
          <t>Profitable</t>
        </is>
      </c>
      <c r="AA216" s="13" t="n"/>
      <c r="AB216" s="13" t="inlineStr">
        <is>
          <t>Air</t>
        </is>
      </c>
      <c r="AC216" s="13" t="inlineStr">
        <is>
          <t>Industrials, Manufacturing</t>
        </is>
      </c>
      <c r="AD216" s="13" t="inlineStr">
        <is>
          <t>Cirrus Aircraft Ltd is engaged in aviation industry. It design, develop, manufacture, and sell premium aircraft such as SR2X Series ( SR20, SR22, SR22T) and the Vision Jet. The company generate maximum revenue from North America, Europe and Others (Africa, Asia, Australia, and Latin America). The company provide product and services which include maintenance, upgrades, training, pilot services, Cirrus IQ and e-commerce.</t>
        </is>
      </c>
      <c r="AE216" s="13" t="inlineStr">
        <is>
          <t>Duluth, MN</t>
        </is>
      </c>
      <c r="AF216" s="13" t="inlineStr">
        <is>
          <t>www.cirrusaircraft.com</t>
        </is>
      </c>
    </row>
    <row r="217" ht="42" customHeight="1">
      <c r="A217" s="18" t="inlineStr">
        <is>
          <t>USA-216</t>
        </is>
      </c>
      <c r="B217" s="18" t="inlineStr">
        <is>
          <t>USA</t>
        </is>
      </c>
      <c r="C217" s="18" t="inlineStr">
        <is>
          <t>USA</t>
        </is>
      </c>
      <c r="D217" s="19" t="inlineStr">
        <is>
          <t>MTX Surveying</t>
        </is>
      </c>
      <c r="E217" s="19" t="inlineStr">
        <is>
          <t>Bowman Consulting</t>
        </is>
      </c>
      <c r="F217" s="18" t="n"/>
      <c r="G217" s="19" t="n"/>
      <c r="H217" s="20" t="n">
        <v>45079</v>
      </c>
      <c r="I217" s="20" t="n"/>
      <c r="J217" s="21" t="n">
        <v>2023</v>
      </c>
      <c r="K217" s="19" t="inlineStr">
        <is>
          <t>Merger/Acquisition</t>
        </is>
      </c>
      <c r="L217" s="19" t="n"/>
      <c r="M217" s="19" t="inlineStr">
        <is>
          <t>Completed</t>
        </is>
      </c>
      <c r="N217" s="22" t="n">
        <v>11.1</v>
      </c>
      <c r="O217" s="18" t="inlineStr">
        <is>
          <t>USD</t>
        </is>
      </c>
      <c r="R217" s="37" t="n"/>
      <c r="S217" s="22" t="n"/>
      <c r="T217" s="37" t="n"/>
      <c r="U217" s="22" t="n"/>
      <c r="V217" s="19" t="n"/>
      <c r="W217" s="22" t="n">
        <v>11.1</v>
      </c>
      <c r="X217" s="19" t="inlineStr">
        <is>
          <t>The company was acquired by Bowman Consulting (NAS: BWMN) for $11.1 million on June 2, 2023. The Company paid total consideration of $11.1 million, which was comprised of 143,333 shares of common stock, at $28.09 per share, for a total of $4.0 million, plus $7.1 million in cash, promissory note and assumed liabilities. This acquisition helps Bowman Consulting to accelerate its goal of increasing the contribution of power and utility-oriented assignments within its revenue mix.</t>
        </is>
      </c>
      <c r="Y217" s="19" t="inlineStr">
        <is>
          <t>Corporate Backed or Acquired</t>
        </is>
      </c>
      <c r="Z217" s="19" t="inlineStr">
        <is>
          <t>Generating Revenue</t>
        </is>
      </c>
      <c r="AA217" s="19" t="inlineStr">
        <is>
          <t>Bowman Consulting (NAS: BWMN) (Gary Bowman)</t>
        </is>
      </c>
      <c r="AB217" s="19" t="inlineStr">
        <is>
          <t>Construction and Engineering</t>
        </is>
      </c>
      <c r="AC217" s="19" t="inlineStr">
        <is>
          <t>Oil &amp; Gas, Robotics and Drones</t>
        </is>
      </c>
      <c r="AD217" s="19" t="inlineStr">
        <is>
          <t>Provider of survey and mapping services serving Texas, New Mexico, Louisiana and other states across the United States. The company offers full-service consulting, project management, surveying, mapping and permitting services, helping clients to deliver their surveys within their desired timeline.</t>
        </is>
      </c>
      <c r="AE217" s="19" t="inlineStr">
        <is>
          <t>Marshall, TX</t>
        </is>
      </c>
      <c r="AF217" s="19" t="inlineStr">
        <is>
          <t>www.mtxsurveying.com</t>
        </is>
      </c>
    </row>
    <row r="218" ht="42" customHeight="1">
      <c r="A218" s="12" t="inlineStr">
        <is>
          <t>USA-217</t>
        </is>
      </c>
      <c r="B218" s="12" t="inlineStr">
        <is>
          <t>USA</t>
        </is>
      </c>
      <c r="C218" s="12" t="inlineStr">
        <is>
          <t>USA</t>
        </is>
      </c>
      <c r="D218" s="13" t="inlineStr">
        <is>
          <t>GS Plastic Optics</t>
        </is>
      </c>
      <c r="E218" s="13" t="inlineStr">
        <is>
          <t>Gooch &amp; Housego</t>
        </is>
      </c>
      <c r="F218" s="12" t="n"/>
      <c r="G218" s="13" t="n"/>
      <c r="H218" s="14" t="n">
        <v>45097</v>
      </c>
      <c r="I218" s="14" t="n"/>
      <c r="J218" s="15" t="n">
        <v>2023</v>
      </c>
      <c r="K218" s="13" t="inlineStr">
        <is>
          <t>Merger/Acquisition</t>
        </is>
      </c>
      <c r="L218" s="13" t="n"/>
      <c r="M218" s="13" t="inlineStr">
        <is>
          <t>Completed</t>
        </is>
      </c>
      <c r="N218" s="16" t="n">
        <v>11.03</v>
      </c>
      <c r="O218" s="12" t="inlineStr">
        <is>
          <t>USD</t>
        </is>
      </c>
      <c r="P218" s="50" t="n">
        <v>1.1</v>
      </c>
      <c r="Q218" s="50" t="n">
        <v>7.35</v>
      </c>
      <c r="R218" s="36" t="n">
        <v>7.35</v>
      </c>
      <c r="S218" s="16" t="n">
        <v>1.5</v>
      </c>
      <c r="T218" s="36" t="n">
        <v>1.1</v>
      </c>
      <c r="U218" s="16" t="n">
        <v>10</v>
      </c>
      <c r="V218" s="13" t="n"/>
      <c r="W218" s="16" t="n">
        <v>11.03</v>
      </c>
      <c r="X218" s="13" t="inlineStr">
        <is>
          <t>The company was acquired by Gooch &amp; Housego (LON: GHH) for GBP 11.03 million on June 20, 2023. This strategic acquisition will accelerate Gooch &amp; Housego's growth plans in the North American life sciences market whilst also adding to their A&amp;D and industrial activities.</t>
        </is>
      </c>
      <c r="Y218" s="13" t="inlineStr">
        <is>
          <t>Corporate Backed or Acquired</t>
        </is>
      </c>
      <c r="Z218" s="13" t="inlineStr">
        <is>
          <t>Generating Revenue</t>
        </is>
      </c>
      <c r="AA218" s="13" t="inlineStr">
        <is>
          <t>Gooch &amp; Housego (LON: GHH)</t>
        </is>
      </c>
      <c r="AB218" s="13" t="inlineStr">
        <is>
          <t>Industrial Supplies and Parts</t>
        </is>
      </c>
      <c r="AC218" s="13" t="inlineStr">
        <is>
          <t>Manufacturing</t>
        </is>
      </c>
      <c r="AD218" s="13" t="inlineStr">
        <is>
          <t>Manufacturer of custom designed injection molded polymer optics for medical, defense, commercial, bio-metric, and imaging applications. The company's products include injection molded aspheric lenses, free-form lenses, fresnel optics, mirrors, and diffractive optics, and they also provide prototyping, diamond turning, injection molding, thin-film coating, CNC (computer numerical control) machining, and other related services.</t>
        </is>
      </c>
      <c r="AE218" s="13" t="inlineStr">
        <is>
          <t>Rochester, NY</t>
        </is>
      </c>
      <c r="AF218" s="13" t="inlineStr">
        <is>
          <t>www.gsoptics.com</t>
        </is>
      </c>
    </row>
    <row r="219" ht="42" customHeight="1">
      <c r="A219" s="18" t="inlineStr">
        <is>
          <t>USA-218</t>
        </is>
      </c>
      <c r="B219" s="18" t="inlineStr">
        <is>
          <t>USA</t>
        </is>
      </c>
      <c r="C219" s="18" t="inlineStr">
        <is>
          <t>USA</t>
        </is>
      </c>
      <c r="D219" s="19" t="inlineStr">
        <is>
          <t>EMI Solutions</t>
        </is>
      </c>
      <c r="E219" s="19" t="inlineStr">
        <is>
          <t>Mobix Labs</t>
        </is>
      </c>
      <c r="F219" s="18" t="n"/>
      <c r="G219" s="19" t="n"/>
      <c r="H219" s="20" t="n">
        <v>45278</v>
      </c>
      <c r="I219" s="20" t="n"/>
      <c r="J219" s="21" t="n">
        <v>2023</v>
      </c>
      <c r="K219" s="19" t="inlineStr">
        <is>
          <t>Merger/Acquisition</t>
        </is>
      </c>
      <c r="L219" s="19" t="n"/>
      <c r="M219" s="19" t="inlineStr">
        <is>
          <t>Completed</t>
        </is>
      </c>
      <c r="N219" s="22" t="n">
        <v>10.9</v>
      </c>
      <c r="O219" s="18" t="inlineStr">
        <is>
          <t>USD</t>
        </is>
      </c>
      <c r="R219" s="37" t="n"/>
      <c r="S219" s="22" t="n"/>
      <c r="T219" s="37" t="n"/>
      <c r="U219" s="22" t="n"/>
      <c r="V219" s="19" t="n"/>
      <c r="W219" s="22" t="n">
        <v>10.9</v>
      </c>
      <c r="X219" s="19" t="inlineStr">
        <is>
          <t>The company was acquired by Mobix Labs (NAS: MOBX) for estimated $10.897 million on December 18, 2023. The acquisition allows Mobix Labs to further develop and deploy solutions for high-tech space and military-grade applications as well as adds meaningful revenue and provides an existing customer base that is generating revenue and can be leveraged to cross-sell additional products and services.</t>
        </is>
      </c>
      <c r="Y219" s="19" t="inlineStr">
        <is>
          <t>Corporate Backed or Acquired</t>
        </is>
      </c>
      <c r="Z219" s="19" t="inlineStr">
        <is>
          <t>Generating Revenue</t>
        </is>
      </c>
      <c r="AA219" s="19" t="inlineStr">
        <is>
          <t>Mobix Labs (NAS: MOBX) (Keyvan Samini)</t>
        </is>
      </c>
      <c r="AB219" s="19" t="inlineStr">
        <is>
          <t>Electronic Components</t>
        </is>
      </c>
      <c r="AC219" s="19" t="inlineStr">
        <is>
          <t>Manufacturing</t>
        </is>
      </c>
      <c r="AD219" s="19" t="inlineStr">
        <is>
          <t>Manufacturer of EMI filtering products catering to military, medical and industrial markets. The company manufactures products including flexfilter inserts, filtered connectors, modules, feed-thru and cable assemblies.</t>
        </is>
      </c>
      <c r="AE219" s="19" t="inlineStr">
        <is>
          <t>Irvine, CA</t>
        </is>
      </c>
      <c r="AF219" s="19" t="inlineStr">
        <is>
          <t>www.4emi.com</t>
        </is>
      </c>
    </row>
    <row r="220" ht="42" customHeight="1">
      <c r="A220" s="12" t="inlineStr">
        <is>
          <t>USA-219</t>
        </is>
      </c>
      <c r="B220" s="12" t="inlineStr">
        <is>
          <t>USA</t>
        </is>
      </c>
      <c r="C220" s="12" t="inlineStr">
        <is>
          <t>USA</t>
        </is>
      </c>
      <c r="D220" s="13" t="inlineStr">
        <is>
          <t>Richtech Robotics (NAS: RR)</t>
        </is>
      </c>
      <c r="E220" s="13" t="n"/>
      <c r="F220" s="12" t="n"/>
      <c r="G220" s="13" t="n"/>
      <c r="H220" s="14" t="n">
        <v>45247</v>
      </c>
      <c r="I220" s="14" t="n"/>
      <c r="J220" s="15" t="n">
        <v>2023</v>
      </c>
      <c r="K220" s="13" t="inlineStr">
        <is>
          <t>IPO</t>
        </is>
      </c>
      <c r="L220" s="13" t="n"/>
      <c r="M220" s="13" t="inlineStr">
        <is>
          <t>Completed</t>
        </is>
      </c>
      <c r="N220" s="16" t="n">
        <v>10.71</v>
      </c>
      <c r="O220" s="12" t="inlineStr">
        <is>
          <t>USD</t>
        </is>
      </c>
      <c r="R220" s="36" t="n">
        <v>35.47</v>
      </c>
      <c r="S220" s="16" t="n">
        <v>0.3</v>
      </c>
      <c r="T220" s="36" t="n">
        <v>1.22</v>
      </c>
      <c r="U220" s="16" t="n">
        <v>8.76</v>
      </c>
      <c r="V220" s="13" t="n"/>
      <c r="W220" s="16" t="n">
        <v>321.55</v>
      </c>
      <c r="X220" s="13" t="inlineStr">
        <is>
          <t>The company raised $10.71 million in its initial public offering on the NASDAQ stock exchange under the ticker symbol of RR on November 17, 2023. A total of 2,142,563 shares (including over-allotment options) were sold at $5 per share. After the offering, there was a total of 64,309,409 outstanding shares (including over-allotment options) at $5 per share, valuing the company at $321.55 million. The underwriters were granted an option to purchase up to an additional 315,000 class B shares from the company to cover over-allotments, if any. The over-allotment options were partially exercised by the underwriters.</t>
        </is>
      </c>
      <c r="Y220" s="13" t="inlineStr">
        <is>
          <t>Formerly VC-backed</t>
        </is>
      </c>
      <c r="Z220" s="13" t="inlineStr">
        <is>
          <t>Generating Revenue</t>
        </is>
      </c>
      <c r="AA220" s="13" t="n"/>
      <c r="AB220" s="13" t="inlineStr">
        <is>
          <t>Other Hardware</t>
        </is>
      </c>
      <c r="AC220" s="13" t="inlineStr">
        <is>
          <t>Advanced Manufacturing, Manufacturing, Robotics and Drones</t>
        </is>
      </c>
      <c r="AD220" s="13" t="inlineStr">
        <is>
          <t>Richtech Robotics Inc is a robotics and artificial intelligence (AI) technology company focused on developing embodied AI systems that aims to improve the efficiency and productivity of businesses. The company trains proprietary artificial intelligence models on in-house data to operate robotic systems in the real world. It designs, engineers, manufactures, and deploys next generation embodied AI systems to serve a wide range of industries, including food service, retail, industrial manufacturing, automotive, healthcare, and hospitality. The company's offerings include Commercial Robotic Products, Industrial Robotic Products and Data Services. The company generated the majority of its revenue through product revenue (i.e. outright hardware sales).</t>
        </is>
      </c>
      <c r="AE220" s="13" t="inlineStr">
        <is>
          <t>Las Vegas, NV</t>
        </is>
      </c>
      <c r="AF220" s="13" t="inlineStr">
        <is>
          <t>www.richtechrobotics.com</t>
        </is>
      </c>
    </row>
    <row r="221" ht="42" customHeight="1">
      <c r="A221" s="18" t="inlineStr">
        <is>
          <t>USA-220</t>
        </is>
      </c>
      <c r="B221" s="18" t="inlineStr">
        <is>
          <t>USA</t>
        </is>
      </c>
      <c r="C221" s="18" t="inlineStr">
        <is>
          <t>USA</t>
        </is>
      </c>
      <c r="D221" s="19" t="inlineStr">
        <is>
          <t>Incab America</t>
        </is>
      </c>
      <c r="E221" s="19" t="inlineStr">
        <is>
          <t>Taihan Fiber Optics</t>
        </is>
      </c>
      <c r="F221" s="18" t="n"/>
      <c r="G221" s="19" t="n"/>
      <c r="H221" s="20" t="n">
        <v>45706</v>
      </c>
      <c r="I221" s="20" t="n"/>
      <c r="J221" s="21" t="n">
        <v>2025</v>
      </c>
      <c r="K221" s="19" t="inlineStr">
        <is>
          <t>Merger/Acquisition</t>
        </is>
      </c>
      <c r="L221" s="19" t="n"/>
      <c r="M221" s="19" t="inlineStr">
        <is>
          <t>Completed</t>
        </is>
      </c>
      <c r="N221" s="22" t="n">
        <v>10</v>
      </c>
      <c r="O221" s="18" t="inlineStr">
        <is>
          <t>USD</t>
        </is>
      </c>
      <c r="R221" s="37" t="n"/>
      <c r="S221" s="22" t="n"/>
      <c r="T221" s="37" t="n"/>
      <c r="U221" s="22" t="n"/>
      <c r="V221" s="19" t="n"/>
      <c r="W221" s="22" t="n">
        <v>11.3</v>
      </c>
      <c r="X221" s="19" t="inlineStr">
        <is>
          <t>The company was acquired by Taihan Fiber Optics (KRX: 010170) for approximately $10 million on February 18, 2025.</t>
        </is>
      </c>
      <c r="Y221" s="19" t="inlineStr">
        <is>
          <t>Corporate Backed or Acquired</t>
        </is>
      </c>
      <c r="Z221" s="19" t="inlineStr">
        <is>
          <t>Generating Revenue</t>
        </is>
      </c>
      <c r="AA221" s="19" t="inlineStr">
        <is>
          <t>Taihan Fiber Optics (KRX: 010170)</t>
        </is>
      </c>
      <c r="AB221" s="19" t="inlineStr">
        <is>
          <t>Connectivity Products</t>
        </is>
      </c>
      <c r="AC221" s="19" t="inlineStr">
        <is>
          <t>Manufacturing, Oil &amp; Gas</t>
        </is>
      </c>
      <c r="AD221" s="19" t="inlineStr">
        <is>
          <t>Manufacturer of fiber optics cables based in Grapevine, Texas. The company offers outdoor and indoor cables, optical ground wire cables, fire-rated cables and sensor cables to various industries catering to various industries such as telecommunications, power engineering, oil and gas production and transportation, railway infrastructure, petrochemistry, petroleum refining, defence, mining and metallurgy, government authorities.</t>
        </is>
      </c>
      <c r="AE221" s="19" t="inlineStr">
        <is>
          <t>Grapevine, TX</t>
        </is>
      </c>
      <c r="AF221" s="19" t="inlineStr">
        <is>
          <t>www.incabamerica.com</t>
        </is>
      </c>
    </row>
    <row r="222" ht="42" customHeight="1">
      <c r="A222" s="12" t="inlineStr">
        <is>
          <t>USA-221</t>
        </is>
      </c>
      <c r="B222" s="12" t="inlineStr">
        <is>
          <t>USA</t>
        </is>
      </c>
      <c r="C222" s="12" t="inlineStr">
        <is>
          <t>USA</t>
        </is>
      </c>
      <c r="D222" s="13" t="inlineStr">
        <is>
          <t>TIC-MS</t>
        </is>
      </c>
      <c r="E222" s="13" t="inlineStr">
        <is>
          <t>Transcat</t>
        </is>
      </c>
      <c r="F222" s="12" t="n"/>
      <c r="G222" s="13" t="n"/>
      <c r="H222" s="14" t="n">
        <v>45012</v>
      </c>
      <c r="I222" s="14" t="n"/>
      <c r="J222" s="15" t="n">
        <v>2023</v>
      </c>
      <c r="K222" s="13" t="inlineStr">
        <is>
          <t>Merger/Acquisition</t>
        </is>
      </c>
      <c r="L222" s="13" t="n"/>
      <c r="M222" s="13" t="inlineStr">
        <is>
          <t>Completed</t>
        </is>
      </c>
      <c r="N222" s="16" t="n">
        <v>9.67</v>
      </c>
      <c r="O222" s="12" t="inlineStr">
        <is>
          <t>USD</t>
        </is>
      </c>
      <c r="R222" s="36" t="n"/>
      <c r="S222" s="16" t="n"/>
      <c r="T222" s="36" t="n"/>
      <c r="U222" s="16" t="n"/>
      <c r="V222" s="13" t="n"/>
      <c r="W222" s="16" t="n">
        <v>9.67</v>
      </c>
      <c r="X222" s="13" t="inlineStr">
        <is>
          <t>The company was acquired by Transcat (NAS: TRNS) for $9.67 million on March 27, 2023. The acquisition aligned with a key component of the company's acquisition strategy of targeting businesses that expand the depth and breadth of the company's service capabilities.</t>
        </is>
      </c>
      <c r="Y222" s="13" t="inlineStr">
        <is>
          <t>Corporate Backed or Acquired</t>
        </is>
      </c>
      <c r="Z222" s="13" t="inlineStr">
        <is>
          <t>Generating Revenue</t>
        </is>
      </c>
      <c r="AA222" s="13" t="inlineStr">
        <is>
          <t>Transcat (NAS: TRNS) (Lee Rudow)</t>
        </is>
      </c>
      <c r="AB222" s="13" t="inlineStr">
        <is>
          <t>Other Commercial Services</t>
        </is>
      </c>
      <c r="AC222" s="13" t="n"/>
      <c r="AD222" s="13" t="inlineStr">
        <is>
          <t>Provider of accredited calibrations and inspection services catering to automotive, aerospace, power and utility, food and beverage, paper and printing, textile, pharmaceutical, chemical, and petroleum industries. The company offers services on-site or off-site, such as calibrations, which include dimensional, electronic, flow, mechanical, pharmaceutical, pressure, thermodynamic, and time and frequency instruments.</t>
        </is>
      </c>
      <c r="AE222" s="13" t="inlineStr">
        <is>
          <t>Saint Louis, MO</t>
        </is>
      </c>
      <c r="AF222" s="13" t="inlineStr">
        <is>
          <t>www.ticms.com</t>
        </is>
      </c>
    </row>
    <row r="223" ht="42" customHeight="1">
      <c r="A223" s="18" t="inlineStr">
        <is>
          <t>USA-222</t>
        </is>
      </c>
      <c r="B223" s="18" t="inlineStr">
        <is>
          <t>USA</t>
        </is>
      </c>
      <c r="C223" s="18" t="inlineStr">
        <is>
          <t>USA</t>
        </is>
      </c>
      <c r="D223" s="19" t="inlineStr">
        <is>
          <t>RaGE Systems</t>
        </is>
      </c>
      <c r="E223" s="19" t="inlineStr">
        <is>
          <t>Mobix Labs</t>
        </is>
      </c>
      <c r="F223" s="18" t="n"/>
      <c r="G223" s="19" t="n"/>
      <c r="H223" s="20" t="n">
        <v>45433</v>
      </c>
      <c r="I223" s="20" t="n"/>
      <c r="J223" s="21" t="n">
        <v>2024</v>
      </c>
      <c r="K223" s="19" t="inlineStr">
        <is>
          <t>Merger/Acquisition</t>
        </is>
      </c>
      <c r="L223" s="19" t="n"/>
      <c r="M223" s="19" t="inlineStr">
        <is>
          <t>Completed</t>
        </is>
      </c>
      <c r="N223" s="22" t="n">
        <v>9.52</v>
      </c>
      <c r="O223" s="18" t="inlineStr">
        <is>
          <t>USD</t>
        </is>
      </c>
      <c r="R223" s="37" t="n"/>
      <c r="S223" s="22" t="n"/>
      <c r="T223" s="37" t="n"/>
      <c r="U223" s="22" t="n"/>
      <c r="V223" s="19" t="n"/>
      <c r="W223" s="22" t="n">
        <v>9.52</v>
      </c>
      <c r="X223" s="19" t="inlineStr">
        <is>
          <t>The company was acquired by Mobix Labs (NAS: MOBX) for $9.518 million on May 21, 2024. The acquisition enhances Mobix Labs' capabilities in designing and manufacturing advanced RF and microwave integrated circuits and systems across several markets and decreases the time necessary to develop cutting-edge wireless communications and integrated circuit products for its customers, particularly in the fast-growing mmWave 5G sector. The consideration consists of 3,214,045 shares of Mobix Labs's Class A Common Stock having a fair value of $7,682 and $2,000 in cash, of which $200 was payable on the closing date; $1,000 will be payable on November 15, 2024, and $800 will be payable on April 15, 2025.</t>
        </is>
      </c>
      <c r="Y223" s="19" t="inlineStr">
        <is>
          <t>Corporate Backed or Acquired</t>
        </is>
      </c>
      <c r="Z223" s="19" t="inlineStr">
        <is>
          <t>Generating Revenue</t>
        </is>
      </c>
      <c r="AA223" s="19" t="inlineStr">
        <is>
          <t>Mobix Labs (NAS: MOBX) (Keyvan Samini)</t>
        </is>
      </c>
      <c r="AB223" s="19" t="inlineStr">
        <is>
          <t>Wireless Communications Equipment</t>
        </is>
      </c>
      <c r="AC223" s="19" t="n"/>
      <c r="AD223" s="19" t="inlineStr">
        <is>
          <t>Manufacturer of wireless solutions catering to telecommunications, commercial, industrial, defense and aerospace sectors. The company specializes in developing products for 5g communications, microwave imaging, munitions, active protection systems, embedded controllers for miniaturized subsystems, small cell power amplifiers and software-defined radio, enabling customers to lower the cost of product development, reduce their time-to-market and improve their product quality.</t>
        </is>
      </c>
      <c r="AE223" s="19" t="inlineStr">
        <is>
          <t>Lowell, MA</t>
        </is>
      </c>
      <c r="AF223" s="19" t="inlineStr">
        <is>
          <t>www.ragesystems.com</t>
        </is>
      </c>
    </row>
    <row r="224" ht="42" customHeight="1">
      <c r="A224" s="12" t="inlineStr">
        <is>
          <t>USA-223</t>
        </is>
      </c>
      <c r="B224" s="12" t="inlineStr">
        <is>
          <t>USA</t>
        </is>
      </c>
      <c r="C224" s="12" t="inlineStr">
        <is>
          <t>USA</t>
        </is>
      </c>
      <c r="D224" s="13" t="inlineStr">
        <is>
          <t>Optical Physics</t>
        </is>
      </c>
      <c r="E224" s="13" t="inlineStr">
        <is>
          <t>Voyager</t>
        </is>
      </c>
      <c r="F224" s="12" t="n"/>
      <c r="G224" s="13" t="n"/>
      <c r="H224" s="14" t="n">
        <v>45779</v>
      </c>
      <c r="I224" s="14" t="n"/>
      <c r="J224" s="15" t="n">
        <v>2025</v>
      </c>
      <c r="K224" s="13" t="inlineStr">
        <is>
          <t>Merger/Acquisition</t>
        </is>
      </c>
      <c r="L224" s="13" t="n"/>
      <c r="M224" s="13" t="inlineStr">
        <is>
          <t>Completed</t>
        </is>
      </c>
      <c r="N224" s="16" t="n">
        <v>9.5</v>
      </c>
      <c r="O224" s="12" t="inlineStr">
        <is>
          <t>USD</t>
        </is>
      </c>
      <c r="R224" s="36" t="n"/>
      <c r="S224" s="16" t="n"/>
      <c r="T224" s="36" t="n"/>
      <c r="U224" s="16" t="n"/>
      <c r="V224" s="13" t="n"/>
      <c r="W224" s="16" t="n">
        <v>9.5</v>
      </c>
      <c r="X224" s="13" t="inlineStr">
        <is>
          <t>The company was acquired by Voyager (NYS: VOYG) for $9.5 million on May 2, 2025.</t>
        </is>
      </c>
      <c r="Y224" s="13" t="inlineStr">
        <is>
          <t>Corporate Backed or Acquired</t>
        </is>
      </c>
      <c r="Z224" s="13" t="inlineStr">
        <is>
          <t>Generating Revenue</t>
        </is>
      </c>
      <c r="AA224" s="13" t="inlineStr">
        <is>
          <t>Voyager (NYS: VOYG)</t>
        </is>
      </c>
      <c r="AB224" s="13" t="inlineStr">
        <is>
          <t>Aerospace and Defense</t>
        </is>
      </c>
      <c r="AC224" s="13" t="inlineStr">
        <is>
          <t>Manufacturing, Space Technology</t>
        </is>
      </c>
      <c r="AD224" s="13" t="inlineStr">
        <is>
          <t>Designer and manufacturer of advanced optical systems intended for aerospace, defense, and scientific applications. The company specializes in deformable mirror assemblies, interferometric star trackers, scalable wavefront sensors, hyperspectral filtering modules, integrated diagnostics, and speckle-based imaging technologies, enabling clients to implement high-accuracy optical instrumentation across airborne, spaceborne, and ground-based platforms.</t>
        </is>
      </c>
      <c r="AE224" s="13" t="inlineStr">
        <is>
          <t>Simi Valley, CA</t>
        </is>
      </c>
      <c r="AF224" s="13" t="inlineStr">
        <is>
          <t>www.opci.com</t>
        </is>
      </c>
    </row>
    <row r="225" ht="42" customHeight="1">
      <c r="A225" s="18" t="inlineStr">
        <is>
          <t>USA-224</t>
        </is>
      </c>
      <c r="B225" s="18" t="inlineStr">
        <is>
          <t>USA</t>
        </is>
      </c>
      <c r="C225" s="18" t="inlineStr">
        <is>
          <t>USA</t>
        </is>
      </c>
      <c r="D225" s="19" t="inlineStr">
        <is>
          <t>Genelux (NAS: GNLX)</t>
        </is>
      </c>
      <c r="E225" s="19" t="n"/>
      <c r="F225" s="18" t="n"/>
      <c r="G225" s="19" t="n"/>
      <c r="H225" s="20" t="n">
        <v>44952</v>
      </c>
      <c r="I225" s="20" t="n"/>
      <c r="J225" s="21" t="n">
        <v>2023</v>
      </c>
      <c r="K225" s="19" t="inlineStr">
        <is>
          <t>IPO</t>
        </is>
      </c>
      <c r="L225" s="19" t="n"/>
      <c r="M225" s="19" t="inlineStr">
        <is>
          <t>Completed</t>
        </is>
      </c>
      <c r="N225" s="22" t="n">
        <v>9</v>
      </c>
      <c r="O225" s="18" t="inlineStr">
        <is>
          <t>USD</t>
        </is>
      </c>
      <c r="R225" s="37" t="n">
        <v>-5.2</v>
      </c>
      <c r="S225" s="22" t="n">
        <v>-1.73</v>
      </c>
      <c r="T225" s="37" t="n">
        <v>0.8100000000000001</v>
      </c>
      <c r="U225" s="22" t="n">
        <v>11.07</v>
      </c>
      <c r="V225" s="19" t="n"/>
      <c r="W225" s="22" t="n">
        <v>141.88</v>
      </c>
      <c r="X225" s="19" t="inlineStr">
        <is>
          <t>The company raised $9 million in its initial public offering on the Nasdaq stock exchange under the ticker symbol of GNLX on January 26, 2023. A total of 2,500,000 shares were sold at $6 per share. After the offering, there was a total of 23,647,442 outstanding shares at $6 per share, valuing the company at $141.89 million. The underwriters were granted an option to purchase up to an additional 375,000 shares from the company to cover over-allotments, if any.</t>
        </is>
      </c>
      <c r="Y225" s="19" t="inlineStr">
        <is>
          <t>Formerly VC-backed</t>
        </is>
      </c>
      <c r="Z225" s="19" t="inlineStr">
        <is>
          <t>Generating Revenue</t>
        </is>
      </c>
      <c r="AA225" s="19" t="n"/>
      <c r="AB225" s="19" t="inlineStr">
        <is>
          <t>Drug Discovery</t>
        </is>
      </c>
      <c r="AC225" s="19" t="inlineStr">
        <is>
          <t>Life Sciences, Oncology</t>
        </is>
      </c>
      <c r="AD225" s="19" t="inlineStr">
        <is>
          <t>Genelux Corp is a late-stage biopharmaceutical firm focused on developing oncolytic viral immunotherapies for cancer. Its pipeline includes clinical and preclinical candidates designed to target tumor cells and stimulate an immune response against tumor-specific antigens. The company is focused on the development of next-generation oncolytic viral immunotherapies that are designed to generate a personalized multi-prong attack to overwhelm a tumor's sophisticated defense mechanisms.</t>
        </is>
      </c>
      <c r="AE225" s="19" t="inlineStr">
        <is>
          <t>Westlake Village, CA</t>
        </is>
      </c>
      <c r="AF225" s="19" t="inlineStr">
        <is>
          <t>www.genelux.com</t>
        </is>
      </c>
    </row>
    <row r="226" ht="42" customHeight="1">
      <c r="A226" s="12" t="inlineStr">
        <is>
          <t>USA-225</t>
        </is>
      </c>
      <c r="B226" s="12" t="inlineStr">
        <is>
          <t>USA</t>
        </is>
      </c>
      <c r="C226" s="12" t="inlineStr">
        <is>
          <t>USA</t>
        </is>
      </c>
      <c r="D226" s="13" t="inlineStr">
        <is>
          <t>Veo Robotics</t>
        </is>
      </c>
      <c r="E226" s="13" t="inlineStr">
        <is>
          <t>Symbotic</t>
        </is>
      </c>
      <c r="F226" s="12" t="n"/>
      <c r="G226" s="13" t="n"/>
      <c r="H226" s="14" t="n">
        <v>45474</v>
      </c>
      <c r="I226" s="14" t="n"/>
      <c r="J226" s="15" t="n">
        <v>2024</v>
      </c>
      <c r="K226" s="13" t="inlineStr">
        <is>
          <t>Merger/Acquisition</t>
        </is>
      </c>
      <c r="L226" s="13" t="n"/>
      <c r="M226" s="13" t="inlineStr">
        <is>
          <t>Completed</t>
        </is>
      </c>
      <c r="N226" s="16" t="n">
        <v>8.699999999999999</v>
      </c>
      <c r="O226" s="12" t="inlineStr">
        <is>
          <t>USD</t>
        </is>
      </c>
      <c r="R226" s="36" t="n"/>
      <c r="S226" s="16" t="n"/>
      <c r="T226" s="36" t="n"/>
      <c r="U226" s="16" t="n"/>
      <c r="V226" s="13" t="n"/>
      <c r="W226" s="16" t="n">
        <v>8.699999999999999</v>
      </c>
      <c r="X226" s="13" t="inlineStr">
        <is>
          <t>The company was acquired by Symbotic (NAS: SYM) for $8.7 million in July 2024.</t>
        </is>
      </c>
      <c r="Y226" s="13" t="inlineStr">
        <is>
          <t>Formerly VC-backed</t>
        </is>
      </c>
      <c r="Z226" s="13" t="inlineStr">
        <is>
          <t>Generating Revenue</t>
        </is>
      </c>
      <c r="AA226" s="13" t="inlineStr">
        <is>
          <t>Symbotic (NAS: SYM) (Richard Cohen)</t>
        </is>
      </c>
      <c r="AB226" s="13" t="inlineStr">
        <is>
          <t>Other Hardware</t>
        </is>
      </c>
      <c r="AC226" s="13" t="inlineStr">
        <is>
          <t>Advanced Manufacturing, Artificial Intelligence &amp; Machine Learning, Manufacturing, Robotics and Drones</t>
        </is>
      </c>
      <c r="AD226" s="13" t="inlineStr">
        <is>
          <t>Manufacturer of industrial automation products intended to create industrial robots to work safely and efficiently alongside people. The company's products use proprietary algorithms, sensing, and control systems that use intelligent algorithms running on parallel computing hardware, and distributed three-dimensional sensors, enabling clients to increase productivity and reduce operating costs in manufacturing and logistics.</t>
        </is>
      </c>
      <c r="AE226" s="13" t="inlineStr">
        <is>
          <t>Waltham, MA</t>
        </is>
      </c>
      <c r="AF226" s="13" t="inlineStr">
        <is>
          <t>www.veobot.com</t>
        </is>
      </c>
    </row>
    <row r="227" ht="42" customHeight="1">
      <c r="A227" s="18" t="inlineStr">
        <is>
          <t>USA-226</t>
        </is>
      </c>
      <c r="B227" s="18" t="inlineStr">
        <is>
          <t>USA</t>
        </is>
      </c>
      <c r="C227" s="18" t="inlineStr">
        <is>
          <t>USA</t>
        </is>
      </c>
      <c r="D227" s="19" t="inlineStr">
        <is>
          <t>American Electronic Resource</t>
        </is>
      </c>
      <c r="E227" s="19" t="inlineStr">
        <is>
          <t>Certify Holdings</t>
        </is>
      </c>
      <c r="F227" s="18" t="n"/>
      <c r="G227" s="19" t="n"/>
      <c r="H227" s="20" t="n">
        <v>45357</v>
      </c>
      <c r="I227" s="20" t="n"/>
      <c r="J227" s="21" t="n">
        <v>2024</v>
      </c>
      <c r="K227" s="19" t="inlineStr">
        <is>
          <t>Merger/Acquisition</t>
        </is>
      </c>
      <c r="L227" s="19" t="n"/>
      <c r="M227" s="19" t="inlineStr">
        <is>
          <t>Completed</t>
        </is>
      </c>
      <c r="N227" s="22" t="n">
        <v>8.5</v>
      </c>
      <c r="O227" s="18" t="inlineStr">
        <is>
          <t>USD</t>
        </is>
      </c>
      <c r="R227" s="37" t="n"/>
      <c r="S227" s="22" t="n"/>
      <c r="T227" s="37" t="n"/>
      <c r="U227" s="22" t="n"/>
      <c r="V227" s="19" t="n"/>
      <c r="W227" s="22" t="n">
        <v>8.5</v>
      </c>
      <c r="X227" s="19" t="inlineStr">
        <is>
          <t>The company was acquired by Certify Holdings for $8.5 million on March 6, 2024.</t>
        </is>
      </c>
      <c r="Y227" s="19" t="inlineStr">
        <is>
          <t>Corporate Backed or Acquired</t>
        </is>
      </c>
      <c r="Z227" s="19" t="inlineStr">
        <is>
          <t>Generating Revenue</t>
        </is>
      </c>
      <c r="AA227" s="19" t="inlineStr">
        <is>
          <t>Certify Holdings</t>
        </is>
      </c>
      <c r="AB227" s="19" t="inlineStr">
        <is>
          <t>Distributors/Wholesale</t>
        </is>
      </c>
      <c r="AC227" s="19" t="n"/>
      <c r="AD227" s="19" t="inlineStr">
        <is>
          <t>Distributor of electronic components based in Costa Mesa, California. The company offers capacitors, integrated circuits, military electronic components, semiconductors, connectors, LCDs, obsolete DRAM and SRAM memory, solid state drives, crystals and relays in North America, Europe and the Far East, thereby locating obsolete and hard-to-find electronic components, while guarding against counterfeits and shortening delivery time.</t>
        </is>
      </c>
      <c r="AE227" s="19" t="inlineStr">
        <is>
          <t>Costa Mesa, CA</t>
        </is>
      </c>
      <c r="AF227" s="19" t="inlineStr">
        <is>
          <t>www.aeri.com</t>
        </is>
      </c>
    </row>
    <row r="228" ht="42" customHeight="1">
      <c r="A228" s="12" t="inlineStr">
        <is>
          <t>USA-227</t>
        </is>
      </c>
      <c r="B228" s="12" t="inlineStr">
        <is>
          <t>USA</t>
        </is>
      </c>
      <c r="C228" s="12" t="inlineStr">
        <is>
          <t>USA</t>
        </is>
      </c>
      <c r="D228" s="13" t="inlineStr">
        <is>
          <t>Sierramotion</t>
        </is>
      </c>
      <c r="E228" s="13" t="inlineStr">
        <is>
          <t>Allient</t>
        </is>
      </c>
      <c r="F228" s="12" t="n"/>
      <c r="G228" s="13" t="n"/>
      <c r="H228" s="14" t="n">
        <v>45191</v>
      </c>
      <c r="I228" s="14" t="n"/>
      <c r="J228" s="15" t="n">
        <v>2023</v>
      </c>
      <c r="K228" s="13" t="inlineStr">
        <is>
          <t>Merger/Acquisition</t>
        </is>
      </c>
      <c r="L228" s="13" t="n"/>
      <c r="M228" s="13" t="inlineStr">
        <is>
          <t>Completed</t>
        </is>
      </c>
      <c r="N228" s="16" t="n">
        <v>8.4</v>
      </c>
      <c r="O228" s="12" t="inlineStr">
        <is>
          <t>USD</t>
        </is>
      </c>
      <c r="R228" s="36" t="n"/>
      <c r="S228" s="16" t="n"/>
      <c r="T228" s="36" t="n"/>
      <c r="U228" s="16" t="n"/>
      <c r="V228" s="13" t="n"/>
      <c r="W228" s="16" t="n">
        <v>8.4</v>
      </c>
      <c r="X228" s="13" t="inlineStr">
        <is>
          <t>The company was acquired by Allied Motion (NAS: ALNT) for an estimated $8.4 million on September 22, 2023. The company will receive a contingent payout of $2 million upon the completion of contingent payout criteria. The acquisition will provide larger scale production capabilities for Sierramotion customers by leveraging the Allient global manufacturing footprint.</t>
        </is>
      </c>
      <c r="Y228" s="13" t="inlineStr">
        <is>
          <t>Corporate Backed or Acquired</t>
        </is>
      </c>
      <c r="Z228" s="13" t="inlineStr">
        <is>
          <t>Generating Revenue</t>
        </is>
      </c>
      <c r="AA228" s="13" t="inlineStr">
        <is>
          <t>Allient (NAS: ALNT) (Richard Warzala)</t>
        </is>
      </c>
      <c r="AB228" s="13" t="inlineStr">
        <is>
          <t>Other Commercial Services</t>
        </is>
      </c>
      <c r="AC228" s="13" t="n"/>
      <c r="AD228" s="13" t="inlineStr">
        <is>
          <t>Provider of designing and engineering turnkey solutions catering to medical, industrial and defense sectors. The company offers customized designing and mechatronic (mechanical, electrical and control) solutions for robotic, medical, industrial, defense, semiconductor and other precision applications.</t>
        </is>
      </c>
      <c r="AE228" s="13" t="inlineStr">
        <is>
          <t>Loomis, CA</t>
        </is>
      </c>
      <c r="AF228" s="13" t="inlineStr">
        <is>
          <t>www.sierramotion.com</t>
        </is>
      </c>
    </row>
    <row r="229" ht="42" customHeight="1">
      <c r="A229" s="18" t="inlineStr">
        <is>
          <t>USA-228</t>
        </is>
      </c>
      <c r="B229" s="18" t="inlineStr">
        <is>
          <t>USA</t>
        </is>
      </c>
      <c r="C229" s="18" t="inlineStr">
        <is>
          <t>USA</t>
        </is>
      </c>
      <c r="D229" s="19" t="inlineStr">
        <is>
          <t>Spectrum Thermal Processing</t>
        </is>
      </c>
      <c r="E229" s="19" t="inlineStr">
        <is>
          <t>Bodycote</t>
        </is>
      </c>
      <c r="F229" s="18" t="n"/>
      <c r="G229" s="19" t="n"/>
      <c r="H229" s="20" t="n">
        <v>46038</v>
      </c>
      <c r="I229" s="20" t="n"/>
      <c r="J229" s="21" t="n">
        <v>2026</v>
      </c>
      <c r="K229" s="19" t="inlineStr">
        <is>
          <t>Merger/Acquisition</t>
        </is>
      </c>
      <c r="L229" s="19" t="n"/>
      <c r="M229" s="19" t="inlineStr">
        <is>
          <t>Completed</t>
        </is>
      </c>
      <c r="N229" s="22" t="n">
        <v>8</v>
      </c>
      <c r="O229" s="18" t="inlineStr">
        <is>
          <t>USD</t>
        </is>
      </c>
      <c r="R229" s="37" t="n"/>
      <c r="S229" s="22" t="n"/>
      <c r="T229" s="37" t="n"/>
      <c r="U229" s="22" t="n"/>
      <c r="V229" s="19" t="n"/>
      <c r="W229" s="22" t="n">
        <v>8</v>
      </c>
      <c r="X229" s="19" t="inlineStr">
        <is>
          <t>The company was acquired by Bodycote (LON: BOY) for approximately $8 million on January 16, 2026. The acquisition increases Bodycote's exposure to the growing aerospace and defence market in North America.</t>
        </is>
      </c>
      <c r="Y229" s="19" t="inlineStr">
        <is>
          <t>Corporate Backed or Acquired</t>
        </is>
      </c>
      <c r="Z229" s="19" t="inlineStr">
        <is>
          <t>Generating Revenue</t>
        </is>
      </c>
      <c r="AA229" s="19" t="inlineStr">
        <is>
          <t>Bodycote (LON: BOY) (Jim Fairbairn)</t>
        </is>
      </c>
      <c r="AB229" s="19" t="inlineStr">
        <is>
          <t>Other Commercial Services</t>
        </is>
      </c>
      <c r="AC229" s="19" t="n"/>
      <c r="AD229" s="19" t="inlineStr">
        <is>
          <t>Operator of a specialty heat-treating and brazing facility intended to serve the aerospace, automotive, electronic, medical, and machine tool industries. The company's services include vacuum brazing, vacuum integral oil quenching, vacuum heat treating and quenching, vacuum carburizing, and vacuum aging.</t>
        </is>
      </c>
      <c r="AE229" s="19" t="inlineStr">
        <is>
          <t>Cranston, RI</t>
        </is>
      </c>
      <c r="AF229" s="19" t="inlineStr">
        <is>
          <t>www.spectrumtp.com</t>
        </is>
      </c>
    </row>
    <row r="230" ht="42" customHeight="1">
      <c r="A230" s="12" t="inlineStr">
        <is>
          <t>USA-229</t>
        </is>
      </c>
      <c r="B230" s="12" t="inlineStr">
        <is>
          <t>USA</t>
        </is>
      </c>
      <c r="C230" s="12" t="inlineStr">
        <is>
          <t>USA</t>
        </is>
      </c>
      <c r="D230" s="13" t="inlineStr">
        <is>
          <t>Device Technologies (Distributors/Wholesale)</t>
        </is>
      </c>
      <c r="E230" s="13" t="inlineStr">
        <is>
          <t>Essentra</t>
        </is>
      </c>
      <c r="F230" s="12" t="n"/>
      <c r="G230" s="13" t="n"/>
      <c r="H230" s="14" t="n">
        <v>46006</v>
      </c>
      <c r="I230" s="14" t="n"/>
      <c r="J230" s="15" t="n">
        <v>2025</v>
      </c>
      <c r="K230" s="13" t="inlineStr">
        <is>
          <t>Merger/Acquisition</t>
        </is>
      </c>
      <c r="L230" s="13" t="n"/>
      <c r="M230" s="13" t="inlineStr">
        <is>
          <t>Completed</t>
        </is>
      </c>
      <c r="N230" s="16" t="n">
        <v>7.9</v>
      </c>
      <c r="O230" s="12" t="inlineStr">
        <is>
          <t>USD</t>
        </is>
      </c>
      <c r="R230" s="36" t="n"/>
      <c r="S230" s="16" t="n"/>
      <c r="T230" s="36" t="n"/>
      <c r="U230" s="16" t="n"/>
      <c r="V230" s="13" t="n"/>
      <c r="W230" s="16" t="n">
        <v>7.9</v>
      </c>
      <c r="X230" s="13" t="inlineStr">
        <is>
          <t>The company was acquired by Essentra (LON: ESNT) for $7.9 million on December 15, 2025. The company will receive a contingent payout of $ 1.2 million based on business performance over a one-year period. The acquisition complements Essentra's existing product expertise and provides strategic in-sourcing of manufacturing capabilities in the United States.</t>
        </is>
      </c>
      <c r="Y230" s="13" t="inlineStr">
        <is>
          <t>Corporate Backed or Acquired</t>
        </is>
      </c>
      <c r="Z230" s="13" t="inlineStr">
        <is>
          <t>Generating Revenue</t>
        </is>
      </c>
      <c r="AA230" s="13" t="inlineStr">
        <is>
          <t>Essentra (LON: ESNT)</t>
        </is>
      </c>
      <c r="AB230" s="13" t="inlineStr">
        <is>
          <t>Electrical Equipment</t>
        </is>
      </c>
      <c r="AC230" s="13" t="inlineStr">
        <is>
          <t>Manufacturing</t>
        </is>
      </c>
      <c r="AD230" s="13" t="inlineStr">
        <is>
          <t>Manufacturer of cable protection devices and engineered parts intended to serve industrial manufacturers such as aerospace, automotive, medical, telecom energy and power, rail transportation. The company specialises in wire and cable protection components, edge sealing and trim components, enclosure sealing products, cable and fiber management accessories, and related fastening and bundling hardware.</t>
        </is>
      </c>
      <c r="AE230" s="13" t="inlineStr">
        <is>
          <t>Southborough, MA</t>
        </is>
      </c>
      <c r="AF230" s="13" t="inlineStr">
        <is>
          <t>www.devicetech.com</t>
        </is>
      </c>
    </row>
    <row r="231" ht="42" customHeight="1">
      <c r="A231" s="18" t="inlineStr">
        <is>
          <t>USA-230</t>
        </is>
      </c>
      <c r="B231" s="18" t="inlineStr">
        <is>
          <t>USA</t>
        </is>
      </c>
      <c r="C231" s="18" t="inlineStr">
        <is>
          <t>USA</t>
        </is>
      </c>
      <c r="D231" s="19" t="inlineStr">
        <is>
          <t>Cable Connection</t>
        </is>
      </c>
      <c r="E231" s="19" t="inlineStr">
        <is>
          <t>BizLink Group</t>
        </is>
      </c>
      <c r="F231" s="18" t="n"/>
      <c r="G231" s="19" t="n"/>
      <c r="H231" s="20" t="n">
        <v>45597</v>
      </c>
      <c r="I231" s="20" t="n"/>
      <c r="J231" s="21" t="n">
        <v>2024</v>
      </c>
      <c r="K231" s="19" t="inlineStr">
        <is>
          <t>Merger/Acquisition</t>
        </is>
      </c>
      <c r="L231" s="19" t="n"/>
      <c r="M231" s="19" t="inlineStr">
        <is>
          <t>Completed</t>
        </is>
      </c>
      <c r="N231" s="22" t="n">
        <v>7.89</v>
      </c>
      <c r="O231" s="18" t="inlineStr">
        <is>
          <t>USD</t>
        </is>
      </c>
      <c r="R231" s="37" t="n"/>
      <c r="S231" s="22" t="n"/>
      <c r="T231" s="37" t="n"/>
      <c r="U231" s="22" t="n"/>
      <c r="V231" s="19" t="n"/>
      <c r="W231" s="22" t="n">
        <v>7.89</v>
      </c>
      <c r="X231" s="19" t="inlineStr">
        <is>
          <t>The company was acquired by BizLink Group (TAI: 3665) for $7.887 million on November 1, 2024. The integration of the company expands Bizink's expertise in custom cable assembly, wire harness, injection molding, high-speed machining, and box build solutions and will also enable BizLink to deliver more versatile and tailored solutions for an even broader range of customers across key sectors.</t>
        </is>
      </c>
      <c r="Y231" s="19" t="inlineStr">
        <is>
          <t>Corporate Backed or Acquired</t>
        </is>
      </c>
      <c r="Z231" s="19" t="inlineStr">
        <is>
          <t>Generating Revenue</t>
        </is>
      </c>
      <c r="AA231" s="19" t="inlineStr">
        <is>
          <t>BizLink Group (TAI: 3665) (Hwa-Tse Liang)</t>
        </is>
      </c>
      <c r="AB231" s="19" t="inlineStr">
        <is>
          <t>BPO/Outsource Services</t>
        </is>
      </c>
      <c r="AC231" s="19" t="n"/>
      <c r="AD231" s="19" t="inlineStr">
        <is>
          <t>Provider of comprehensive engineering and design services intended to offer connectivity and turnkey solutions through integrated manufacturing services. The company offers a wide range of capabilities, including wire harnesses, cable assemblies, advanced new product introduction, electro-mechanical assemblies, and box-build solutions for the healthcare, automotive, communications, semiconductor, and aerospace industries, enabling businesses to streamline their business operations.</t>
        </is>
      </c>
      <c r="AE231" s="19" t="inlineStr">
        <is>
          <t>Fremont, CA</t>
        </is>
      </c>
      <c r="AF231" s="19" t="inlineStr">
        <is>
          <t>www.cable-connection.com</t>
        </is>
      </c>
    </row>
    <row r="232" ht="42" customHeight="1">
      <c r="A232" s="12" t="inlineStr">
        <is>
          <t>USA-231</t>
        </is>
      </c>
      <c r="B232" s="12" t="inlineStr">
        <is>
          <t>USA</t>
        </is>
      </c>
      <c r="C232" s="12" t="inlineStr">
        <is>
          <t>USA</t>
        </is>
      </c>
      <c r="D232" s="13" t="inlineStr">
        <is>
          <t>ODAT Machine</t>
        </is>
      </c>
      <c r="E232" s="13" t="inlineStr">
        <is>
          <t>Howell Laboratories</t>
        </is>
      </c>
      <c r="F232" s="12" t="n"/>
      <c r="G232" s="13" t="n"/>
      <c r="H232" s="14" t="n">
        <v>45380</v>
      </c>
      <c r="I232" s="14" t="n"/>
      <c r="J232" s="15" t="n">
        <v>2024</v>
      </c>
      <c r="K232" s="13" t="inlineStr">
        <is>
          <t>Merger/Acquisition</t>
        </is>
      </c>
      <c r="L232" s="13" t="n"/>
      <c r="M232" s="13" t="inlineStr">
        <is>
          <t>Completed</t>
        </is>
      </c>
      <c r="N232" s="16" t="n">
        <v>7.8</v>
      </c>
      <c r="O232" s="12" t="inlineStr">
        <is>
          <t>USD</t>
        </is>
      </c>
      <c r="R232" s="36" t="n"/>
      <c r="S232" s="16" t="n"/>
      <c r="T232" s="36" t="n"/>
      <c r="U232" s="16" t="n"/>
      <c r="V232" s="13" t="n"/>
      <c r="W232" s="16" t="n">
        <v>7.8</v>
      </c>
      <c r="X232" s="13" t="inlineStr">
        <is>
          <t>The company was acquired by Howell Laboratories for $7.8 million on March 29, 2024.</t>
        </is>
      </c>
      <c r="Y232" s="13" t="inlineStr">
        <is>
          <t>Corporate Backed or Acquired</t>
        </is>
      </c>
      <c r="Z232" s="13" t="inlineStr">
        <is>
          <t>Generating Revenue</t>
        </is>
      </c>
      <c r="AA232" s="13" t="inlineStr">
        <is>
          <t>Howell Laboratories (Joseph McDonnell)</t>
        </is>
      </c>
      <c r="AB232" s="13" t="inlineStr">
        <is>
          <t>Industrial Supplies and Parts</t>
        </is>
      </c>
      <c r="AC232" s="13" t="n"/>
      <c r="AD232" s="13" t="inlineStr">
        <is>
          <t>Manufacturer of industrial supplies and parts intended to serve the aerospace, defense, semiconductor, and optics industries. The company offers products and services including CNC milling, CNC turning, CNC grinding, welding, injection molding, heat treating, bead blasting, REM Process Finishing, in-house tools and fixture making to clients.</t>
        </is>
      </c>
      <c r="AE232" s="13" t="inlineStr">
        <is>
          <t>Gorham, ME</t>
        </is>
      </c>
      <c r="AF232" s="13" t="inlineStr">
        <is>
          <t>www.odatmachine.com</t>
        </is>
      </c>
    </row>
    <row r="233" ht="42" customHeight="1">
      <c r="A233" s="18" t="inlineStr">
        <is>
          <t>USA-232</t>
        </is>
      </c>
      <c r="B233" s="18" t="inlineStr">
        <is>
          <t>USA</t>
        </is>
      </c>
      <c r="C233" s="18" t="inlineStr">
        <is>
          <t>USA</t>
        </is>
      </c>
      <c r="D233" s="19" t="inlineStr">
        <is>
          <t>Innovative Precision</t>
        </is>
      </c>
      <c r="E233" s="19" t="inlineStr">
        <is>
          <t>Karman Holdings</t>
        </is>
      </c>
      <c r="F233" s="18" t="n"/>
      <c r="G233" s="19" t="n"/>
      <c r="H233" s="20" t="n">
        <v>45749</v>
      </c>
      <c r="I233" s="20" t="n"/>
      <c r="J233" s="21" t="n">
        <v>2025</v>
      </c>
      <c r="K233" s="19" t="inlineStr">
        <is>
          <t>Merger/Acquisition</t>
        </is>
      </c>
      <c r="L233" s="19" t="n"/>
      <c r="M233" s="19" t="inlineStr">
        <is>
          <t>Completed</t>
        </is>
      </c>
      <c r="N233" s="22" t="n">
        <v>7.7</v>
      </c>
      <c r="O233" s="18" t="inlineStr">
        <is>
          <t>USD</t>
        </is>
      </c>
      <c r="R233" s="37" t="n"/>
      <c r="S233" s="22" t="n"/>
      <c r="T233" s="37" t="n"/>
      <c r="U233" s="22" t="n"/>
      <c r="V233" s="19" t="n"/>
      <c r="W233" s="22" t="n">
        <v>7.7</v>
      </c>
      <c r="X233" s="19" t="inlineStr">
        <is>
          <t>The company was acquired by Karman Holdings (NYS: KRMN) for an estimated $7.7 million on April 2, 2025.</t>
        </is>
      </c>
      <c r="Y233" s="19" t="inlineStr">
        <is>
          <t>Formerly PE-Backed</t>
        </is>
      </c>
      <c r="Z233" s="19" t="inlineStr">
        <is>
          <t>Generating Revenue</t>
        </is>
      </c>
      <c r="AA233" s="19" t="inlineStr">
        <is>
          <t>Karman Holdings (NYS: KRMN)</t>
        </is>
      </c>
      <c r="AB233" s="19" t="inlineStr">
        <is>
          <t>Industrial Supplies and Parts</t>
        </is>
      </c>
      <c r="AC233" s="19" t="n"/>
      <c r="AD233" s="19" t="inlineStr">
        <is>
          <t>Provider of precision machined components, tooling and assembling services intended for aerospace, medical, automotive and defense industries. The company offers computer numerical control (CNC) milling, turning, lathe, wire, sinker and drill electrical discharge machining (EDM) services, helping clients with competitively priced products.</t>
        </is>
      </c>
      <c r="AE233" s="19" t="inlineStr">
        <is>
          <t>Ogden, UT</t>
        </is>
      </c>
      <c r="AF233" s="19" t="inlineStr">
        <is>
          <t>www.innovativeprecision.com</t>
        </is>
      </c>
    </row>
    <row r="234" ht="42" customHeight="1">
      <c r="A234" s="12" t="inlineStr">
        <is>
          <t>USA-233</t>
        </is>
      </c>
      <c r="B234" s="12" t="inlineStr">
        <is>
          <t>USA</t>
        </is>
      </c>
      <c r="C234" s="12" t="inlineStr">
        <is>
          <t>USA</t>
        </is>
      </c>
      <c r="D234" s="13" t="inlineStr">
        <is>
          <t>UNIPEC</t>
        </is>
      </c>
      <c r="E234" s="13" t="inlineStr">
        <is>
          <t>UFP Technologies</t>
        </is>
      </c>
      <c r="F234" s="12" t="n"/>
      <c r="G234" s="13" t="n"/>
      <c r="H234" s="14" t="n">
        <v>45840</v>
      </c>
      <c r="I234" s="14" t="n"/>
      <c r="J234" s="15" t="n">
        <v>2025</v>
      </c>
      <c r="K234" s="13" t="inlineStr">
        <is>
          <t>Merger/Acquisition</t>
        </is>
      </c>
      <c r="L234" s="13" t="n"/>
      <c r="M234" s="13" t="inlineStr">
        <is>
          <t>Completed</t>
        </is>
      </c>
      <c r="N234" s="16" t="n">
        <v>7.62</v>
      </c>
      <c r="O234" s="12" t="inlineStr">
        <is>
          <t>USD</t>
        </is>
      </c>
      <c r="P234" s="50" t="n">
        <v>1.52</v>
      </c>
      <c r="Q234" s="50" t="n">
        <v>3.81</v>
      </c>
      <c r="R234" s="36" t="n">
        <v>3.81</v>
      </c>
      <c r="S234" s="16" t="n">
        <v>2</v>
      </c>
      <c r="T234" s="36" t="n">
        <v>1.52</v>
      </c>
      <c r="U234" s="16" t="n">
        <v>5</v>
      </c>
      <c r="V234" s="13" t="n"/>
      <c r="W234" s="16" t="n">
        <v>7.62</v>
      </c>
      <c r="X234" s="13" t="inlineStr">
        <is>
          <t>The company was acquired by UFP Technologies (NAS: UFPT) for $7.62 million on July 2, 2025. The acquisitions strengthen UFP's capabilities in tight tolerance film components and thermoplastic molding, particularly complementing its Welch Fluorocarbon operation and DAS business in the Dominican Republic.</t>
        </is>
      </c>
      <c r="Y234" s="13" t="inlineStr">
        <is>
          <t>Corporate Backed or Acquired</t>
        </is>
      </c>
      <c r="Z234" s="13" t="inlineStr">
        <is>
          <t>Generating Revenue</t>
        </is>
      </c>
      <c r="AA234" s="13" t="inlineStr">
        <is>
          <t>UFP Technologies (NAS: UFPT) (R. Bailly)</t>
        </is>
      </c>
      <c r="AB234" s="13" t="inlineStr">
        <is>
          <t>Industrial Supplies and Parts</t>
        </is>
      </c>
      <c r="AC234" s="13" t="inlineStr">
        <is>
          <t>Manufacturing</t>
        </is>
      </c>
      <c r="AD234" s="13" t="inlineStr">
        <is>
          <t>Manufacturer of custom thermoformed plastic products and components for medical, biomedical, and industrial applications. The company produces thin-gauge thermoformed parts such as insulators, diaphragms, washers, gaskets, discs, bushings, gears, plates, and spacers, as well as operates an in-house tool and die facility and utilizes thermoforming equipment to deliver precision components tailored to industry-specific needs, enabling aerospace, medical, automotive, and electronics markets to access highly customized, close-tolerance parts with fine detail, rapid prototyping, and scalable production volumes.</t>
        </is>
      </c>
      <c r="AE234" s="13" t="inlineStr">
        <is>
          <t>Rockville, MD</t>
        </is>
      </c>
      <c r="AF234" s="13" t="inlineStr">
        <is>
          <t>www.unipec.net</t>
        </is>
      </c>
    </row>
    <row r="235" ht="42" customHeight="1">
      <c r="A235" s="18" t="inlineStr">
        <is>
          <t>USA-234</t>
        </is>
      </c>
      <c r="B235" s="18" t="inlineStr">
        <is>
          <t>USA</t>
        </is>
      </c>
      <c r="C235" s="18" t="inlineStr">
        <is>
          <t>USA</t>
        </is>
      </c>
      <c r="D235" s="19" t="inlineStr">
        <is>
          <t>NASCENTechnology Manufacturing</t>
        </is>
      </c>
      <c r="E235" s="19" t="inlineStr">
        <is>
          <t>Standex International</t>
        </is>
      </c>
      <c r="F235" s="18" t="n"/>
      <c r="G235" s="19" t="n"/>
      <c r="H235" s="20" t="n">
        <v>45614</v>
      </c>
      <c r="I235" s="20" t="n"/>
      <c r="J235" s="21" t="n">
        <v>2024</v>
      </c>
      <c r="K235" s="19" t="inlineStr">
        <is>
          <t>Merger/Acquisition</t>
        </is>
      </c>
      <c r="L235" s="19" t="n"/>
      <c r="M235" s="19" t="inlineStr">
        <is>
          <t>Completed</t>
        </is>
      </c>
      <c r="N235" s="22" t="n">
        <v>7.6</v>
      </c>
      <c r="O235" s="18" t="inlineStr">
        <is>
          <t>USD</t>
        </is>
      </c>
      <c r="R235" s="37" t="n"/>
      <c r="S235" s="22" t="n"/>
      <c r="T235" s="37" t="n"/>
      <c r="U235" s="22" t="n"/>
      <c r="V235" s="19" t="inlineStr">
        <is>
          <t>Corporate Divestiture</t>
        </is>
      </c>
      <c r="W235" s="22" t="n">
        <v>7.6</v>
      </c>
      <c r="X235" s="19" t="inlineStr">
        <is>
          <t>The company, a subsidiary of Newava Technology, was acquired by Standex International (NYS: SXI) for $7.6 million on November 18, 2024.</t>
        </is>
      </c>
      <c r="Y235" s="19" t="inlineStr">
        <is>
          <t>Corporate Backed or Acquired</t>
        </is>
      </c>
      <c r="Z235" s="19" t="inlineStr">
        <is>
          <t>Generating Revenue</t>
        </is>
      </c>
      <c r="AA235" s="19" t="inlineStr">
        <is>
          <t>Standex International (NYS: SXI)</t>
        </is>
      </c>
      <c r="AB235" s="19" t="inlineStr">
        <is>
          <t>Electrical Equipment</t>
        </is>
      </c>
      <c r="AC235" s="19" t="inlineStr">
        <is>
          <t>Manufacturing</t>
        </is>
      </c>
      <c r="AD235" s="19" t="inlineStr">
        <is>
          <t>Manufacturer of multi-layer ceramic transformers designed for defense, medical and energy exploration applications. The company's products include flyback transformers, high-temperature power inductors, high-temperature flyback and pulse transformers.</t>
        </is>
      </c>
      <c r="AE235" s="19" t="inlineStr">
        <is>
          <t>Watertown, SD</t>
        </is>
      </c>
      <c r="AF235" s="19" t="inlineStr">
        <is>
          <t>www.nascentechnology.com</t>
        </is>
      </c>
    </row>
    <row r="236" ht="42" customHeight="1">
      <c r="A236" s="12" t="inlineStr">
        <is>
          <t>USA-235</t>
        </is>
      </c>
      <c r="B236" s="12" t="inlineStr">
        <is>
          <t>USA</t>
        </is>
      </c>
      <c r="C236" s="12" t="inlineStr">
        <is>
          <t>USA</t>
        </is>
      </c>
      <c r="D236" s="13" t="inlineStr">
        <is>
          <t>Invocon</t>
        </is>
      </c>
      <c r="E236" s="13" t="inlineStr">
        <is>
          <t>Cemtrex</t>
        </is>
      </c>
      <c r="F236" s="12" t="n"/>
      <c r="G236" s="13" t="n"/>
      <c r="H236" s="14" t="n">
        <v>46030</v>
      </c>
      <c r="I236" s="14" t="n"/>
      <c r="J236" s="15" t="n">
        <v>2026</v>
      </c>
      <c r="K236" s="13" t="inlineStr">
        <is>
          <t>Merger/Acquisition</t>
        </is>
      </c>
      <c r="L236" s="13" t="n"/>
      <c r="M236" s="13" t="inlineStr">
        <is>
          <t>Completed</t>
        </is>
      </c>
      <c r="N236" s="16" t="n">
        <v>7.06</v>
      </c>
      <c r="O236" s="12" t="inlineStr">
        <is>
          <t>USD</t>
        </is>
      </c>
      <c r="R236" s="36" t="n"/>
      <c r="S236" s="16" t="n"/>
      <c r="T236" s="36" t="n"/>
      <c r="U236" s="16" t="n"/>
      <c r="V236" s="13" t="n"/>
      <c r="W236" s="16" t="n">
        <v>7.06</v>
      </c>
      <c r="X236" s="13" t="inlineStr">
        <is>
          <t>The company was acquired by Cemtrex (NAS: CETX) for $7.06 million on January 8, 2026. This acquisition provides the foundation for Cemtrex's new Aerospace and Defense segment and positions it to participate in a wider range of engineering programs.</t>
        </is>
      </c>
      <c r="Y236" s="13" t="inlineStr">
        <is>
          <t>Corporate Backed or Acquired</t>
        </is>
      </c>
      <c r="Z236" s="13" t="inlineStr">
        <is>
          <t>Generating Revenue</t>
        </is>
      </c>
      <c r="AA236" s="13" t="inlineStr">
        <is>
          <t>Cemtrex (NAS: CETX) (Saagar Govil)</t>
        </is>
      </c>
      <c r="AB236" s="13" t="inlineStr">
        <is>
          <t>Aerospace and Defense</t>
        </is>
      </c>
      <c r="AC236" s="13" t="inlineStr">
        <is>
          <t>Manufacturing</t>
        </is>
      </c>
      <c r="AD236" s="13" t="inlineStr">
        <is>
          <t>Manufacturer of avionics hardware and wireless instrumentation systems intended to serve aerospace and defense markets. The company designs and develops specialized products such as Digital Multi-Converter (DMC), Invocon Flight Computer, Remote Ground Support Equipment, and power control assemblies with a focus on high-reliability and low-power solutions, thereby enabling mission-critical performance in extreme environments.</t>
        </is>
      </c>
      <c r="AE236" s="13" t="inlineStr">
        <is>
          <t>Conroe, TX</t>
        </is>
      </c>
      <c r="AF236" s="13" t="inlineStr">
        <is>
          <t>www.invocon.com</t>
        </is>
      </c>
    </row>
    <row r="237" ht="42" customHeight="1">
      <c r="A237" s="18" t="inlineStr">
        <is>
          <t>USA-236</t>
        </is>
      </c>
      <c r="B237" s="18" t="inlineStr">
        <is>
          <t>USA</t>
        </is>
      </c>
      <c r="C237" s="18" t="inlineStr">
        <is>
          <t>USA</t>
        </is>
      </c>
      <c r="D237" s="19" t="inlineStr">
        <is>
          <t>Ami Legacy</t>
        </is>
      </c>
      <c r="E237" s="19" t="inlineStr">
        <is>
          <t>Lightpath Technologies</t>
        </is>
      </c>
      <c r="F237" s="18" t="n"/>
      <c r="G237" s="19" t="n"/>
      <c r="H237" s="20" t="n">
        <v>46042</v>
      </c>
      <c r="I237" s="20" t="n"/>
      <c r="J237" s="21" t="n">
        <v>2026</v>
      </c>
      <c r="K237" s="19" t="inlineStr">
        <is>
          <t>Merger/Acquisition</t>
        </is>
      </c>
      <c r="L237" s="19" t="n"/>
      <c r="M237" s="19" t="inlineStr">
        <is>
          <t>Completed</t>
        </is>
      </c>
      <c r="N237" s="22" t="n">
        <v>7</v>
      </c>
      <c r="O237" s="18" t="inlineStr">
        <is>
          <t>USD</t>
        </is>
      </c>
      <c r="R237" s="37" t="n"/>
      <c r="S237" s="22" t="n"/>
      <c r="T237" s="37" t="n"/>
      <c r="U237" s="22" t="n"/>
      <c r="V237" s="19" t="n"/>
      <c r="W237" s="22" t="n">
        <v>7</v>
      </c>
      <c r="X237" s="19" t="inlineStr">
        <is>
          <t>The company was acquired by Lightpath Technologies (NAS: LPTH) for $7 million on January 20, 2026. The acquisition strengthens Lightpath Technologies' industry position, glass supply chain, and, with the addition of large-diameter glass plate capabilities, further solidifies our transition from a pure component provider to a truly vertically integrated provider of subsystems and solutions for IR imaging.</t>
        </is>
      </c>
      <c r="Y237" s="19" t="inlineStr">
        <is>
          <t>Corporate Backed or Acquired</t>
        </is>
      </c>
      <c r="Z237" s="19" t="inlineStr">
        <is>
          <t>Generating Revenue</t>
        </is>
      </c>
      <c r="AA237" s="19" t="inlineStr">
        <is>
          <t>Lightpath Technologies (NAS: LPTH) (Shmuel Rubin)</t>
        </is>
      </c>
      <c r="AB237" s="19" t="inlineStr">
        <is>
          <t>Industrial Supplies and Parts</t>
        </is>
      </c>
      <c r="AC237" s="19" t="inlineStr">
        <is>
          <t>Manufacturing</t>
        </is>
      </c>
      <c r="AD237" s="19" t="inlineStr">
        <is>
          <t>Manufacturer of infrared transmitting glass materials intended to serve optical manufacturers, defense contractors, and commercial sensor markets across the United States. The company offers flanges for IR windows, a range of chalcogenide glasses, prototype scientific glassblowing, quartz, Pyrex, and repair.</t>
        </is>
      </c>
      <c r="AE237" s="19" t="inlineStr">
        <is>
          <t>Garland, TX</t>
        </is>
      </c>
      <c r="AF237" s="19" t="inlineStr">
        <is>
          <t>www.amorphousmaterials.com</t>
        </is>
      </c>
    </row>
    <row r="238" ht="42" customHeight="1">
      <c r="A238" s="12" t="inlineStr">
        <is>
          <t>USA-237</t>
        </is>
      </c>
      <c r="B238" s="12" t="inlineStr">
        <is>
          <t>USA</t>
        </is>
      </c>
      <c r="C238" s="12" t="inlineStr">
        <is>
          <t>USA</t>
        </is>
      </c>
      <c r="D238" s="13" t="inlineStr">
        <is>
          <t>Gaxos.ai (NAS: GXAI)</t>
        </is>
      </c>
      <c r="E238" s="13" t="n"/>
      <c r="F238" s="12" t="n"/>
      <c r="G238" s="13" t="n"/>
      <c r="H238" s="14" t="n">
        <v>44972</v>
      </c>
      <c r="I238" s="14" t="n"/>
      <c r="J238" s="15" t="n">
        <v>2023</v>
      </c>
      <c r="K238" s="13" t="inlineStr">
        <is>
          <t>IPO</t>
        </is>
      </c>
      <c r="L238" s="13" t="n"/>
      <c r="M238" s="13" t="inlineStr">
        <is>
          <t>Completed</t>
        </is>
      </c>
      <c r="N238" s="16" t="n">
        <v>7</v>
      </c>
      <c r="O238" s="12" t="inlineStr">
        <is>
          <t>USD</t>
        </is>
      </c>
      <c r="R238" s="36" t="n">
        <v>-4.93</v>
      </c>
      <c r="S238" s="16" t="n">
        <v>-1.42</v>
      </c>
      <c r="T238" s="36" t="n"/>
      <c r="U238" s="16" t="n">
        <v>0</v>
      </c>
      <c r="V238" s="13" t="n"/>
      <c r="W238" s="16" t="n">
        <v>50.23</v>
      </c>
      <c r="X238" s="13" t="inlineStr">
        <is>
          <t>The company raised $7 million in its initial public offering on the Nasdaq stock exchange under the ticker symbol of NFTG on February 15, 2023. A total of 1,686,747 shares were sold at $4.15 per share. After the offering, there was a total of 12,104,593 outstanding shares at $4.15 per share, valuing the company at $50.23 million.</t>
        </is>
      </c>
      <c r="Y238" s="13" t="inlineStr">
        <is>
          <t>Corporation</t>
        </is>
      </c>
      <c r="Z238" s="13" t="inlineStr">
        <is>
          <t>Generating Revenue</t>
        </is>
      </c>
      <c r="AA238" s="13" t="n"/>
      <c r="AB238" s="13" t="inlineStr">
        <is>
          <t>Entertainment Software</t>
        </is>
      </c>
      <c r="AC238" s="13" t="inlineStr">
        <is>
          <t>Artificial Intelligence &amp; Machine Learning, Gaming</t>
        </is>
      </c>
      <c r="AD238" s="13" t="inlineStr">
        <is>
          <t>Gaxos.AI Inc is a technology company focused on reshaping the way people interact with artificial intelligence across everyday life and high-impact industries. It is engaged in building a portfolio of AI-powered solutions designed to make advanced technology more practical, accessible, and transformative. The company's portfolio spans defense, health and wellness, entertainment, and productivity - bringing intelligent tools to markets where innovation can drive meaningful real-world outcomes. It operates as a single operating segment technology-based company that is developing applications aimed at redefining the way it utilizes artificial intelligence (AI) to optimize the user experience.</t>
        </is>
      </c>
      <c r="AE238" s="13" t="inlineStr">
        <is>
          <t>Roseland, NJ</t>
        </is>
      </c>
      <c r="AF238" s="13" t="inlineStr">
        <is>
          <t>www.gaxos.ai</t>
        </is>
      </c>
    </row>
    <row r="239" ht="42" customHeight="1">
      <c r="A239" s="18" t="inlineStr">
        <is>
          <t>USA-238</t>
        </is>
      </c>
      <c r="B239" s="18" t="inlineStr">
        <is>
          <t>USA</t>
        </is>
      </c>
      <c r="C239" s="18" t="inlineStr">
        <is>
          <t>USA</t>
        </is>
      </c>
      <c r="D239" s="19" t="inlineStr">
        <is>
          <t>GTMR</t>
        </is>
      </c>
      <c r="E239" s="19" t="inlineStr">
        <is>
          <t>Castellum</t>
        </is>
      </c>
      <c r="F239" s="18" t="n"/>
      <c r="G239" s="19" t="n"/>
      <c r="H239" s="20" t="n">
        <v>45008</v>
      </c>
      <c r="I239" s="20" t="n"/>
      <c r="J239" s="21" t="n">
        <v>2023</v>
      </c>
      <c r="K239" s="19" t="inlineStr">
        <is>
          <t>Merger/Acquisition</t>
        </is>
      </c>
      <c r="L239" s="19" t="n"/>
      <c r="M239" s="19" t="inlineStr">
        <is>
          <t>Completed</t>
        </is>
      </c>
      <c r="N239" s="22" t="n">
        <v>6.71</v>
      </c>
      <c r="O239" s="18" t="inlineStr">
        <is>
          <t>USD</t>
        </is>
      </c>
      <c r="R239" s="37" t="n"/>
      <c r="S239" s="22" t="n"/>
      <c r="T239" s="37" t="n"/>
      <c r="U239" s="22" t="n"/>
      <c r="V239" s="19" t="n"/>
      <c r="W239" s="22" t="n">
        <v>6.71</v>
      </c>
      <c r="X239" s="19" t="inlineStr">
        <is>
          <t>The company was acquired by Castellum (ASE: CTM) for $6.71 million on March 23, 2023.</t>
        </is>
      </c>
      <c r="Y239" s="19" t="inlineStr">
        <is>
          <t>Corporate Backed or Acquired</t>
        </is>
      </c>
      <c r="Z239" s="19" t="inlineStr">
        <is>
          <t>Generating Revenue</t>
        </is>
      </c>
      <c r="AA239" s="19" t="inlineStr">
        <is>
          <t>Castellum (ASE: CTM) (Mark Fuller)</t>
        </is>
      </c>
      <c r="AB239" s="19" t="inlineStr">
        <is>
          <t>Aerospace and Defense</t>
        </is>
      </c>
      <c r="AC239" s="19" t="inlineStr">
        <is>
          <t>Manufacturing</t>
        </is>
      </c>
      <c r="AD239" s="19" t="inlineStr">
        <is>
          <t>Manufacturer of communication and electronic systems and services intended to use for military and commercial platforms. The company engages in engineering services that offer design engineering, prototype manufacturing and testing of cutting-edge tactical systems.</t>
        </is>
      </c>
      <c r="AE239" s="19" t="inlineStr">
        <is>
          <t>Hollywood, MD</t>
        </is>
      </c>
      <c r="AF239" s="19" t="inlineStr">
        <is>
          <t>www.gtmrinc.com</t>
        </is>
      </c>
    </row>
    <row r="240" ht="42" customHeight="1">
      <c r="A240" s="12" t="inlineStr">
        <is>
          <t>USA-239</t>
        </is>
      </c>
      <c r="B240" s="12" t="inlineStr">
        <is>
          <t>USA</t>
        </is>
      </c>
      <c r="C240" s="12" t="inlineStr">
        <is>
          <t>USA</t>
        </is>
      </c>
      <c r="D240" s="13" t="inlineStr">
        <is>
          <t>Simulacra</t>
        </is>
      </c>
      <c r="E240" s="13" t="inlineStr">
        <is>
          <t>Realbotix</t>
        </is>
      </c>
      <c r="F240" s="12" t="n"/>
      <c r="G240" s="13" t="n"/>
      <c r="H240" s="14" t="n">
        <v>45400</v>
      </c>
      <c r="I240" s="14" t="n"/>
      <c r="J240" s="15" t="n">
        <v>2024</v>
      </c>
      <c r="K240" s="13" t="inlineStr">
        <is>
          <t>Merger/Acquisition</t>
        </is>
      </c>
      <c r="L240" s="13" t="n"/>
      <c r="M240" s="13" t="inlineStr">
        <is>
          <t>Completed</t>
        </is>
      </c>
      <c r="N240" s="16" t="n">
        <v>6.37</v>
      </c>
      <c r="O240" s="12" t="inlineStr">
        <is>
          <t>USD</t>
        </is>
      </c>
      <c r="R240" s="36" t="n"/>
      <c r="S240" s="16" t="n"/>
      <c r="T240" s="36" t="n"/>
      <c r="U240" s="16" t="n"/>
      <c r="V240" s="13" t="n"/>
      <c r="W240" s="16" t="n">
        <v>6.37</v>
      </c>
      <c r="X240" s="13" t="inlineStr">
        <is>
          <t>The company was acquired by Realbotix for $6.368 million on April 18, 2024.</t>
        </is>
      </c>
      <c r="Y240" s="13" t="inlineStr">
        <is>
          <t>Corporate Backed or Acquired</t>
        </is>
      </c>
      <c r="Z240" s="13" t="inlineStr">
        <is>
          <t>Generating Revenue</t>
        </is>
      </c>
      <c r="AA240" s="13" t="inlineStr">
        <is>
          <t>Realbotix (TSX: XBOT) (Andrew Kiguel)</t>
        </is>
      </c>
      <c r="AB240" s="13" t="inlineStr">
        <is>
          <t>Machinery (B2B)</t>
        </is>
      </c>
      <c r="AC240" s="13" t="inlineStr">
        <is>
          <t>Artificial Intelligence &amp; Machine Learning, Robotics and Drones</t>
        </is>
      </c>
      <c r="AD240" s="13" t="inlineStr">
        <is>
          <t>Operator of an artificial intelligence robotics firm based in Las Vegas, Nevada. The company specializes in robotics to engage consumers with human-like appearance and conversation, with artificial intelligence built on a database of conversational turns and actual human interactions.</t>
        </is>
      </c>
      <c r="AE240" s="13" t="inlineStr">
        <is>
          <t>Las Vegas, NV</t>
        </is>
      </c>
      <c r="AF240" s="13" t="inlineStr">
        <is>
          <t>www.simulacracorp.com</t>
        </is>
      </c>
    </row>
    <row r="241" ht="42" customHeight="1">
      <c r="A241" s="18" t="inlineStr">
        <is>
          <t>USA-240</t>
        </is>
      </c>
      <c r="B241" s="18" t="inlineStr">
        <is>
          <t>USA</t>
        </is>
      </c>
      <c r="C241" s="18" t="inlineStr">
        <is>
          <t>USA</t>
        </is>
      </c>
      <c r="D241" s="19" t="inlineStr">
        <is>
          <t>Cangro Industries</t>
        </is>
      </c>
      <c r="E241" s="19" t="inlineStr">
        <is>
          <t>Applied Industrial Technologies</t>
        </is>
      </c>
      <c r="F241" s="18" t="n"/>
      <c r="G241" s="19" t="n"/>
      <c r="H241" s="20" t="n">
        <v>45139</v>
      </c>
      <c r="I241" s="20" t="n"/>
      <c r="J241" s="21" t="n">
        <v>2023</v>
      </c>
      <c r="K241" s="19" t="inlineStr">
        <is>
          <t>Merger/Acquisition</t>
        </is>
      </c>
      <c r="L241" s="19" t="n"/>
      <c r="M241" s="19" t="inlineStr">
        <is>
          <t>Completed</t>
        </is>
      </c>
      <c r="N241" s="22" t="n">
        <v>6.22</v>
      </c>
      <c r="O241" s="18" t="inlineStr">
        <is>
          <t>USD</t>
        </is>
      </c>
      <c r="R241" s="37" t="n"/>
      <c r="S241" s="22" t="n"/>
      <c r="T241" s="37" t="n"/>
      <c r="U241" s="22" t="n"/>
      <c r="V241" s="19" t="n"/>
      <c r="W241" s="22" t="n">
        <v>6.22</v>
      </c>
      <c r="X241" s="19" t="inlineStr">
        <is>
          <t>The company was acquired by Applied Industrial Technologies (NYS: AIT) for $6.22 million on August 1, 2023. With this acquisition, Applied Industrial Technologies aims to bolster its local presence and provide its customers with leading technical support.</t>
        </is>
      </c>
      <c r="Y241" s="19" t="inlineStr">
        <is>
          <t>Corporate Backed or Acquired</t>
        </is>
      </c>
      <c r="Z241" s="19" t="inlineStr">
        <is>
          <t>Generating Revenue</t>
        </is>
      </c>
      <c r="AA241" s="19" t="inlineStr">
        <is>
          <t>Applied Industrial Technologies (NYS: AIT) (Neil Schrimsher)</t>
        </is>
      </c>
      <c r="AB241" s="19" t="inlineStr">
        <is>
          <t>Distributors/Wholesale</t>
        </is>
      </c>
      <c r="AC241" s="19" t="inlineStr">
        <is>
          <t>Industrials</t>
        </is>
      </c>
      <c r="AD241" s="19" t="inlineStr">
        <is>
          <t>Supplier of electro and mechanical power transmission products, and motion control systems intended for aerospace, electrical, medical, automotive industries. The company distributes products such as adhesives, sealants, lubricants, bearings, chain drives, fastening devices, shaft couplings, flange blocks, belt drives, and others, thereby enabling its clients to be provided with cost-effective solutions.</t>
        </is>
      </c>
      <c r="AE241" s="19" t="inlineStr">
        <is>
          <t>Farmingdale, NY</t>
        </is>
      </c>
      <c r="AF241" s="19" t="inlineStr">
        <is>
          <t>www.cangroindustries.com</t>
        </is>
      </c>
    </row>
    <row r="242" ht="42" customHeight="1">
      <c r="A242" s="12" t="inlineStr">
        <is>
          <t>USA-241</t>
        </is>
      </c>
      <c r="B242" s="12" t="inlineStr">
        <is>
          <t>USA</t>
        </is>
      </c>
      <c r="C242" s="12" t="inlineStr">
        <is>
          <t>USA</t>
        </is>
      </c>
      <c r="D242" s="13" t="inlineStr">
        <is>
          <t>Skytech Automated Solutions</t>
        </is>
      </c>
      <c r="E242" s="13" t="inlineStr">
        <is>
          <t>NightFood Holdings</t>
        </is>
      </c>
      <c r="F242" s="12" t="n"/>
      <c r="G242" s="13" t="n"/>
      <c r="H242" s="14" t="n">
        <v>45747</v>
      </c>
      <c r="I242" s="14" t="n"/>
      <c r="J242" s="15" t="n">
        <v>2025</v>
      </c>
      <c r="K242" s="13" t="inlineStr">
        <is>
          <t>Merger/Acquisition</t>
        </is>
      </c>
      <c r="L242" s="13" t="n"/>
      <c r="M242" s="13" t="inlineStr">
        <is>
          <t>Completed</t>
        </is>
      </c>
      <c r="N242" s="16" t="n">
        <v>6.2</v>
      </c>
      <c r="O242" s="12" t="inlineStr">
        <is>
          <t>USD</t>
        </is>
      </c>
      <c r="R242" s="36" t="n"/>
      <c r="S242" s="16" t="n"/>
      <c r="T242" s="36" t="n"/>
      <c r="U242" s="16" t="n"/>
      <c r="V242" s="13" t="n"/>
      <c r="W242" s="16" t="n">
        <v>6.2</v>
      </c>
      <c r="X242" s="13" t="inlineStr">
        <is>
          <t>The company was acquired by NightFood Holdings (PINX: NGTF) for approximately $6.2 million on March 31, 2025. The company will receive an earnout contingent payout of $5 million based upon achieving progressive revenue milestones with earnout payments tied to revenue targets of $5 million, $10 million, $25 million and $50 million. This acquisition marks a pivotal milestone in NightFood Holdings' aggressive expansion strategy, reinforcing its leadership in the booming Robot-as-a-Service sector.</t>
        </is>
      </c>
      <c r="Y242" s="13" t="inlineStr">
        <is>
          <t>Corporate Backed or Acquired</t>
        </is>
      </c>
      <c r="Z242" s="13" t="inlineStr">
        <is>
          <t>Generating Revenue</t>
        </is>
      </c>
      <c r="AA242" s="13" t="inlineStr">
        <is>
          <t>NightFood Holdings (PINX: NGTF) (Jamie Steigerwald)</t>
        </is>
      </c>
      <c r="AB242" s="13" t="inlineStr">
        <is>
          <t>Other Hardware</t>
        </is>
      </c>
      <c r="AC242" s="13" t="inlineStr">
        <is>
          <t>Manufacturing, Robotics and Drones</t>
        </is>
      </c>
      <c r="AD242" s="13" t="inlineStr">
        <is>
          <t>Manufacturer of robots catering to the hospitality industry. The company offers robots that are designed with AI-powered automation solutions, enhancing guest experiences and streamlining operations.</t>
        </is>
      </c>
      <c r="AE242" s="13" t="inlineStr">
        <is>
          <t>DE</t>
        </is>
      </c>
      <c r="AF242" s="13" t="inlineStr">
        <is>
          <t>www.skytechas.com</t>
        </is>
      </c>
    </row>
    <row r="243" ht="42" customHeight="1">
      <c r="A243" s="18" t="inlineStr">
        <is>
          <t>USA-242</t>
        </is>
      </c>
      <c r="B243" s="18" t="inlineStr">
        <is>
          <t>USA</t>
        </is>
      </c>
      <c r="C243" s="18" t="inlineStr">
        <is>
          <t>USA</t>
        </is>
      </c>
      <c r="D243" s="19" t="inlineStr">
        <is>
          <t>Euro-America Shipping &amp; Trade</t>
        </is>
      </c>
      <c r="E243" s="19" t="inlineStr">
        <is>
          <t>Clarkson</t>
        </is>
      </c>
      <c r="F243" s="18" t="n"/>
      <c r="G243" s="19" t="n"/>
      <c r="H243" s="20" t="n">
        <v>45747</v>
      </c>
      <c r="I243" s="20" t="n"/>
      <c r="J243" s="21" t="n">
        <v>2025</v>
      </c>
      <c r="K243" s="19" t="inlineStr">
        <is>
          <t>Merger/Acquisition</t>
        </is>
      </c>
      <c r="L243" s="19" t="n"/>
      <c r="M243" s="19" t="inlineStr">
        <is>
          <t>Completed</t>
        </is>
      </c>
      <c r="N243" s="22" t="n">
        <v>6.06</v>
      </c>
      <c r="O243" s="18" t="inlineStr">
        <is>
          <t>USD</t>
        </is>
      </c>
      <c r="R243" s="37" t="n"/>
      <c r="S243" s="22" t="n"/>
      <c r="T243" s="37" t="n"/>
      <c r="U243" s="22" t="n"/>
      <c r="V243" s="19" t="n"/>
      <c r="W243" s="22" t="n">
        <v>6.06</v>
      </c>
      <c r="X243" s="19" t="inlineStr">
        <is>
          <t>The company was acquired by Clarkson (LON: CKN), a subsidiary of Computershare Investor, for GBP 4.7 million on March 31, 2025. The company will receive a contingent payout of GBP 2.7 million after completion of future events. The acquisition enhances Clarkson's capability to expand its presence in United States.</t>
        </is>
      </c>
      <c r="Y243" s="19" t="inlineStr">
        <is>
          <t>Corporate Backed or Acquired</t>
        </is>
      </c>
      <c r="Z243" s="19" t="inlineStr">
        <is>
          <t>Generating Revenue</t>
        </is>
      </c>
      <c r="AA243" s="19" t="inlineStr">
        <is>
          <t>Clarkson (LON: CKN) (Andi Case)</t>
        </is>
      </c>
      <c r="AB243" s="19" t="inlineStr">
        <is>
          <t>Brokerage</t>
        </is>
      </c>
      <c r="AC243" s="19" t="n"/>
      <c r="AD243" s="19" t="inlineStr">
        <is>
          <t>Provider of international ship brokerage and maritime logistics consulting intended for global commercial, government, and defense markets. The company offers cargo brokerage services, dry and tanker voyage charters, shipments for humanitarian aid and project shipments enabling clients reliable access to information regarding the prevailing and projected freight markets.</t>
        </is>
      </c>
      <c r="AE243" s="19" t="inlineStr">
        <is>
          <t>Bethesda, MD</t>
        </is>
      </c>
      <c r="AF243" s="19" t="inlineStr">
        <is>
          <t>www.euroamerica.us</t>
        </is>
      </c>
    </row>
    <row r="244" ht="42" customHeight="1">
      <c r="A244" s="12" t="inlineStr">
        <is>
          <t>USA-243</t>
        </is>
      </c>
      <c r="B244" s="12" t="inlineStr">
        <is>
          <t>USA</t>
        </is>
      </c>
      <c r="C244" s="12" t="inlineStr">
        <is>
          <t>USA</t>
        </is>
      </c>
      <c r="D244" s="13" t="inlineStr">
        <is>
          <t>Ampera</t>
        </is>
      </c>
      <c r="E244" s="13" t="inlineStr">
        <is>
          <t>Super Micro Computer</t>
        </is>
      </c>
      <c r="F244" s="12" t="n"/>
      <c r="G244" s="13" t="n"/>
      <c r="H244" s="14" t="n">
        <v>45809</v>
      </c>
      <c r="I244" s="14" t="n"/>
      <c r="J244" s="15" t="n">
        <v>2025</v>
      </c>
      <c r="K244" s="13" t="inlineStr">
        <is>
          <t>Merger/Acquisition</t>
        </is>
      </c>
      <c r="L244" s="13" t="n"/>
      <c r="M244" s="13" t="inlineStr">
        <is>
          <t>Completed</t>
        </is>
      </c>
      <c r="N244" s="16" t="n">
        <v>6</v>
      </c>
      <c r="O244" s="12" t="inlineStr">
        <is>
          <t>USD</t>
        </is>
      </c>
      <c r="R244" s="36" t="n"/>
      <c r="S244" s="16" t="n"/>
      <c r="T244" s="36" t="n"/>
      <c r="U244" s="16" t="n"/>
      <c r="V244" s="13" t="n"/>
      <c r="W244" s="16" t="n">
        <v>54.54</v>
      </c>
      <c r="X244" s="13" t="inlineStr">
        <is>
          <t>The company was acquired by Super Micro Computer (NAS: SMCI) for $6 million on June 1, 2025.</t>
        </is>
      </c>
      <c r="Y244" s="13" t="inlineStr">
        <is>
          <t>Corporate Backed or Acquired</t>
        </is>
      </c>
      <c r="Z244" s="13" t="inlineStr">
        <is>
          <t>Generating Revenue</t>
        </is>
      </c>
      <c r="AA244" s="13" t="inlineStr">
        <is>
          <t>Super Micro Computer (NAS: SMCI)</t>
        </is>
      </c>
      <c r="AB244" s="13" t="inlineStr">
        <is>
          <t>Alternative Energy Equipment</t>
        </is>
      </c>
      <c r="AC244" s="13" t="inlineStr">
        <is>
          <t>Artificial Intelligence &amp; Machine Learning, CleanTech, Climate Tech</t>
        </is>
      </c>
      <c r="AD244" s="13" t="inlineStr">
        <is>
          <t>Developer of modular micronuclear energy systems designed for high-density power generation and industrial decarbonization. The company utilizes advanced subcritical thorium breeder reactor technology combined with hybrid fusion-fission architecture and proprietary TRISO fuel manufacturing, enabling data center operators, defense agencies, and heavy industrial facilities to secure continuous baseload energy while meeting stringent carbon reduction and energy sovereignty requirements.</t>
        </is>
      </c>
      <c r="AE244" s="13" t="inlineStr">
        <is>
          <t>Palm Beach Gardens, FL</t>
        </is>
      </c>
      <c r="AF244" s="13" t="inlineStr">
        <is>
          <t>www.amperacleanenergy.com</t>
        </is>
      </c>
    </row>
    <row r="245" ht="42" customHeight="1">
      <c r="A245" s="18" t="inlineStr">
        <is>
          <t>USA-244</t>
        </is>
      </c>
      <c r="B245" s="18" t="inlineStr">
        <is>
          <t>USA</t>
        </is>
      </c>
      <c r="C245" s="18" t="inlineStr">
        <is>
          <t>USA</t>
        </is>
      </c>
      <c r="D245" s="19" t="inlineStr">
        <is>
          <t>Integrated Launcher Solutions</t>
        </is>
      </c>
      <c r="E245" s="19" t="inlineStr">
        <is>
          <t>Next Dynamics</t>
        </is>
      </c>
      <c r="F245" s="18" t="n"/>
      <c r="G245" s="19" t="n"/>
      <c r="H245" s="20" t="n">
        <v>45883</v>
      </c>
      <c r="I245" s="20" t="n"/>
      <c r="J245" s="21" t="n">
        <v>2025</v>
      </c>
      <c r="K245" s="19" t="inlineStr">
        <is>
          <t>Merger/Acquisition</t>
        </is>
      </c>
      <c r="L245" s="19" t="n"/>
      <c r="M245" s="19" t="inlineStr">
        <is>
          <t>Completed</t>
        </is>
      </c>
      <c r="N245" s="22" t="n">
        <v>6</v>
      </c>
      <c r="O245" s="18" t="inlineStr">
        <is>
          <t>USD</t>
        </is>
      </c>
      <c r="R245" s="37" t="n"/>
      <c r="S245" s="22" t="n"/>
      <c r="T245" s="37" t="n"/>
      <c r="U245" s="22" t="n"/>
      <c r="V245" s="19" t="n"/>
      <c r="W245" s="22" t="n">
        <v>6</v>
      </c>
      <c r="X245" s="19" t="inlineStr">
        <is>
          <t>The company was acquired by Next Dynamics (PINX: NEXD) for approximately $6 million on August 14, 2025. This acquisition will pave a path for further advancement for both technology platforms, leveraging their collective strengths and expertise.</t>
        </is>
      </c>
      <c r="Y245" s="19" t="inlineStr">
        <is>
          <t>Corporate Backed or Acquired</t>
        </is>
      </c>
      <c r="Z245" s="19" t="inlineStr">
        <is>
          <t>Generating Revenue</t>
        </is>
      </c>
      <c r="AA245" s="19" t="inlineStr">
        <is>
          <t>Next Dynamics (PINX: NEXD) (André Beauchesne)</t>
        </is>
      </c>
      <c r="AB245" s="19" t="inlineStr">
        <is>
          <t>Aerospace and Defense</t>
        </is>
      </c>
      <c r="AC245" s="19" t="inlineStr">
        <is>
          <t>Manufacturing</t>
        </is>
      </c>
      <c r="AD245" s="19" t="inlineStr">
        <is>
          <t>Manufacturer of remote weapon and launcher systems intended to serve military defense, public safety, private security, and maritime markets. The company designs and manufactures products such as remote recoilless rocket launchers, 40mm weapon systems, and autonomous remote weapon stations.</t>
        </is>
      </c>
      <c r="AE245" s="19" t="inlineStr">
        <is>
          <t>Houston, TX</t>
        </is>
      </c>
      <c r="AF245" s="19" t="inlineStr">
        <is>
          <t>www.ilsdefense.com</t>
        </is>
      </c>
    </row>
    <row r="246" ht="42" customHeight="1">
      <c r="A246" s="12" t="inlineStr">
        <is>
          <t>USA-245</t>
        </is>
      </c>
      <c r="B246" s="12" t="inlineStr">
        <is>
          <t>USA</t>
        </is>
      </c>
      <c r="C246" s="12" t="inlineStr">
        <is>
          <t>USA</t>
        </is>
      </c>
      <c r="D246" s="13" t="inlineStr">
        <is>
          <t>Mace Security International</t>
        </is>
      </c>
      <c r="E246" s="13" t="inlineStr">
        <is>
          <t>W Electric Intermediate Holdings</t>
        </is>
      </c>
      <c r="F246" s="12" t="n"/>
      <c r="G246" s="13" t="n"/>
      <c r="H246" s="14" t="n">
        <v>45632</v>
      </c>
      <c r="I246" s="14" t="n"/>
      <c r="J246" s="15" t="n">
        <v>2024</v>
      </c>
      <c r="K246" s="13" t="inlineStr">
        <is>
          <t>Merger/Acquisition</t>
        </is>
      </c>
      <c r="L246" s="13" t="n"/>
      <c r="M246" s="13" t="inlineStr">
        <is>
          <t>Completed</t>
        </is>
      </c>
      <c r="N246" s="16" t="n">
        <v>6</v>
      </c>
      <c r="O246" s="12" t="inlineStr">
        <is>
          <t>USD</t>
        </is>
      </c>
      <c r="R246" s="36" t="n"/>
      <c r="S246" s="16" t="n"/>
      <c r="T246" s="36" t="n"/>
      <c r="U246" s="16" t="n"/>
      <c r="V246" s="13" t="n"/>
      <c r="W246" s="16" t="n">
        <v>6</v>
      </c>
      <c r="X246" s="13" t="inlineStr">
        <is>
          <t>The company was acquired by W Electric Intermediate Holdings for $6 million on December 6, 2024.</t>
        </is>
      </c>
      <c r="Y246" s="13" t="inlineStr">
        <is>
          <t>Corporate Backed or Acquired</t>
        </is>
      </c>
      <c r="Z246" s="13" t="inlineStr">
        <is>
          <t>Generating Revenue</t>
        </is>
      </c>
      <c r="AA246" s="13" t="inlineStr">
        <is>
          <t>W Electric Intermediate Holdings</t>
        </is>
      </c>
      <c r="AB246" s="13" t="inlineStr">
        <is>
          <t>Other Commercial Products</t>
        </is>
      </c>
      <c r="AC246" s="13" t="inlineStr">
        <is>
          <t>Industrials, Manufacturing, TMT</t>
        </is>
      </c>
      <c r="AD246" s="13" t="inlineStr">
        <is>
          <t>Mace Security International Inc operates in a single segment of Security, which sells its products to retailers, distributors, and individual consumers. It also sells tactical spray products and systems to law enforcement, security professionals, correctional institutions, and military markets. The company sells its products under the Mace Brand. Some of its products include Stun Guns, Home defense Kit, Personal Alarms, Pepper Sprays, Pepper Guns, Pepper Gel, and Other self-defense products.</t>
        </is>
      </c>
      <c r="AE246" s="13" t="inlineStr">
        <is>
          <t>Cleveland, OH</t>
        </is>
      </c>
      <c r="AF246" s="13" t="inlineStr">
        <is>
          <t>www.mace.com</t>
        </is>
      </c>
    </row>
    <row r="247" ht="42" customHeight="1">
      <c r="A247" s="18" t="inlineStr">
        <is>
          <t>USA-246</t>
        </is>
      </c>
      <c r="B247" s="18" t="inlineStr">
        <is>
          <t>USA</t>
        </is>
      </c>
      <c r="C247" s="18" t="inlineStr">
        <is>
          <t>USA</t>
        </is>
      </c>
      <c r="D247" s="19" t="inlineStr">
        <is>
          <t>Si Manufacturing</t>
        </is>
      </c>
      <c r="E247" s="19" t="inlineStr">
        <is>
          <t>Payton Planar Magnetics</t>
        </is>
      </c>
      <c r="F247" s="18" t="n"/>
      <c r="G247" s="19" t="n"/>
      <c r="H247" s="20" t="n">
        <v>45728</v>
      </c>
      <c r="I247" s="20" t="n"/>
      <c r="J247" s="21" t="n">
        <v>2025</v>
      </c>
      <c r="K247" s="19" t="inlineStr">
        <is>
          <t>Merger/Acquisition</t>
        </is>
      </c>
      <c r="L247" s="19" t="n"/>
      <c r="M247" s="19" t="inlineStr">
        <is>
          <t>Announced/In Progress</t>
        </is>
      </c>
      <c r="N247" s="22" t="n">
        <v>5.6</v>
      </c>
      <c r="O247" s="18" t="inlineStr">
        <is>
          <t>USD</t>
        </is>
      </c>
      <c r="P247" s="50" t="n">
        <v>0.6899999999999999</v>
      </c>
      <c r="R247" s="37" t="n"/>
      <c r="S247" s="22" t="n"/>
      <c r="T247" s="37" t="n">
        <v>0.6899999999999999</v>
      </c>
      <c r="U247" s="22" t="n">
        <v>8.16</v>
      </c>
      <c r="V247" s="19" t="n"/>
      <c r="W247" s="22" t="n">
        <v>5.6</v>
      </c>
      <c r="X247" s="19" t="inlineStr">
        <is>
          <t>The company reached a definitive agreement to be acquired by Payton Planar Magnetics (BRU: PAY) for $5.6 million on March 12, 2025.</t>
        </is>
      </c>
      <c r="Y247" s="19" t="inlineStr">
        <is>
          <t>Pending Transaction (M&amp;A)</t>
        </is>
      </c>
      <c r="Z247" s="19" t="inlineStr">
        <is>
          <t>Generating Revenue</t>
        </is>
      </c>
      <c r="AA247" s="19" t="inlineStr">
        <is>
          <t>Payton Planar Magnetics (BRU: PAY)</t>
        </is>
      </c>
      <c r="AB247" s="19" t="inlineStr">
        <is>
          <t>Electrical Equipment</t>
        </is>
      </c>
      <c r="AC247" s="19" t="inlineStr">
        <is>
          <t>Manufacturing</t>
        </is>
      </c>
      <c r="AD247" s="19" t="inlineStr">
        <is>
          <t>Manufacturer of a custom electronics magnetic component catering for aerospace, defense, medical and industrial sectors. The company offers contract manufacturing, magnetic assemblies and custom power supplies.</t>
        </is>
      </c>
      <c r="AE247" s="19" t="inlineStr">
        <is>
          <t>Anaheim, CA</t>
        </is>
      </c>
      <c r="AF247" s="19" t="inlineStr">
        <is>
          <t>www.simfg.com</t>
        </is>
      </c>
    </row>
    <row r="248" ht="42" customHeight="1">
      <c r="A248" s="12" t="inlineStr">
        <is>
          <t>USA-247</t>
        </is>
      </c>
      <c r="B248" s="12" t="inlineStr">
        <is>
          <t>USA</t>
        </is>
      </c>
      <c r="C248" s="12" t="inlineStr">
        <is>
          <t>USA</t>
        </is>
      </c>
      <c r="D248" s="13" t="inlineStr">
        <is>
          <t>Negative Goodwill</t>
        </is>
      </c>
      <c r="E248" s="13" t="inlineStr">
        <is>
          <t>Cemtrex</t>
        </is>
      </c>
      <c r="F248" s="12" t="n"/>
      <c r="G248" s="13" t="n"/>
      <c r="H248" s="14" t="n">
        <v>46058</v>
      </c>
      <c r="I248" s="14" t="n"/>
      <c r="J248" s="15" t="n">
        <v>2026</v>
      </c>
      <c r="K248" s="13" t="inlineStr">
        <is>
          <t>Merger/Acquisition</t>
        </is>
      </c>
      <c r="L248" s="13" t="n"/>
      <c r="M248" s="13" t="inlineStr">
        <is>
          <t>Completed</t>
        </is>
      </c>
      <c r="N248" s="16" t="n">
        <v>5.5</v>
      </c>
      <c r="O248" s="12" t="inlineStr">
        <is>
          <t>USD</t>
        </is>
      </c>
      <c r="R248" s="36" t="n"/>
      <c r="S248" s="16" t="n"/>
      <c r="T248" s="36" t="n"/>
      <c r="U248" s="16" t="n"/>
      <c r="V248" s="13" t="n"/>
      <c r="W248" s="16" t="n">
        <v>5.5</v>
      </c>
      <c r="X248" s="13" t="inlineStr">
        <is>
          <t>The company was acquired by Cemtrex (NAS: CETX) for $5.5 million on February 5, 2026. The acquisition extends the Cemtrex's industrial services platform into one of the fastest-growing industrial regions in the United States.</t>
        </is>
      </c>
      <c r="Y248" s="13" t="inlineStr">
        <is>
          <t>Corporate Backed or Acquired</t>
        </is>
      </c>
      <c r="Z248" s="13" t="inlineStr">
        <is>
          <t>Generating Revenue</t>
        </is>
      </c>
      <c r="AA248" s="13" t="inlineStr">
        <is>
          <t>Cemtrex (NAS: CETX) (Saagar Govil)</t>
        </is>
      </c>
      <c r="AB248" s="13" t="inlineStr">
        <is>
          <t>Other Commercial Services</t>
        </is>
      </c>
      <c r="AC248" s="13" t="inlineStr">
        <is>
          <t>Manufacturing</t>
        </is>
      </c>
      <c r="AD248" s="13" t="inlineStr">
        <is>
          <t>Provider of contract manufacturing, industrial services, and commercial construction serving manufacturing, construction, defense, food and beverage, government, and more. The company offers a full range of services, including pre-construction, general contracting, design-build, design-bid-build and construction management, thereby helping commercial, industrial, infrastructure, municipal, retail and medical facilities.</t>
        </is>
      </c>
      <c r="AE248" s="13" t="inlineStr">
        <is>
          <t>Pulaski, TN</t>
        </is>
      </c>
      <c r="AF248" s="13" t="inlineStr">
        <is>
          <t>www.richlandindustries.com</t>
        </is>
      </c>
    </row>
    <row r="249" ht="42" customHeight="1">
      <c r="A249" s="18" t="inlineStr">
        <is>
          <t>USA-248</t>
        </is>
      </c>
      <c r="B249" s="18" t="inlineStr">
        <is>
          <t>USA</t>
        </is>
      </c>
      <c r="C249" s="18" t="inlineStr">
        <is>
          <t>USA</t>
        </is>
      </c>
      <c r="D249" s="19" t="inlineStr">
        <is>
          <t>Point Solutions Group</t>
        </is>
      </c>
      <c r="E249" s="19" t="inlineStr">
        <is>
          <t>DHI Group</t>
        </is>
      </c>
      <c r="F249" s="18" t="n"/>
      <c r="G249" s="19" t="n"/>
      <c r="H249" s="20" t="n">
        <v>46083</v>
      </c>
      <c r="I249" s="20" t="n"/>
      <c r="J249" s="21" t="n">
        <v>2026</v>
      </c>
      <c r="K249" s="19" t="inlineStr">
        <is>
          <t>Merger/Acquisition</t>
        </is>
      </c>
      <c r="L249" s="19" t="n"/>
      <c r="M249" s="19" t="inlineStr">
        <is>
          <t>Completed</t>
        </is>
      </c>
      <c r="N249" s="22" t="n">
        <v>5.5</v>
      </c>
      <c r="O249" s="18" t="inlineStr">
        <is>
          <t>USD</t>
        </is>
      </c>
      <c r="R249" s="37" t="n"/>
      <c r="S249" s="22" t="n"/>
      <c r="T249" s="37" t="n"/>
      <c r="U249" s="22" t="n"/>
      <c r="V249" s="19" t="n"/>
      <c r="W249" s="22" t="n">
        <v>5.5</v>
      </c>
      <c r="X249" s="19" t="inlineStr">
        <is>
          <t>The company was acquired by DHI Group (NYS: DHX) for $5.5 million on March 2, 2026.</t>
        </is>
      </c>
      <c r="Y249" s="19" t="inlineStr">
        <is>
          <t>Formerly Accelerator/Incubator backed</t>
        </is>
      </c>
      <c r="Z249" s="19" t="inlineStr">
        <is>
          <t>Generating Revenue</t>
        </is>
      </c>
      <c r="AA249" s="19" t="inlineStr">
        <is>
          <t>DHI Group (Human Capital Services) (NYS: DHX) (Art Zeile)</t>
        </is>
      </c>
      <c r="AB249" s="19" t="inlineStr">
        <is>
          <t>IT Consulting and Outsourcing</t>
        </is>
      </c>
      <c r="AC249" s="19" t="inlineStr">
        <is>
          <t>Cybersecurity</t>
        </is>
      </c>
      <c r="AD249" s="19" t="inlineStr">
        <is>
          <t>Provider of technology and engineering consulting services intended for defense and national security missions. The company's platform delivers expert-led mission system configuration, advanced engineering talent optimization, strategic cybersecurity assessments, and scalable command and control system development, enabling government agencies and aerospace contractors to eliminate operational inefficiencies while securing critical digital infrastructure against sophisticated global threats.</t>
        </is>
      </c>
      <c r="AE249" s="19" t="inlineStr">
        <is>
          <t>Denver, CO</t>
        </is>
      </c>
      <c r="AF249" s="19" t="inlineStr">
        <is>
          <t>www.pointsolutionsus.com</t>
        </is>
      </c>
    </row>
    <row r="250" ht="42" customHeight="1">
      <c r="A250" s="12" t="inlineStr">
        <is>
          <t>USA-249</t>
        </is>
      </c>
      <c r="B250" s="12" t="inlineStr">
        <is>
          <t>USA</t>
        </is>
      </c>
      <c r="C250" s="12" t="inlineStr">
        <is>
          <t>USA</t>
        </is>
      </c>
      <c r="D250" s="13" t="inlineStr">
        <is>
          <t>SKV Technology</t>
        </is>
      </c>
      <c r="E250" s="13" t="inlineStr">
        <is>
          <t>Quantum eMotion</t>
        </is>
      </c>
      <c r="F250" s="12" t="n"/>
      <c r="G250" s="13" t="n"/>
      <c r="H250" s="14" t="n">
        <v>46114</v>
      </c>
      <c r="I250" s="14" t="n"/>
      <c r="J250" s="15" t="n">
        <v>2026</v>
      </c>
      <c r="K250" s="13" t="inlineStr">
        <is>
          <t>Merger/Acquisition</t>
        </is>
      </c>
      <c r="L250" s="13" t="n"/>
      <c r="M250" s="13" t="inlineStr">
        <is>
          <t>Completed</t>
        </is>
      </c>
      <c r="N250" s="16" t="n">
        <v>5.1</v>
      </c>
      <c r="O250" s="12" t="inlineStr">
        <is>
          <t>USD</t>
        </is>
      </c>
      <c r="R250" s="36" t="n"/>
      <c r="S250" s="16" t="n"/>
      <c r="T250" s="36" t="n"/>
      <c r="U250" s="16" t="n"/>
      <c r="V250" s="13" t="n"/>
      <c r="W250" s="16" t="n">
        <v>5.1</v>
      </c>
      <c r="X250" s="13" t="inlineStr">
        <is>
          <t>The company was acquired by Quantum eMotion (TSX: QNC) for CAD 7 million on April 2, 2026. The transaction will significantly expand Quantum eMotion's addressable market by adding deployable, revenue-ready cryptographic enforcement software to its QRNG and entropy-based foundation.</t>
        </is>
      </c>
      <c r="Y250" s="13" t="inlineStr">
        <is>
          <t>Corporate Backed or Acquired</t>
        </is>
      </c>
      <c r="Z250" s="13" t="inlineStr">
        <is>
          <t>Generating Revenue</t>
        </is>
      </c>
      <c r="AA250" s="13" t="inlineStr">
        <is>
          <t>Quantum eMotion (TSX: QNC) (Francis Bellido)</t>
        </is>
      </c>
      <c r="AB250" s="13" t="inlineStr">
        <is>
          <t>Network Management Software</t>
        </is>
      </c>
      <c r="AC250" s="13" t="inlineStr">
        <is>
          <t>CloudTech &amp; DevOps, Cryptocurrency/Blockchain, Cybersecurity, Internet of Things</t>
        </is>
      </c>
      <c r="AD250" s="13" t="inlineStr">
        <is>
          <t>Developer of a quantum resilient cybersecurity architecture designed to protect data and communications across cloud, network, endpoint, and chip layers. The company offers entropy orchestration with policies for authentication and key rotation, device-level cryptographic enforcement supporting secure channels and post quantum and hybrid cipher suites, enabling operators in AI data centers, energy systems, defense, industrial IoT, blockchain, and critical infrastructure to deploy end-to-end quantum-safe security and accelerate cryptography migration.</t>
        </is>
      </c>
      <c r="AE250" s="13" t="inlineStr">
        <is>
          <t>Temecula, CA</t>
        </is>
      </c>
      <c r="AF250" s="13" t="n"/>
    </row>
    <row r="251" ht="42" customHeight="1">
      <c r="A251" s="18" t="inlineStr">
        <is>
          <t>USA-250</t>
        </is>
      </c>
      <c r="B251" s="18" t="inlineStr">
        <is>
          <t>USA</t>
        </is>
      </c>
      <c r="C251" s="18" t="inlineStr">
        <is>
          <t>USA</t>
        </is>
      </c>
      <c r="D251" s="19" t="inlineStr">
        <is>
          <t>Hunter Manufacturing Services</t>
        </is>
      </c>
      <c r="E251" s="19" t="inlineStr">
        <is>
          <t>Universal Technical Resource Services</t>
        </is>
      </c>
      <c r="F251" s="18" t="n"/>
      <c r="G251" s="19" t="n"/>
      <c r="H251" s="20" t="n">
        <v>45176</v>
      </c>
      <c r="I251" s="20" t="n"/>
      <c r="J251" s="21" t="n">
        <v>2023</v>
      </c>
      <c r="K251" s="19" t="inlineStr">
        <is>
          <t>Merger/Acquisition</t>
        </is>
      </c>
      <c r="L251" s="19" t="n"/>
      <c r="M251" s="19" t="inlineStr">
        <is>
          <t>Completed</t>
        </is>
      </c>
      <c r="N251" s="22" t="n">
        <v>5</v>
      </c>
      <c r="O251" s="18" t="inlineStr">
        <is>
          <t>USD</t>
        </is>
      </c>
      <c r="R251" s="37" t="n"/>
      <c r="S251" s="22" t="n"/>
      <c r="T251" s="37" t="n"/>
      <c r="U251" s="22" t="n"/>
      <c r="V251" s="19" t="n"/>
      <c r="W251" s="22" t="n">
        <v>5</v>
      </c>
      <c r="X251" s="19" t="inlineStr">
        <is>
          <t>The company was acquired by Universal Technical Resource Services for approximately $5 million on September 7, 2023. The acquisition enables Universal Technical Resource Services to continue to serve the private sector clients while making impact as an essential component of the DoD industrial base.</t>
        </is>
      </c>
      <c r="Y251" s="19" t="inlineStr">
        <is>
          <t>Corporate Backed or Acquired</t>
        </is>
      </c>
      <c r="Z251" s="19" t="inlineStr">
        <is>
          <t>Generating Revenue</t>
        </is>
      </c>
      <c r="AA251" s="19" t="inlineStr">
        <is>
          <t>Universal Technical Resource Services (David Zalcmann)</t>
        </is>
      </c>
      <c r="AB251" s="19" t="inlineStr">
        <is>
          <t>Industrial Supplies and Parts</t>
        </is>
      </c>
      <c r="AC251" s="19" t="inlineStr">
        <is>
          <t>Manufacturing</t>
        </is>
      </c>
      <c r="AD251" s="19" t="inlineStr">
        <is>
          <t>Manufacturer of parts for filling, packaging, and tablet machines intended for aerospace, medical, pharmaceutical, and commercial industries. The company specializes in plus custom slats, change, fast turnarounds, exotic materials, small lots, difficult-to-manufacture items, billed for shipped warehousing and inventory control on large run orders, thereby enabling demanding tolerances and requirements.</t>
        </is>
      </c>
      <c r="AE251" s="19" t="inlineStr">
        <is>
          <t>Fairfield, NJ</t>
        </is>
      </c>
      <c r="AF251" s="19" t="inlineStr">
        <is>
          <t>www.huntermfg.net</t>
        </is>
      </c>
    </row>
    <row r="252" ht="42" customHeight="1">
      <c r="A252" s="12" t="inlineStr">
        <is>
          <t>USA-251</t>
        </is>
      </c>
      <c r="B252" s="12" t="inlineStr">
        <is>
          <t>USA</t>
        </is>
      </c>
      <c r="C252" s="12" t="inlineStr">
        <is>
          <t>USA</t>
        </is>
      </c>
      <c r="D252" s="13" t="inlineStr">
        <is>
          <t>PreCon Health</t>
        </is>
      </c>
      <c r="E252" s="13" t="inlineStr">
        <is>
          <t>Thorne Research</t>
        </is>
      </c>
      <c r="F252" s="12" t="n"/>
      <c r="G252" s="13" t="n"/>
      <c r="H252" s="14" t="n">
        <v>44937</v>
      </c>
      <c r="I252" s="14" t="n"/>
      <c r="J252" s="15" t="n">
        <v>2023</v>
      </c>
      <c r="K252" s="13" t="inlineStr">
        <is>
          <t>Merger/Acquisition</t>
        </is>
      </c>
      <c r="L252" s="13" t="n"/>
      <c r="M252" s="13" t="inlineStr">
        <is>
          <t>Completed</t>
        </is>
      </c>
      <c r="N252" s="16" t="n">
        <v>5</v>
      </c>
      <c r="O252" s="12" t="inlineStr">
        <is>
          <t>USD</t>
        </is>
      </c>
      <c r="R252" s="36" t="n"/>
      <c r="S252" s="16" t="n"/>
      <c r="T252" s="36" t="n"/>
      <c r="U252" s="16" t="n"/>
      <c r="V252" s="13" t="n"/>
      <c r="W252" s="16" t="n">
        <v>5</v>
      </c>
      <c r="X252" s="13" t="inlineStr">
        <is>
          <t>The company was acquired by Thorne Research (NAS: THRN) for $5 million on January 11, 2023. This acquisition enables Thorne Research to focus on scientific discovery, innovation, and advancing safe and effective products that support healthy brain function.</t>
        </is>
      </c>
      <c r="Y252" s="13" t="inlineStr">
        <is>
          <t>Corporate Backed or Acquired</t>
        </is>
      </c>
      <c r="Z252" s="13" t="inlineStr">
        <is>
          <t>Generating Revenue</t>
        </is>
      </c>
      <c r="AA252" s="13" t="inlineStr">
        <is>
          <t>Thorne Research (Paul Jacobson)</t>
        </is>
      </c>
      <c r="AB252" s="13" t="inlineStr">
        <is>
          <t>Drug Discovery</t>
        </is>
      </c>
      <c r="AC252" s="13" t="inlineStr">
        <is>
          <t>LOHAS &amp; Wellness</t>
        </is>
      </c>
      <c r="AD252" s="13" t="inlineStr">
        <is>
          <t>Developer of health supplements intended to provide innovative solutions to address the unmet needs relative to brain health in United States. The company offers brain health research, research-based brain health products to support the patients, healthcare providers, athletes, military personnel, and survivors of domestic violence.</t>
        </is>
      </c>
      <c r="AE252" s="13" t="inlineStr">
        <is>
          <t>New York, NY</t>
        </is>
      </c>
      <c r="AF252" s="13" t="inlineStr">
        <is>
          <t>www.preconhealth.com</t>
        </is>
      </c>
    </row>
    <row r="253" ht="42" customHeight="1">
      <c r="A253" s="18" t="inlineStr">
        <is>
          <t>USA-252</t>
        </is>
      </c>
      <c r="B253" s="18" t="inlineStr">
        <is>
          <t>USA</t>
        </is>
      </c>
      <c r="C253" s="18" t="inlineStr">
        <is>
          <t>USA</t>
        </is>
      </c>
      <c r="D253" s="19" t="inlineStr">
        <is>
          <t>Unusual Machines (ASE: UMAC)</t>
        </is>
      </c>
      <c r="E253" s="19" t="n"/>
      <c r="F253" s="18" t="n"/>
      <c r="G253" s="19" t="n"/>
      <c r="H253" s="20" t="n">
        <v>45337</v>
      </c>
      <c r="I253" s="20" t="n"/>
      <c r="J253" s="21" t="n">
        <v>2024</v>
      </c>
      <c r="K253" s="19" t="inlineStr">
        <is>
          <t>IPO</t>
        </is>
      </c>
      <c r="L253" s="19" t="n"/>
      <c r="M253" s="19" t="inlineStr">
        <is>
          <t>Completed</t>
        </is>
      </c>
      <c r="N253" s="22" t="n">
        <v>5</v>
      </c>
      <c r="O253" s="18" t="inlineStr">
        <is>
          <t>USD</t>
        </is>
      </c>
      <c r="R253" s="37" t="n">
        <v>-2.1</v>
      </c>
      <c r="S253" s="22" t="n">
        <v>-2.38</v>
      </c>
      <c r="T253" s="37" t="n"/>
      <c r="U253" s="22" t="n">
        <v>0</v>
      </c>
      <c r="V253" s="19" t="n"/>
      <c r="W253" s="22" t="n">
        <v>34.87</v>
      </c>
      <c r="X253" s="19" t="inlineStr">
        <is>
          <t>The company raised $5 million in its initial public offering on the NYSE MKT LLC stock exchange under the ticker symbol of UMAC on February 15, 2024. A total of 1,250,000 shares were sold at $4 per share. After the offering, there was a total of 8,717,255 outstanding shares at $4 per share, valuing the company at $34.87 million. The underwriters were granted an option to purchase up to an additional 187,500 shares from the company to cover over-allotments, if any.</t>
        </is>
      </c>
      <c r="Y253" s="19" t="inlineStr">
        <is>
          <t>Formerly VC-backed</t>
        </is>
      </c>
      <c r="Z253" s="19" t="inlineStr">
        <is>
          <t>Generating Revenue</t>
        </is>
      </c>
      <c r="AA253" s="19" t="n"/>
      <c r="AB253" s="19" t="inlineStr">
        <is>
          <t>Aerospace and Defense</t>
        </is>
      </c>
      <c r="AC253" s="19" t="inlineStr">
        <is>
          <t>Industrials, Manufacturing, Robotics and Drones</t>
        </is>
      </c>
      <c r="AD253" s="19" t="inlineStr">
        <is>
          <t>Unusual Machines Inc is engaged in manufactures and sells drone components and drones across a diversified brand portfolio through business-to-business (B2B) sales and a curated retail channel.</t>
        </is>
      </c>
      <c r="AE253" s="19" t="inlineStr">
        <is>
          <t>Orlando, FL</t>
        </is>
      </c>
      <c r="AF253" s="19" t="inlineStr">
        <is>
          <t>www.unusualmachines.com</t>
        </is>
      </c>
    </row>
    <row r="254" ht="42" customHeight="1">
      <c r="A254" s="12" t="inlineStr">
        <is>
          <t>USA-253</t>
        </is>
      </c>
      <c r="B254" s="12" t="inlineStr">
        <is>
          <t>USA</t>
        </is>
      </c>
      <c r="C254" s="12" t="inlineStr">
        <is>
          <t>USA</t>
        </is>
      </c>
      <c r="D254" s="13" t="inlineStr">
        <is>
          <t>Milwaukee Forge</t>
        </is>
      </c>
      <c r="E254" s="13" t="n"/>
      <c r="F254" s="12" t="n"/>
      <c r="G254" s="13" t="n"/>
      <c r="H254" s="14" t="n">
        <v>45975</v>
      </c>
      <c r="I254" s="14" t="n"/>
      <c r="J254" s="15" t="n">
        <v>2025</v>
      </c>
      <c r="K254" s="13" t="inlineStr">
        <is>
          <t>Merger/Acquisition</t>
        </is>
      </c>
      <c r="L254" s="13" t="n"/>
      <c r="M254" s="13" t="inlineStr">
        <is>
          <t>Completed</t>
        </is>
      </c>
      <c r="N254" s="16" t="n">
        <v>4.6</v>
      </c>
      <c r="O254" s="12" t="inlineStr">
        <is>
          <t>USD</t>
        </is>
      </c>
      <c r="R254" s="36" t="n"/>
      <c r="S254" s="16" t="n"/>
      <c r="T254" s="36" t="n"/>
      <c r="U254" s="16" t="n"/>
      <c r="V254" s="13" t="n"/>
      <c r="W254" s="16" t="n">
        <v>4.6</v>
      </c>
      <c r="X254" s="13" t="inlineStr">
        <is>
          <t>The company was acquired for $4.6 million on November 14, 2025.</t>
        </is>
      </c>
      <c r="Y254" s="13" t="inlineStr">
        <is>
          <t>Corporate Backed or Acquired</t>
        </is>
      </c>
      <c r="Z254" s="13" t="inlineStr">
        <is>
          <t>Generating Revenue</t>
        </is>
      </c>
      <c r="AA254" s="13" t="n"/>
      <c r="AB254" s="13" t="inlineStr">
        <is>
          <t>Machinery (B2B)</t>
        </is>
      </c>
      <c r="AC254" s="13" t="inlineStr">
        <is>
          <t>Industrials, Manufacturing, Oil &amp; Gas</t>
        </is>
      </c>
      <c r="AD254" s="13" t="inlineStr">
        <is>
          <t>Manufacturer of steel forgings designed for construction, farming, military, and oil &amp; gas industries. The company produces products such as gears, shafts, pinions, knuckles, spindles, spiders, yokes, kingpins, sprockets, and couplings.</t>
        </is>
      </c>
      <c r="AE254" s="13" t="inlineStr">
        <is>
          <t>Milwaukee, WI</t>
        </is>
      </c>
      <c r="AF254" s="13" t="inlineStr">
        <is>
          <t>www.milwaukeeforge.com</t>
        </is>
      </c>
    </row>
    <row r="255" ht="42" customHeight="1">
      <c r="A255" s="18" t="inlineStr">
        <is>
          <t>USA-254</t>
        </is>
      </c>
      <c r="B255" s="18" t="inlineStr">
        <is>
          <t>USA</t>
        </is>
      </c>
      <c r="C255" s="18" t="inlineStr">
        <is>
          <t>USA</t>
        </is>
      </c>
      <c r="D255" s="19" t="inlineStr">
        <is>
          <t>B &amp; A Company</t>
        </is>
      </c>
      <c r="E255" s="19" t="n"/>
      <c r="F255" s="18" t="n"/>
      <c r="G255" s="19" t="n"/>
      <c r="H255" s="20" t="n">
        <v>46094</v>
      </c>
      <c r="I255" s="20" t="n"/>
      <c r="J255" s="21" t="n">
        <v>2026</v>
      </c>
      <c r="K255" s="19" t="inlineStr">
        <is>
          <t>Merger/Acquisition</t>
        </is>
      </c>
      <c r="L255" s="19" t="n"/>
      <c r="M255" s="19" t="inlineStr">
        <is>
          <t>Completed</t>
        </is>
      </c>
      <c r="N255" s="22" t="n">
        <v>4.5</v>
      </c>
      <c r="O255" s="18" t="inlineStr">
        <is>
          <t>USD</t>
        </is>
      </c>
      <c r="R255" s="37" t="n"/>
      <c r="S255" s="22" t="n"/>
      <c r="T255" s="37" t="n"/>
      <c r="U255" s="22" t="n"/>
      <c r="V255" s="19" t="n"/>
      <c r="W255" s="22" t="n">
        <v>4.5</v>
      </c>
      <c r="X255" s="19" t="inlineStr">
        <is>
          <t>The company was acquired by Jesse Riesing for $ 4.5 million on March 13, 2026.</t>
        </is>
      </c>
      <c r="Y255" s="19" t="inlineStr">
        <is>
          <t>Corporate Backed or Acquired</t>
        </is>
      </c>
      <c r="Z255" s="19" t="inlineStr">
        <is>
          <t>Generating Revenue</t>
        </is>
      </c>
      <c r="AA255" s="19" t="n"/>
      <c r="AB255" s="19" t="inlineStr">
        <is>
          <t>Industrial Supplies and Parts</t>
        </is>
      </c>
      <c r="AC255" s="19" t="inlineStr">
        <is>
          <t>Manufacturing</t>
        </is>
      </c>
      <c r="AD255" s="19" t="inlineStr">
        <is>
          <t>Manufacturer of precision CNC-machined components intended to serve aerospace, defense, and medical markets. The company specializes in CNC turning and CNC milling.</t>
        </is>
      </c>
      <c r="AE255" s="19" t="inlineStr">
        <is>
          <t>Milford, CT</t>
        </is>
      </c>
      <c r="AF255" s="19" t="inlineStr">
        <is>
          <t>www.bamachine.com</t>
        </is>
      </c>
    </row>
    <row r="256" ht="42" customHeight="1">
      <c r="A256" s="12" t="inlineStr">
        <is>
          <t>USA-255</t>
        </is>
      </c>
      <c r="B256" s="12" t="inlineStr">
        <is>
          <t>USA</t>
        </is>
      </c>
      <c r="C256" s="12" t="inlineStr">
        <is>
          <t>USA</t>
        </is>
      </c>
      <c r="D256" s="13" t="inlineStr">
        <is>
          <t>Impact Biomedical (ASE: IBO)</t>
        </is>
      </c>
      <c r="E256" s="13" t="n"/>
      <c r="F256" s="12" t="n"/>
      <c r="G256" s="13" t="n"/>
      <c r="H256" s="14" t="n">
        <v>45552</v>
      </c>
      <c r="I256" s="14" t="n"/>
      <c r="J256" s="15" t="n">
        <v>2024</v>
      </c>
      <c r="K256" s="13" t="inlineStr">
        <is>
          <t>IPO</t>
        </is>
      </c>
      <c r="L256" s="13" t="n"/>
      <c r="M256" s="13" t="inlineStr">
        <is>
          <t>Completed</t>
        </is>
      </c>
      <c r="N256" s="16" t="n">
        <v>4.5</v>
      </c>
      <c r="O256" s="12" t="inlineStr">
        <is>
          <t>USD</t>
        </is>
      </c>
      <c r="R256" s="36" t="n">
        <v>-1.8</v>
      </c>
      <c r="S256" s="16" t="n">
        <v>-2.49</v>
      </c>
      <c r="T256" s="36" t="n"/>
      <c r="U256" s="16" t="n">
        <v>0</v>
      </c>
      <c r="V256" s="13" t="n"/>
      <c r="W256" s="16" t="n">
        <v>34.49</v>
      </c>
      <c r="X256" s="13" t="inlineStr">
        <is>
          <t>The company raised $4.5 million in its initial public offering on the NYSE MKT LLC stock exchange under the ticker symbol of IBO on September 17, 2024. A total of 1,500,000 shares were sold at $3 per share. After the offering, there was a total of 11,497,703 outstanding shares at $3 per share, valuing the company at $34.49 million. The underwriters were granted an option to purchase up to an additional 225,000 shares from the company to cover over-allotments, if any.</t>
        </is>
      </c>
      <c r="Y256" s="13" t="inlineStr">
        <is>
          <t>Corporate Backed or Acquired</t>
        </is>
      </c>
      <c r="Z256" s="13" t="inlineStr">
        <is>
          <t>Generating Revenue</t>
        </is>
      </c>
      <c r="AA256" s="13" t="n"/>
      <c r="AB256" s="13" t="inlineStr">
        <is>
          <t>Drug Discovery</t>
        </is>
      </c>
      <c r="AC256" s="13" t="inlineStr">
        <is>
          <t>Life Sciences, Oncology</t>
        </is>
      </c>
      <c r="AD256" s="13" t="inlineStr">
        <is>
          <t>Impact BioMedical Inc focuses on the advancement of drug discovery and prevention, inhibition, and treatment of neurological, oncological, and immune-related diseases. The company is also developing open-air defense initiatives, which curb transmission of air-borne infectious diseases, such as tuberculosis and influenza. Its technologies inlcude Linebacker, Laetose, 3F, and Equivir.</t>
        </is>
      </c>
      <c r="AE256" s="13" t="inlineStr">
        <is>
          <t>Houston, TX</t>
        </is>
      </c>
      <c r="AF256" s="13" t="inlineStr">
        <is>
          <t>www.impactbiomedinc.com</t>
        </is>
      </c>
    </row>
    <row r="257" ht="42" customHeight="1">
      <c r="A257" s="18" t="inlineStr">
        <is>
          <t>USA-256</t>
        </is>
      </c>
      <c r="B257" s="18" t="inlineStr">
        <is>
          <t>USA</t>
        </is>
      </c>
      <c r="C257" s="18" t="inlineStr">
        <is>
          <t>USA</t>
        </is>
      </c>
      <c r="D257" s="19" t="inlineStr">
        <is>
          <t>Evertel Technologies</t>
        </is>
      </c>
      <c r="E257" s="19" t="inlineStr">
        <is>
          <t>Genasys</t>
        </is>
      </c>
      <c r="F257" s="18" t="n"/>
      <c r="G257" s="19" t="n"/>
      <c r="H257" s="20" t="n">
        <v>45203</v>
      </c>
      <c r="I257" s="20" t="n"/>
      <c r="J257" s="21" t="n">
        <v>2023</v>
      </c>
      <c r="K257" s="19" t="inlineStr">
        <is>
          <t>Merger/Acquisition</t>
        </is>
      </c>
      <c r="L257" s="19" t="n"/>
      <c r="M257" s="19" t="inlineStr">
        <is>
          <t>Completed</t>
        </is>
      </c>
      <c r="N257" s="22" t="n">
        <v>4.49</v>
      </c>
      <c r="O257" s="18" t="inlineStr">
        <is>
          <t>USD</t>
        </is>
      </c>
      <c r="R257" s="37" t="n"/>
      <c r="S257" s="22" t="n"/>
      <c r="T257" s="37" t="n"/>
      <c r="U257" s="22" t="n"/>
      <c r="V257" s="19" t="inlineStr">
        <is>
          <t>Corporate Divestiture</t>
        </is>
      </c>
      <c r="W257" s="22" t="n">
        <v>4.49</v>
      </c>
      <c r="X257" s="19" t="inlineStr">
        <is>
          <t>The company, a subsidiary of Word Systems, was acquired by Genasys (NAS: GNSS) for $4.494 Million on October 4, 2023. The acquisition will help Genesys to revolutionize inter and intra-agency collaboration, adding a compliant, real-time layer of communication and intelligence sharing between first responders and emergency managers.</t>
        </is>
      </c>
      <c r="Y257" s="19" t="inlineStr">
        <is>
          <t>Corporate Backed or Acquired</t>
        </is>
      </c>
      <c r="Z257" s="19" t="inlineStr">
        <is>
          <t>Generating Revenue</t>
        </is>
      </c>
      <c r="AA257" s="19" t="inlineStr">
        <is>
          <t>Genasys (Electronics) (NAS: GNSS) (Richard Danforth)</t>
        </is>
      </c>
      <c r="AB257" s="19" t="inlineStr">
        <is>
          <t>Business/Productivity Software</t>
        </is>
      </c>
      <c r="AC257" s="19" t="n"/>
      <c r="AD257" s="19" t="inlineStr">
        <is>
          <t>Developer of a secure and encrypted cross-agency collaboration platform intended to serve law enforcement, public safety agencies and first responders. The company offers real-time intelligence sharing, military-grade encryption, unique access keys, postal codes and screenshot protection, thereby enabling their enabling agencies of all sizes across the United States to protect their communities.</t>
        </is>
      </c>
      <c r="AE257" s="19" t="inlineStr">
        <is>
          <t>San Diego, CA</t>
        </is>
      </c>
      <c r="AF257" s="19" t="inlineStr">
        <is>
          <t>www.getevertel.com</t>
        </is>
      </c>
    </row>
    <row r="258" ht="42" customHeight="1">
      <c r="A258" s="12" t="inlineStr">
        <is>
          <t>USA-257</t>
        </is>
      </c>
      <c r="B258" s="12" t="inlineStr">
        <is>
          <t>USA</t>
        </is>
      </c>
      <c r="C258" s="12" t="inlineStr">
        <is>
          <t>USA</t>
        </is>
      </c>
      <c r="D258" s="13" t="inlineStr">
        <is>
          <t>Advanced Industrial Coatings</t>
        </is>
      </c>
      <c r="E258" s="13" t="inlineStr">
        <is>
          <t>Crawford United</t>
        </is>
      </c>
      <c r="F258" s="12" t="n"/>
      <c r="G258" s="13" t="n"/>
      <c r="H258" s="14" t="n">
        <v>45534</v>
      </c>
      <c r="I258" s="14" t="n"/>
      <c r="J258" s="15" t="n">
        <v>2024</v>
      </c>
      <c r="K258" s="13" t="inlineStr">
        <is>
          <t>Merger/Acquisition</t>
        </is>
      </c>
      <c r="L258" s="13" t="n"/>
      <c r="M258" s="13" t="inlineStr">
        <is>
          <t>Completed</t>
        </is>
      </c>
      <c r="N258" s="16" t="n">
        <v>4.3</v>
      </c>
      <c r="O258" s="12" t="inlineStr">
        <is>
          <t>USD</t>
        </is>
      </c>
      <c r="P258" s="50" t="n">
        <v>10.61</v>
      </c>
      <c r="R258" s="36" t="n"/>
      <c r="S258" s="16" t="n"/>
      <c r="T258" s="36" t="n">
        <v>10.61</v>
      </c>
      <c r="U258" s="16" t="n">
        <v>0.41</v>
      </c>
      <c r="V258" s="13" t="n"/>
      <c r="W258" s="16" t="n">
        <v>4.3</v>
      </c>
      <c r="X258" s="13" t="inlineStr">
        <is>
          <t>The company was acquired by Crawford United (PINX: CRAWA) for $4.3 million on August 30, 2024.</t>
        </is>
      </c>
      <c r="Y258" s="13" t="inlineStr">
        <is>
          <t>Corporate Backed or Acquired</t>
        </is>
      </c>
      <c r="Z258" s="13" t="inlineStr">
        <is>
          <t>Generating Revenue</t>
        </is>
      </c>
      <c r="AA258" s="13" t="inlineStr">
        <is>
          <t>Crawford United (Brian Powers)</t>
        </is>
      </c>
      <c r="AB258" s="13" t="inlineStr">
        <is>
          <t>Other Commercial Services</t>
        </is>
      </c>
      <c r="AC258" s="13" t="n"/>
      <c r="AD258" s="13" t="inlineStr">
        <is>
          <t>Provider of industrial coating services intended to serve clients from manufacturing sectors including medical, automotive, energy, aerospace, and semiconductor industries. The company offers a range of high-performance coatings, including PTFE, FEP, PFA, and dry film lubricants, along with pickup and delivery services for Bay Area clients.</t>
        </is>
      </c>
      <c r="AE258" s="13" t="inlineStr">
        <is>
          <t>Stockton, CA</t>
        </is>
      </c>
      <c r="AF258" s="13" t="inlineStr">
        <is>
          <t>www.aic-coatings.com</t>
        </is>
      </c>
    </row>
    <row r="259" ht="42" customHeight="1">
      <c r="A259" s="18" t="inlineStr">
        <is>
          <t>USA-258</t>
        </is>
      </c>
      <c r="B259" s="18" t="inlineStr">
        <is>
          <t>USA</t>
        </is>
      </c>
      <c r="C259" s="18" t="inlineStr">
        <is>
          <t>USA</t>
        </is>
      </c>
      <c r="D259" s="19" t="inlineStr">
        <is>
          <t>Heartbeat Detector</t>
        </is>
      </c>
      <c r="E259" s="19" t="inlineStr">
        <is>
          <t>Geospace Technologies</t>
        </is>
      </c>
      <c r="F259" s="18" t="n"/>
      <c r="G259" s="19" t="n"/>
      <c r="H259" s="20" t="n">
        <v>45870</v>
      </c>
      <c r="I259" s="20" t="n"/>
      <c r="J259" s="21" t="n">
        <v>2025</v>
      </c>
      <c r="K259" s="19" t="inlineStr">
        <is>
          <t>Merger/Acquisition</t>
        </is>
      </c>
      <c r="L259" s="19" t="n"/>
      <c r="M259" s="19" t="inlineStr">
        <is>
          <t>Completed</t>
        </is>
      </c>
      <c r="N259" s="22" t="n">
        <v>4.24</v>
      </c>
      <c r="O259" s="18" t="inlineStr">
        <is>
          <t>USD</t>
        </is>
      </c>
      <c r="R259" s="37" t="n"/>
      <c r="S259" s="22" t="n"/>
      <c r="T259" s="37" t="n"/>
      <c r="U259" s="22" t="n"/>
      <c r="V259" s="19" t="n"/>
      <c r="W259" s="22" t="n">
        <v>4.24</v>
      </c>
      <c r="X259" s="19" t="inlineStr">
        <is>
          <t>The company was acquired by Geospace Technologies (NAS: GEOS) for $4.24 million on August 1, 2025. The company will receive a contingent payout of $2.54 million eligible revenue generated during a four-year earn-out period.</t>
        </is>
      </c>
      <c r="Y259" s="19" t="inlineStr">
        <is>
          <t>Corporate Backed or Acquired</t>
        </is>
      </c>
      <c r="Z259" s="19" t="inlineStr">
        <is>
          <t>Generating Revenue</t>
        </is>
      </c>
      <c r="AA259" s="19" t="inlineStr">
        <is>
          <t>Geospace Technologies (NAS: GEOS) (Richard Kelley)</t>
        </is>
      </c>
      <c r="AB259" s="19" t="inlineStr">
        <is>
          <t>Electronic Equipment and Instruments</t>
        </is>
      </c>
      <c r="AC259" s="19" t="inlineStr">
        <is>
          <t>Manufacturing</t>
        </is>
      </c>
      <c r="AD259" s="19" t="inlineStr">
        <is>
          <t>Manufacturer of heartbeat detectors designed to serve prisons, border crossings, and nuclear and military facilities. The company helps to detect people hiding in vehicles, enabling clients to meet their security and investigation needs.</t>
        </is>
      </c>
      <c r="AE259" s="19" t="inlineStr">
        <is>
          <t>Houston, TX</t>
        </is>
      </c>
      <c r="AF259" s="19" t="inlineStr">
        <is>
          <t>www.heartbeatdetector.com</t>
        </is>
      </c>
    </row>
    <row r="260" ht="42" customHeight="1">
      <c r="A260" s="12" t="inlineStr">
        <is>
          <t>USA-259</t>
        </is>
      </c>
      <c r="B260" s="12" t="inlineStr">
        <is>
          <t>USA</t>
        </is>
      </c>
      <c r="C260" s="12" t="inlineStr">
        <is>
          <t>USA</t>
        </is>
      </c>
      <c r="D260" s="13" t="inlineStr">
        <is>
          <t>Intrinsix</t>
        </is>
      </c>
      <c r="E260" s="13" t="inlineStr">
        <is>
          <t>Cadence Design Systems</t>
        </is>
      </c>
      <c r="F260" s="12" t="n"/>
      <c r="G260" s="13" t="n"/>
      <c r="H260" s="14" t="n">
        <v>45201</v>
      </c>
      <c r="I260" s="14" t="n"/>
      <c r="J260" s="15" t="n">
        <v>2023</v>
      </c>
      <c r="K260" s="13" t="inlineStr">
        <is>
          <t>Merger/Acquisition</t>
        </is>
      </c>
      <c r="L260" s="13" t="n"/>
      <c r="M260" s="13" t="inlineStr">
        <is>
          <t>Completed</t>
        </is>
      </c>
      <c r="N260" s="16" t="n">
        <v>3.8</v>
      </c>
      <c r="O260" s="12" t="inlineStr">
        <is>
          <t>USD</t>
        </is>
      </c>
      <c r="R260" s="36" t="n"/>
      <c r="S260" s="16" t="n"/>
      <c r="T260" s="36" t="n"/>
      <c r="U260" s="16" t="n"/>
      <c r="V260" s="13" t="inlineStr">
        <is>
          <t>Corporate Divestiture</t>
        </is>
      </c>
      <c r="W260" s="16" t="n">
        <v>3.8</v>
      </c>
      <c r="X260" s="13" t="inlineStr">
        <is>
          <t>The company, a subsidiary of Ceva (NAS: CEVA), was acquired by Cadence Design Systems (NAS: CDNS) for $3.8 million on October 2, 2023. Through this acquisition, Cadence Design Systems will scale its system and IC design services team to support customers in key high-growth verticals like the aerospace and defense industry who are faced with meeting tight time-to-market deadlines and ever-increasing chip and system-level complexity.</t>
        </is>
      </c>
      <c r="Y260" s="13" t="inlineStr">
        <is>
          <t>Corporate Backed or Acquired</t>
        </is>
      </c>
      <c r="Z260" s="13" t="inlineStr">
        <is>
          <t>Generating Revenue</t>
        </is>
      </c>
      <c r="AA260" s="13" t="inlineStr">
        <is>
          <t>Cadence Design Systems (NAS: CDNS) (Neil Zaman)</t>
        </is>
      </c>
      <c r="AB260" s="13" t="inlineStr">
        <is>
          <t>Application Specific Semiconductors</t>
        </is>
      </c>
      <c r="AC260" s="13" t="inlineStr">
        <is>
          <t>Manufacturing</t>
        </is>
      </c>
      <c r="AD260" s="13" t="inlineStr">
        <is>
          <t>Manufacturer and designer of semiconductors catering to aerospace, automotive and military industries. The company specializes in offering metrics-based verification, architectural modeling, silicon realization and chip drafting for custom digital, analog and mixed-signal integrated circuits, sensors, system-on-a-chip and field-programmable gate array circuits.</t>
        </is>
      </c>
      <c r="AE260" s="13" t="inlineStr">
        <is>
          <t>Marlborough, MA</t>
        </is>
      </c>
      <c r="AF260" s="13" t="inlineStr">
        <is>
          <t>www.intrinsix.com</t>
        </is>
      </c>
    </row>
    <row r="261" ht="42" customHeight="1">
      <c r="A261" s="18" t="inlineStr">
        <is>
          <t>USA-260</t>
        </is>
      </c>
      <c r="B261" s="18" t="inlineStr">
        <is>
          <t>USA</t>
        </is>
      </c>
      <c r="C261" s="18" t="inlineStr">
        <is>
          <t>USA</t>
        </is>
      </c>
      <c r="D261" s="19" t="inlineStr">
        <is>
          <t>Shore House IVF (Wavedrone Platform)</t>
        </is>
      </c>
      <c r="E261" s="19" t="inlineStr">
        <is>
          <t>Boumarang</t>
        </is>
      </c>
      <c r="F261" s="18" t="n"/>
      <c r="G261" s="19" t="n"/>
      <c r="H261" s="20" t="n">
        <v>45758</v>
      </c>
      <c r="I261" s="20" t="n"/>
      <c r="J261" s="21" t="n">
        <v>2025</v>
      </c>
      <c r="K261" s="19" t="inlineStr">
        <is>
          <t>Merger/Acquisition</t>
        </is>
      </c>
      <c r="L261" s="19" t="n"/>
      <c r="M261" s="19" t="inlineStr">
        <is>
          <t>Completed</t>
        </is>
      </c>
      <c r="N261" s="22" t="n">
        <v>3.5</v>
      </c>
      <c r="O261" s="18" t="inlineStr">
        <is>
          <t>USD</t>
        </is>
      </c>
      <c r="R261" s="37" t="n"/>
      <c r="S261" s="22" t="n"/>
      <c r="T261" s="37" t="n"/>
      <c r="U261" s="22" t="n"/>
      <c r="V261" s="19" t="inlineStr">
        <is>
          <t>Corporate Divestiture</t>
        </is>
      </c>
      <c r="W261" s="22" t="n">
        <v>3.5</v>
      </c>
      <c r="X261" s="19" t="inlineStr">
        <is>
          <t>The Wavedrone Platform of Shore House IVF, was acquired by Boumarang for $3.5 million on April 11, 2025. This acquisition enables Boumarang to capture significant market share in this next frontier of drone evolution also extends its reach into vital aquatic applications.</t>
        </is>
      </c>
      <c r="Y261" s="19" t="inlineStr">
        <is>
          <t>Corporate Backed or Acquired</t>
        </is>
      </c>
      <c r="Z261" s="19" t="inlineStr">
        <is>
          <t>Generating Revenue</t>
        </is>
      </c>
      <c r="AA261" s="19" t="inlineStr">
        <is>
          <t>Boumarang</t>
        </is>
      </c>
      <c r="AB261" s="19" t="inlineStr">
        <is>
          <t>Automation/Workflow Software</t>
        </is>
      </c>
      <c r="AC261" s="19" t="inlineStr">
        <is>
          <t>Robotics and Drones</t>
        </is>
      </c>
      <c r="AD261" s="19" t="inlineStr">
        <is>
          <t>Developer of maritime drone technology platform based in Irvine, California. The business offers floating drones, high usability, low production cost and features self-stabilizing, propulsion system, navigation control and battery system catering for suitable rough conditions, automation, and AI integration.</t>
        </is>
      </c>
      <c r="AE261" s="19" t="inlineStr">
        <is>
          <t>Irvine, CA</t>
        </is>
      </c>
      <c r="AF261" s="19" t="n"/>
    </row>
    <row r="262" ht="42" customHeight="1">
      <c r="A262" s="12" t="inlineStr">
        <is>
          <t>USA-261</t>
        </is>
      </c>
      <c r="B262" s="12" t="inlineStr">
        <is>
          <t>USA</t>
        </is>
      </c>
      <c r="C262" s="12" t="inlineStr">
        <is>
          <t>USA</t>
        </is>
      </c>
      <c r="D262" s="13" t="inlineStr">
        <is>
          <t>Ultra PCS (Ultralynx Product Line)</t>
        </is>
      </c>
      <c r="E262" s="13" t="inlineStr">
        <is>
          <t>INVISIO</t>
        </is>
      </c>
      <c r="F262" s="12" t="n"/>
      <c r="G262" s="13" t="n"/>
      <c r="H262" s="14" t="n">
        <v>45679</v>
      </c>
      <c r="I262" s="14" t="n"/>
      <c r="J262" s="15" t="n">
        <v>2025</v>
      </c>
      <c r="K262" s="13" t="inlineStr">
        <is>
          <t>Merger/Acquisition</t>
        </is>
      </c>
      <c r="L262" s="13" t="n"/>
      <c r="M262" s="13" t="inlineStr">
        <is>
          <t>Completed</t>
        </is>
      </c>
      <c r="N262" s="16" t="n">
        <v>3.5</v>
      </c>
      <c r="O262" s="12" t="inlineStr">
        <is>
          <t>USD</t>
        </is>
      </c>
      <c r="R262" s="36" t="n"/>
      <c r="S262" s="16" t="n"/>
      <c r="T262" s="36" t="n"/>
      <c r="U262" s="16" t="n"/>
      <c r="V262" s="13" t="inlineStr">
        <is>
          <t>Corporate Divestiture</t>
        </is>
      </c>
      <c r="W262" s="16" t="n">
        <v>3.5</v>
      </c>
      <c r="X262" s="13" t="inlineStr">
        <is>
          <t>The Ultralynx product line of Ultra PCS was acquired by INVISIO (STO: IVSO) for $ 3.5 million on January 22, 2025. This strategic acquisition will enhance INVISIO's ability to deliver fully integrated tactical body-worn systems capable of handling audio, power, and data, along with leading-edge computing power.</t>
        </is>
      </c>
      <c r="Y262" s="13" t="inlineStr">
        <is>
          <t>Corporate Backed or Acquired</t>
        </is>
      </c>
      <c r="Z262" s="13" t="inlineStr">
        <is>
          <t>Generating Revenue</t>
        </is>
      </c>
      <c r="AA262" s="13" t="inlineStr">
        <is>
          <t>INVISIO (STO: IVSO) (Lars Hansen)</t>
        </is>
      </c>
      <c r="AB262" s="13" t="inlineStr">
        <is>
          <t>Aerospace and Defense</t>
        </is>
      </c>
      <c r="AC262" s="13" t="n"/>
      <c r="AD262" s="13" t="inlineStr">
        <is>
          <t>Provider of wearable computing technology, designed to reduce the cognitive and physical burden on military personnel. The company features embedded edge computing technology, scalable and flexible open architecture, power management, and control, enabling the military sector to simplify integration, enhance interoperability, and monitor and control connected devices.</t>
        </is>
      </c>
      <c r="AE262" s="13" t="inlineStr">
        <is>
          <t>Manhattan, KS</t>
        </is>
      </c>
      <c r="AF262" s="13" t="n"/>
    </row>
    <row r="263" ht="42" customHeight="1">
      <c r="A263" s="18" t="inlineStr">
        <is>
          <t>USA-262</t>
        </is>
      </c>
      <c r="B263" s="18" t="inlineStr">
        <is>
          <t>USA</t>
        </is>
      </c>
      <c r="C263" s="18" t="inlineStr">
        <is>
          <t>USA</t>
        </is>
      </c>
      <c r="D263" s="19" t="inlineStr">
        <is>
          <t>Phillips Aerospace</t>
        </is>
      </c>
      <c r="E263" s="19" t="inlineStr">
        <is>
          <t>Concurrent Technologies</t>
        </is>
      </c>
      <c r="F263" s="18" t="n"/>
      <c r="G263" s="19" t="n"/>
      <c r="H263" s="20" t="n">
        <v>45174</v>
      </c>
      <c r="I263" s="20" t="n"/>
      <c r="J263" s="21" t="n">
        <v>2023</v>
      </c>
      <c r="K263" s="19" t="inlineStr">
        <is>
          <t>Merger/Acquisition</t>
        </is>
      </c>
      <c r="L263" s="19" t="n"/>
      <c r="M263" s="19" t="inlineStr">
        <is>
          <t>Completed</t>
        </is>
      </c>
      <c r="N263" s="22" t="n">
        <v>3.38</v>
      </c>
      <c r="O263" s="18" t="inlineStr">
        <is>
          <t>USD</t>
        </is>
      </c>
      <c r="R263" s="37" t="n"/>
      <c r="S263" s="22" t="n"/>
      <c r="T263" s="37" t="n"/>
      <c r="U263" s="22" t="n"/>
      <c r="V263" s="19" t="n"/>
      <c r="W263" s="22" t="n">
        <v>3.38</v>
      </c>
      <c r="X263" s="19" t="inlineStr">
        <is>
          <t>The company was acquired by Concurrent Technologies (LON: CNC) for $3.375 million on September 5, 2023. The acquisition aims to underpin and execute the systems strategy of the business of Concurrent Technologies.</t>
        </is>
      </c>
      <c r="Y263" s="19" t="inlineStr">
        <is>
          <t>Corporate Backed or Acquired</t>
        </is>
      </c>
      <c r="Z263" s="19" t="inlineStr">
        <is>
          <t>Generating Revenue</t>
        </is>
      </c>
      <c r="AA263" s="19" t="inlineStr">
        <is>
          <t>Concurrent Technologies (LON: CNC) (Miles Adcock)</t>
        </is>
      </c>
      <c r="AB263" s="19" t="inlineStr">
        <is>
          <t>Industrial Supplies and Parts</t>
        </is>
      </c>
      <c r="AC263" s="19" t="inlineStr">
        <is>
          <t>Manufacturing</t>
        </is>
      </c>
      <c r="AD263" s="19" t="inlineStr">
        <is>
          <t>Manufacturer of machinery equipment intended to serve aircraft and aerospace industries. The company provides welding services, custom avionics systems, off-the-shelf simulation for test tools, and built-to-print fabrication services.</t>
        </is>
      </c>
      <c r="AE263" s="19" t="inlineStr">
        <is>
          <t>Industry, CA</t>
        </is>
      </c>
      <c r="AF263" s="19" t="inlineStr">
        <is>
          <t>www.phillipsaerospace.com</t>
        </is>
      </c>
    </row>
    <row r="264" ht="42" customHeight="1">
      <c r="A264" s="12" t="inlineStr">
        <is>
          <t>USA-263</t>
        </is>
      </c>
      <c r="B264" s="12" t="inlineStr">
        <is>
          <t>USA</t>
        </is>
      </c>
      <c r="C264" s="12" t="inlineStr">
        <is>
          <t>USA</t>
        </is>
      </c>
      <c r="D264" s="13" t="inlineStr">
        <is>
          <t>ProMarketing Leads</t>
        </is>
      </c>
      <c r="E264" s="13" t="inlineStr">
        <is>
          <t>Tonner-One World Holdings</t>
        </is>
      </c>
      <c r="F264" s="12" t="n"/>
      <c r="G264" s="13" t="n"/>
      <c r="H264" s="14" t="n">
        <v>45838</v>
      </c>
      <c r="I264" s="14" t="n"/>
      <c r="J264" s="15" t="n">
        <v>2025</v>
      </c>
      <c r="K264" s="13" t="inlineStr">
        <is>
          <t>Merger/Acquisition</t>
        </is>
      </c>
      <c r="L264" s="13" t="n"/>
      <c r="M264" s="13" t="inlineStr">
        <is>
          <t>Completed</t>
        </is>
      </c>
      <c r="N264" s="16" t="n">
        <v>3</v>
      </c>
      <c r="O264" s="12" t="inlineStr">
        <is>
          <t>USD</t>
        </is>
      </c>
      <c r="P264" s="50" t="n">
        <v>5</v>
      </c>
      <c r="R264" s="36" t="n"/>
      <c r="S264" s="16" t="n"/>
      <c r="T264" s="36" t="n">
        <v>5</v>
      </c>
      <c r="U264" s="16" t="n">
        <v>0.6</v>
      </c>
      <c r="V264" s="13" t="n"/>
      <c r="W264" s="16" t="n">
        <v>3</v>
      </c>
      <c r="X264" s="13" t="inlineStr">
        <is>
          <t>The company was acquired by Tonner-One World Holdings for $3 million on June 30, 2025. With this acquisition, Tonner-One World Holdings is executing a transformative growth strategy aligned with emerging market opportunities.</t>
        </is>
      </c>
      <c r="Y264" s="13" t="inlineStr">
        <is>
          <t>Corporate Backed or Acquired</t>
        </is>
      </c>
      <c r="Z264" s="13" t="inlineStr">
        <is>
          <t>Generating Revenue</t>
        </is>
      </c>
      <c r="AA264" s="13" t="inlineStr">
        <is>
          <t>Tonner-One World Holdings (Joanne Melton)</t>
        </is>
      </c>
      <c r="AB264" s="13" t="inlineStr">
        <is>
          <t>Media and Information Services (B2B)</t>
        </is>
      </c>
      <c r="AC264" s="13" t="inlineStr">
        <is>
          <t>AdTech, Advanced Manufacturing, AgTech, Artificial Intelligence &amp; Machine Learning, AudioTech, Augmented Reality, Autonomous cars, B2B Payments, Cannabis, Climate Tech, CloudTech &amp; DevOps, Cryptocurrency/Blockchain, Cybersecurity, Digital Health, E-Commerce, EdTech, Ephemeral Content, Esports, FoodTech, Gaming, HR Tech, Impact Investing, Infrastructure, InsurTech, Internet of Things, LOHAS &amp; Wellness, Manufacturing, Marketing Tech, Micro-Mobility, Mobile, Mobile Commerce, Oncology, Pet Technology, Restaurant Technology, Robotics and Drones, Supply Chain Tech, Virtual Reality, Wearables &amp; Quantified Self</t>
        </is>
      </c>
      <c r="AD264" s="13" t="inlineStr">
        <is>
          <t>Provider of digital marketing services and direct marketing leads intended to serve companies across the United States, Canada, and worldwide. The company offers sales leads, mailing lists, marketing leads, telemarketing lists, email marketing lists, cell phone lists, direct mail lists, international marketing lists, business owner cell phone lists, and business mailing lists, thereby helping clients to reach the right target at the right price.</t>
        </is>
      </c>
      <c r="AE264" s="13" t="inlineStr">
        <is>
          <t>Papillion, NE</t>
        </is>
      </c>
      <c r="AF264" s="13" t="inlineStr">
        <is>
          <t>www.promarketingleads.net</t>
        </is>
      </c>
    </row>
    <row r="265" ht="42" customHeight="1">
      <c r="A265" s="18" t="inlineStr">
        <is>
          <t>USA-264</t>
        </is>
      </c>
      <c r="B265" s="18" t="inlineStr">
        <is>
          <t>USA</t>
        </is>
      </c>
      <c r="C265" s="18" t="inlineStr">
        <is>
          <t>USA</t>
        </is>
      </c>
      <c r="D265" s="19" t="inlineStr">
        <is>
          <t>KAF Manufacturing</t>
        </is>
      </c>
      <c r="E265" s="19" t="inlineStr">
        <is>
          <t>908 Devices</t>
        </is>
      </c>
      <c r="F265" s="18" t="n"/>
      <c r="G265" s="19" t="n"/>
      <c r="H265" s="20" t="n">
        <v>45839</v>
      </c>
      <c r="I265" s="20" t="n"/>
      <c r="J265" s="21" t="n">
        <v>2025</v>
      </c>
      <c r="K265" s="19" t="inlineStr">
        <is>
          <t>Merger/Acquisition</t>
        </is>
      </c>
      <c r="L265" s="19" t="n"/>
      <c r="M265" s="19" t="inlineStr">
        <is>
          <t>Completed</t>
        </is>
      </c>
      <c r="N265" s="22" t="n">
        <v>2.75</v>
      </c>
      <c r="O265" s="18" t="inlineStr">
        <is>
          <t>USD</t>
        </is>
      </c>
      <c r="R265" s="37" t="n"/>
      <c r="S265" s="22" t="n"/>
      <c r="T265" s="37" t="n"/>
      <c r="U265" s="22" t="n"/>
      <c r="V265" s="19" t="n"/>
      <c r="W265" s="22" t="n">
        <v>2.75</v>
      </c>
      <c r="X265" s="19" t="inlineStr">
        <is>
          <t>The company was acquired by 908 Devices (NAS: MASS) for an estimated $2.75 million on July 1, 2025. The company will receive a contingent payout of $0.75 if certain operating requirements have been satisfied in accordance with the terms of the asset purchase agreement. The acquisition will help 908 Devices to secure its supply chain of critical fourier transform infrared components.</t>
        </is>
      </c>
      <c r="Y265" s="19" t="inlineStr">
        <is>
          <t>Corporate Backed or Acquired</t>
        </is>
      </c>
      <c r="Z265" s="19" t="inlineStr">
        <is>
          <t>Generating Revenue</t>
        </is>
      </c>
      <c r="AA265" s="19" t="inlineStr">
        <is>
          <t>908 Devices (NAS: MASS) (Andrew Bartfay-Szabo)</t>
        </is>
      </c>
      <c r="AB265" s="19" t="inlineStr">
        <is>
          <t>Other Commercial Services</t>
        </is>
      </c>
      <c r="AC265" s="19" t="inlineStr">
        <is>
          <t>Manufacturing</t>
        </is>
      </c>
      <c r="AD265" s="19" t="inlineStr">
        <is>
          <t>Provider of precision manufacturing services catering to a wide range of industries, including aerospace, medical, defense, and electronics. The company offers computer numerical control machining, electrical discharge machining, diamond turning, grinding, laser marking, lapping, and inspection, thereby enabling clients with tailored solutions that meet their specific needs.</t>
        </is>
      </c>
      <c r="AE265" s="19" t="inlineStr">
        <is>
          <t>Stamford, CT</t>
        </is>
      </c>
      <c r="AF265" s="19" t="inlineStr">
        <is>
          <t>www.kaf.com</t>
        </is>
      </c>
    </row>
    <row r="266" ht="42" customHeight="1">
      <c r="A266" s="12" t="inlineStr">
        <is>
          <t>USA-265</t>
        </is>
      </c>
      <c r="B266" s="12" t="inlineStr">
        <is>
          <t>USA</t>
        </is>
      </c>
      <c r="C266" s="12" t="inlineStr">
        <is>
          <t>USA</t>
        </is>
      </c>
      <c r="D266" s="13" t="inlineStr">
        <is>
          <t>One30Seven</t>
        </is>
      </c>
      <c r="E266" s="13" t="inlineStr">
        <is>
          <t>ASP Isotopes</t>
        </is>
      </c>
      <c r="F266" s="12" t="n"/>
      <c r="G266" s="13" t="n"/>
      <c r="H266" s="14" t="n">
        <v>45951</v>
      </c>
      <c r="I266" s="14" t="n"/>
      <c r="J266" s="15" t="n">
        <v>2025</v>
      </c>
      <c r="K266" s="13" t="inlineStr">
        <is>
          <t>Merger/Acquisition</t>
        </is>
      </c>
      <c r="L266" s="13" t="n"/>
      <c r="M266" s="13" t="inlineStr">
        <is>
          <t>Completed</t>
        </is>
      </c>
      <c r="N266" s="16" t="n">
        <v>2.7</v>
      </c>
      <c r="O266" s="12" t="inlineStr">
        <is>
          <t>USD</t>
        </is>
      </c>
      <c r="R266" s="36" t="n"/>
      <c r="S266" s="16" t="n"/>
      <c r="T266" s="36" t="n"/>
      <c r="U266" s="16" t="n"/>
      <c r="V266" s="13" t="n"/>
      <c r="W266" s="16" t="n">
        <v>2.7</v>
      </c>
      <c r="X266" s="13" t="inlineStr">
        <is>
          <t>The company was acquired by ASP Isotopes (NAS: ASPI) for $2.7 million on October 21, 2025. The acquisition helps to increase the vertical integration of QLE's business in the nuclear fuel cycle. The consideration of cash payment of $150,000 and 266,113 shares of ASPI common stock.</t>
        </is>
      </c>
      <c r="Y266" s="13" t="inlineStr">
        <is>
          <t>Corporate Backed or Acquired</t>
        </is>
      </c>
      <c r="Z266" s="13" t="inlineStr">
        <is>
          <t>Generating Revenue</t>
        </is>
      </c>
      <c r="AA266" s="13" t="inlineStr">
        <is>
          <t>ASP Isotopes (NAS: ASPI)</t>
        </is>
      </c>
      <c r="AB266" s="13" t="inlineStr">
        <is>
          <t>Environmental Services (B2B)</t>
        </is>
      </c>
      <c r="AC266" s="13" t="inlineStr">
        <is>
          <t>CleanTech</t>
        </is>
      </c>
      <c r="AD266" s="13" t="inlineStr">
        <is>
          <t>Provider of decontamination services intended to reduce environmental impact from radioactive waste. The company offers modular creber units in multiple sizes for treating waste from nuclear power plants, radiopharmaceutical producers and the military.</t>
        </is>
      </c>
      <c r="AE266" s="13" t="inlineStr">
        <is>
          <t>Plano, TX</t>
        </is>
      </c>
      <c r="AF266" s="13" t="inlineStr">
        <is>
          <t>www.one30seven.com</t>
        </is>
      </c>
    </row>
    <row r="267" ht="42" customHeight="1">
      <c r="A267" s="18" t="inlineStr">
        <is>
          <t>USA-266</t>
        </is>
      </c>
      <c r="B267" s="18" t="inlineStr">
        <is>
          <t>USA</t>
        </is>
      </c>
      <c r="C267" s="18" t="inlineStr">
        <is>
          <t>USA</t>
        </is>
      </c>
      <c r="D267" s="19" t="inlineStr">
        <is>
          <t>Digicom Electronics</t>
        </is>
      </c>
      <c r="E267" s="19" t="inlineStr">
        <is>
          <t>Kaynes Technology</t>
        </is>
      </c>
      <c r="F267" s="18" t="n"/>
      <c r="G267" s="19" t="n"/>
      <c r="H267" s="20" t="n">
        <v>45322</v>
      </c>
      <c r="I267" s="20" t="n"/>
      <c r="J267" s="21" t="n">
        <v>2024</v>
      </c>
      <c r="K267" s="19" t="inlineStr">
        <is>
          <t>Merger/Acquisition</t>
        </is>
      </c>
      <c r="L267" s="19" t="n"/>
      <c r="M267" s="19" t="inlineStr">
        <is>
          <t>Completed</t>
        </is>
      </c>
      <c r="N267" s="22" t="n">
        <v>2.5</v>
      </c>
      <c r="O267" s="18" t="inlineStr">
        <is>
          <t>USD</t>
        </is>
      </c>
      <c r="R267" s="37" t="n"/>
      <c r="S267" s="22" t="n"/>
      <c r="T267" s="37" t="n"/>
      <c r="U267" s="22" t="n"/>
      <c r="V267" s="19" t="n"/>
      <c r="W267" s="22" t="n">
        <v>2.5</v>
      </c>
      <c r="X267" s="19" t="inlineStr">
        <is>
          <t>The company was acquired by Kaynes Technology (BOM: 543664) for $2.5 million on January 31, 2024. This acquisition marks a new era in electronics manufacturing for both Kaynes and Digicom and to leverage the strong political and technological partnership between India and the U.S. to unlock new opportunities and growth for both companies.</t>
        </is>
      </c>
      <c r="Y267" s="19" t="inlineStr">
        <is>
          <t>Corporate Backed or Acquired</t>
        </is>
      </c>
      <c r="Z267" s="19" t="inlineStr">
        <is>
          <t>Generating Revenue</t>
        </is>
      </c>
      <c r="AA267" s="19" t="inlineStr">
        <is>
          <t>Kaynes Technology (BOM: 543664) (Ramesh Kannan)</t>
        </is>
      </c>
      <c r="AB267" s="19" t="inlineStr">
        <is>
          <t>Electrical Equipment</t>
        </is>
      </c>
      <c r="AC267" s="19" t="inlineStr">
        <is>
          <t>Manufacturing</t>
        </is>
      </c>
      <c r="AD267" s="19" t="inlineStr">
        <is>
          <t>Provider of electronics manufacturing services intended to serve the biomedical, telecommunications, instrument and aerospace industry. The company offers kitting, incoming inspection, solder paste printing, component placement, cleaning, optical and X-ray Inspection, assembly, complex cable assembles, PCB assembly and electronics.</t>
        </is>
      </c>
      <c r="AE267" s="19" t="inlineStr">
        <is>
          <t>Oakland, CA</t>
        </is>
      </c>
      <c r="AF267" s="19" t="inlineStr">
        <is>
          <t>www.digicom.org</t>
        </is>
      </c>
    </row>
    <row r="268" ht="42" customHeight="1">
      <c r="A268" s="12" t="inlineStr">
        <is>
          <t>USA-267</t>
        </is>
      </c>
      <c r="B268" s="12" t="inlineStr">
        <is>
          <t>USA</t>
        </is>
      </c>
      <c r="C268" s="12" t="inlineStr">
        <is>
          <t>USA</t>
        </is>
      </c>
      <c r="D268" s="13" t="inlineStr">
        <is>
          <t>Silicon Valley Manufacturing</t>
        </is>
      </c>
      <c r="E268" s="13" t="inlineStr">
        <is>
          <t>PMGC Holdings</t>
        </is>
      </c>
      <c r="F268" s="12" t="n"/>
      <c r="G268" s="13" t="n"/>
      <c r="H268" s="14" t="n">
        <v>46056</v>
      </c>
      <c r="I268" s="14" t="n"/>
      <c r="J268" s="15" t="n">
        <v>2026</v>
      </c>
      <c r="K268" s="13" t="inlineStr">
        <is>
          <t>Merger/Acquisition</t>
        </is>
      </c>
      <c r="L268" s="13" t="n"/>
      <c r="M268" s="13" t="inlineStr">
        <is>
          <t>Completed</t>
        </is>
      </c>
      <c r="N268" s="16" t="n">
        <v>2.25</v>
      </c>
      <c r="O268" s="12" t="inlineStr">
        <is>
          <t>USD</t>
        </is>
      </c>
      <c r="R268" s="36" t="n"/>
      <c r="S268" s="16" t="n"/>
      <c r="T268" s="36" t="n"/>
      <c r="U268" s="16" t="n"/>
      <c r="V268" s="13" t="n"/>
      <c r="W268" s="16" t="n">
        <v>2.25</v>
      </c>
      <c r="X268" s="13" t="inlineStr">
        <is>
          <t>The company was acquired by PMGC Holdings (NAS: ELAB) for $2.25 million on February 3, 2026. This acquisition is expanding PMGC's growing footprint in precision manufacturing and furthering its strategy to assemble a multi-site machining platform serving aerospace, defence, medical and industrial industries.</t>
        </is>
      </c>
      <c r="Y268" s="13" t="inlineStr">
        <is>
          <t>Corporate Backed or Acquired</t>
        </is>
      </c>
      <c r="Z268" s="13" t="inlineStr">
        <is>
          <t>Generating Revenue</t>
        </is>
      </c>
      <c r="AA268" s="13" t="inlineStr">
        <is>
          <t>PMGC Holdings (NAS: ELAB)</t>
        </is>
      </c>
      <c r="AB268" s="13" t="inlineStr">
        <is>
          <t>Industrial Supplies and Parts</t>
        </is>
      </c>
      <c r="AC268" s="13" t="inlineStr">
        <is>
          <t>Manufacturing</t>
        </is>
      </c>
      <c r="AD268" s="13" t="inlineStr">
        <is>
          <t>Provider of computer numerical control precision machining and manufacturing services intended to serve medical, aerospace, biotech &amp; pharmaceutical, semiconductor, and transportation markets. The company offers 5-axis milling, high-precision and tight tolerance, turning services, lights-out machining, advanced equipment and difficult and exotic materials.</t>
        </is>
      </c>
      <c r="AE268" s="13" t="inlineStr">
        <is>
          <t>Newark, CA</t>
        </is>
      </c>
      <c r="AF268" s="13" t="inlineStr">
        <is>
          <t>www.svmfg.com</t>
        </is>
      </c>
    </row>
    <row r="269" ht="42" customHeight="1">
      <c r="A269" s="18" t="inlineStr">
        <is>
          <t>USA-268</t>
        </is>
      </c>
      <c r="B269" s="18" t="inlineStr">
        <is>
          <t>USA</t>
        </is>
      </c>
      <c r="C269" s="18" t="inlineStr">
        <is>
          <t>USA</t>
        </is>
      </c>
      <c r="D269" s="19" t="inlineStr">
        <is>
          <t>Ranger Up</t>
        </is>
      </c>
      <c r="E269" s="19" t="n"/>
      <c r="F269" s="18" t="n"/>
      <c r="G269" s="19" t="n"/>
      <c r="H269" s="20" t="n">
        <v>45898</v>
      </c>
      <c r="I269" s="20" t="n"/>
      <c r="J269" s="21" t="n">
        <v>2025</v>
      </c>
      <c r="K269" s="19" t="inlineStr">
        <is>
          <t>Merger/Acquisition</t>
        </is>
      </c>
      <c r="L269" s="19" t="n"/>
      <c r="M269" s="19" t="inlineStr">
        <is>
          <t>Completed</t>
        </is>
      </c>
      <c r="N269" s="22" t="n">
        <v>1.8</v>
      </c>
      <c r="O269" s="18" t="inlineStr">
        <is>
          <t>USD</t>
        </is>
      </c>
      <c r="R269" s="37" t="n"/>
      <c r="S269" s="22" t="n"/>
      <c r="T269" s="37" t="n"/>
      <c r="U269" s="22" t="n"/>
      <c r="V269" s="19" t="n"/>
      <c r="W269" s="22" t="n">
        <v>1.8</v>
      </c>
      <c r="X269" s="19" t="inlineStr">
        <is>
          <t>The company was acquired for $1.8 million on August 29, 2025.</t>
        </is>
      </c>
      <c r="Y269" s="19" t="inlineStr">
        <is>
          <t>Corporate Backed or Acquired</t>
        </is>
      </c>
      <c r="Z269" s="19" t="inlineStr">
        <is>
          <t>Generating Revenue</t>
        </is>
      </c>
      <c r="AA269" s="19" t="n"/>
      <c r="AB269" s="19" t="inlineStr">
        <is>
          <t>Clothing</t>
        </is>
      </c>
      <c r="AC269" s="19" t="inlineStr">
        <is>
          <t>E-Commerce</t>
        </is>
      </c>
      <c r="AD269" s="19" t="inlineStr">
        <is>
          <t>Operator of a military-themed apparel brand intended to honor service members and promote patriotic pride through bold, expressive clothing. The company offers original Army, Navy, Air Force, Marines and Coast Guard apparel featuring distinctive military and patriotic designs, enabling customers to wear their pride, express their values and connect with a like-minded community.</t>
        </is>
      </c>
      <c r="AE269" s="19" t="inlineStr">
        <is>
          <t>Durham, NC</t>
        </is>
      </c>
      <c r="AF269" s="19" t="inlineStr">
        <is>
          <t>www.rangerup.com</t>
        </is>
      </c>
    </row>
    <row r="270" ht="42" customHeight="1">
      <c r="A270" s="12" t="inlineStr">
        <is>
          <t>USA-269</t>
        </is>
      </c>
      <c r="B270" s="12" t="inlineStr">
        <is>
          <t>USA</t>
        </is>
      </c>
      <c r="C270" s="12" t="inlineStr">
        <is>
          <t>USA</t>
        </is>
      </c>
      <c r="D270" s="13" t="inlineStr">
        <is>
          <t>Realbotix (Other Commercial Services)</t>
        </is>
      </c>
      <c r="E270" s="13" t="inlineStr">
        <is>
          <t>Onconetix</t>
        </is>
      </c>
      <c r="F270" s="12" t="n"/>
      <c r="G270" s="13" t="n"/>
      <c r="H270" s="14" t="n">
        <v>46055</v>
      </c>
      <c r="I270" s="14" t="n"/>
      <c r="J270" s="15" t="n">
        <v>2026</v>
      </c>
      <c r="K270" s="13" t="inlineStr">
        <is>
          <t>Merger/Acquisition</t>
        </is>
      </c>
      <c r="L270" s="13" t="n"/>
      <c r="M270" s="13" t="inlineStr">
        <is>
          <t>Completed</t>
        </is>
      </c>
      <c r="N270" s="16" t="n">
        <v>1.8</v>
      </c>
      <c r="O270" s="12" t="inlineStr">
        <is>
          <t>USD</t>
        </is>
      </c>
      <c r="R270" s="36" t="n"/>
      <c r="S270" s="16" t="n"/>
      <c r="T270" s="36" t="n"/>
      <c r="U270" s="16" t="n"/>
      <c r="V270" s="13" t="inlineStr">
        <is>
          <t>Corporate Divestiture</t>
        </is>
      </c>
      <c r="W270" s="16" t="n">
        <v>1.8</v>
      </c>
      <c r="X270" s="13" t="inlineStr">
        <is>
          <t>The company was acquired by Onconetix (NAS: ONCO) for $1.8 million on February 2, 2026.</t>
        </is>
      </c>
      <c r="Y270" s="13" t="inlineStr">
        <is>
          <t>Corporate Backed or Acquired</t>
        </is>
      </c>
      <c r="Z270" s="13" t="inlineStr">
        <is>
          <t>Generating Revenue</t>
        </is>
      </c>
      <c r="AA270" s="13" t="inlineStr">
        <is>
          <t>Onconetix (NAS: ONCO)</t>
        </is>
      </c>
      <c r="AB270" s="13" t="inlineStr">
        <is>
          <t>Other Commercial Services</t>
        </is>
      </c>
      <c r="AC270" s="13" t="inlineStr">
        <is>
          <t>Manufacturing, Robotics and Drones</t>
        </is>
      </c>
      <c r="AD270" s="13" t="inlineStr">
        <is>
          <t>Developer of AI-powered humanoid robots intended to improve human experiences through connection, learning, and play. The company offers AI-powered humanoid robots with lifelike expressions, vision, and social interaction, as well as highly realistic human appearance and human-centric AI models with a patented AI-Vision system.</t>
        </is>
      </c>
      <c r="AE270" s="13" t="inlineStr">
        <is>
          <t>Las Vegas, NV</t>
        </is>
      </c>
      <c r="AF270" s="13" t="inlineStr">
        <is>
          <t>www.realbotix.com</t>
        </is>
      </c>
    </row>
    <row r="271" ht="42" customHeight="1">
      <c r="A271" s="18" t="inlineStr">
        <is>
          <t>USA-270</t>
        </is>
      </c>
      <c r="B271" s="18" t="inlineStr">
        <is>
          <t>USA</t>
        </is>
      </c>
      <c r="C271" s="18" t="inlineStr">
        <is>
          <t>USA</t>
        </is>
      </c>
      <c r="D271" s="19" t="inlineStr">
        <is>
          <t>IMI (Application Specific Semiconductors)</t>
        </is>
      </c>
      <c r="E271" s="19" t="inlineStr">
        <is>
          <t>Firan Technology Group</t>
        </is>
      </c>
      <c r="F271" s="18" t="n"/>
      <c r="G271" s="19" t="n"/>
      <c r="H271" s="20" t="n">
        <v>44986</v>
      </c>
      <c r="I271" s="20" t="n"/>
      <c r="J271" s="21" t="n">
        <v>2023</v>
      </c>
      <c r="K271" s="19" t="inlineStr">
        <is>
          <t>Merger/Acquisition</t>
        </is>
      </c>
      <c r="L271" s="19" t="n"/>
      <c r="M271" s="19" t="inlineStr">
        <is>
          <t>Completed</t>
        </is>
      </c>
      <c r="N271" s="22" t="n">
        <v>1.49</v>
      </c>
      <c r="O271" s="18" t="inlineStr">
        <is>
          <t>USD</t>
        </is>
      </c>
      <c r="R271" s="37" t="n"/>
      <c r="S271" s="22" t="n"/>
      <c r="T271" s="37" t="n"/>
      <c r="U271" s="22" t="n"/>
      <c r="V271" s="19" t="n"/>
      <c r="W271" s="22" t="n">
        <v>1.49</v>
      </c>
      <c r="X271" s="19" t="inlineStr">
        <is>
          <t>The company was acquired by Firan Technology Group (TSE: FTG) for approximately CAD 2 million on March 1, 2023. This acquisition complements Firan Technology Group's existing facilities, add new customers and provide a broader product offering to its existing customer base.</t>
        </is>
      </c>
      <c r="Y271" s="19" t="inlineStr">
        <is>
          <t>Corporate Backed or Acquired</t>
        </is>
      </c>
      <c r="Z271" s="19" t="inlineStr">
        <is>
          <t>Generating Revenue</t>
        </is>
      </c>
      <c r="AA271" s="19" t="inlineStr">
        <is>
          <t>Firan Technology Group (TSE: FTG) (Bradley Bourne)</t>
        </is>
      </c>
      <c r="AB271" s="19" t="inlineStr">
        <is>
          <t>Application Specific Semiconductors</t>
        </is>
      </c>
      <c r="AC271" s="19" t="inlineStr">
        <is>
          <t>Manufacturing</t>
        </is>
      </c>
      <c r="AD271" s="19" t="inlineStr">
        <is>
          <t>Manufacturer of specialty RF circuit boards BASED IN Haverhill, Massachusetts. The company offers fabrication services and offers RF/microwave, mixed dielectric, hybrid substrates and traditional printed circuit boards, enabling aerospace, industrial, medical, military and telecommunications markets to meet demanding and time-critical application needs as desired.</t>
        </is>
      </c>
      <c r="AE271" s="19" t="inlineStr">
        <is>
          <t>Haverhill, MA</t>
        </is>
      </c>
      <c r="AF271" s="19" t="inlineStr">
        <is>
          <t>www.imipcb.com</t>
        </is>
      </c>
    </row>
    <row r="272" ht="42" customHeight="1">
      <c r="A272" s="12" t="inlineStr">
        <is>
          <t>USA-271</t>
        </is>
      </c>
      <c r="B272" s="12" t="inlineStr">
        <is>
          <t>USA</t>
        </is>
      </c>
      <c r="C272" s="12" t="inlineStr">
        <is>
          <t>USA</t>
        </is>
      </c>
      <c r="D272" s="13" t="inlineStr">
        <is>
          <t>Q-Par Antennas USA</t>
        </is>
      </c>
      <c r="E272" s="13" t="inlineStr">
        <is>
          <t>Solid State</t>
        </is>
      </c>
      <c r="F272" s="12" t="n"/>
      <c r="G272" s="13" t="n"/>
      <c r="H272" s="14" t="n">
        <v>45597</v>
      </c>
      <c r="I272" s="14" t="n"/>
      <c r="J272" s="15" t="n">
        <v>2024</v>
      </c>
      <c r="K272" s="13" t="inlineStr">
        <is>
          <t>Merger/Acquisition</t>
        </is>
      </c>
      <c r="L272" s="13" t="n"/>
      <c r="M272" s="13" t="inlineStr">
        <is>
          <t>Completed</t>
        </is>
      </c>
      <c r="N272" s="16" t="n">
        <v>1.48</v>
      </c>
      <c r="O272" s="12" t="inlineStr">
        <is>
          <t>USD</t>
        </is>
      </c>
      <c r="P272" s="50" t="n">
        <v>0.74</v>
      </c>
      <c r="R272" s="36" t="n"/>
      <c r="S272" s="16" t="n"/>
      <c r="T272" s="36" t="n">
        <v>0.74</v>
      </c>
      <c r="U272" s="16" t="n">
        <v>2</v>
      </c>
      <c r="V272" s="13" t="n"/>
      <c r="W272" s="16" t="n">
        <v>1.48</v>
      </c>
      <c r="X272" s="13" t="inlineStr">
        <is>
          <t>The company was acquired by Solid State (LON: SOLI) for an estimated $1.478 million on November 1, 2024. The company will receive a contingent payout of $500,000 will be paid out in cash over a two-year period. Earn-out consideration up to $500,000 may be payable, subject to exceeding certain growth and performance targets.</t>
        </is>
      </c>
      <c r="Y272" s="13" t="inlineStr">
        <is>
          <t>Corporate Backed or Acquired</t>
        </is>
      </c>
      <c r="Z272" s="13" t="inlineStr">
        <is>
          <t>Generating Revenue</t>
        </is>
      </c>
      <c r="AA272" s="13" t="inlineStr">
        <is>
          <t>Solid State (LON: SOLI) (Gary Marsh)</t>
        </is>
      </c>
      <c r="AB272" s="13" t="inlineStr">
        <is>
          <t>Aerospace and Defense</t>
        </is>
      </c>
      <c r="AC272" s="13" t="inlineStr">
        <is>
          <t>Manufacturing</t>
        </is>
      </c>
      <c r="AD272" s="13" t="inlineStr">
        <is>
          <t>Manufacturer and designer of microwave antennas intended to offer antenna systems and related technologies primarily for defense and security applications. The company offers custom-integrated microwave assemblies and RF amplifier equipment for the commercial, military, and space flight industry sectors.</t>
        </is>
      </c>
      <c r="AE272" s="13" t="inlineStr">
        <is>
          <t>Fountain Valley, CA</t>
        </is>
      </c>
      <c r="AF272" s="13" t="inlineStr">
        <is>
          <t>www.qparusa.com</t>
        </is>
      </c>
    </row>
    <row r="273" ht="42" customHeight="1">
      <c r="A273" s="18" t="inlineStr">
        <is>
          <t>USA-272</t>
        </is>
      </c>
      <c r="B273" s="18" t="inlineStr">
        <is>
          <t>USA</t>
        </is>
      </c>
      <c r="C273" s="18" t="inlineStr">
        <is>
          <t>USA</t>
        </is>
      </c>
      <c r="D273" s="19" t="inlineStr">
        <is>
          <t>Volatus Drones</t>
        </is>
      </c>
      <c r="E273" s="19" t="inlineStr">
        <is>
          <t>Volatus Aerospace</t>
        </is>
      </c>
      <c r="F273" s="18" t="n"/>
      <c r="G273" s="19" t="n"/>
      <c r="H273" s="20" t="n">
        <v>44957</v>
      </c>
      <c r="I273" s="20" t="n"/>
      <c r="J273" s="21" t="n">
        <v>2023</v>
      </c>
      <c r="K273" s="19" t="inlineStr">
        <is>
          <t>Merger/Acquisition</t>
        </is>
      </c>
      <c r="L273" s="19" t="n"/>
      <c r="M273" s="19" t="inlineStr">
        <is>
          <t>Completed</t>
        </is>
      </c>
      <c r="N273" s="22" t="n">
        <v>1.24</v>
      </c>
      <c r="O273" s="18" t="inlineStr">
        <is>
          <t>USD</t>
        </is>
      </c>
      <c r="R273" s="37" t="n"/>
      <c r="S273" s="22" t="n"/>
      <c r="T273" s="37" t="n"/>
      <c r="U273" s="22" t="n"/>
      <c r="V273" s="19" t="n"/>
      <c r="W273" s="22" t="n">
        <v>1.24</v>
      </c>
      <c r="X273" s="19" t="inlineStr">
        <is>
          <t>The company was acquired by Volatus Aerospace (TSX: FLT), a subsidiary of Drone Delivery Canada, for $1.24 million on January 31, 2023. The company will receive a contingent payout of $469000 subject to certain revenue milestones 12 months after closing. The acquisition allows Volatus Aerospace to establish its presence more firmly in the US and capitalize on the opportunity presented by a burgeoning drone market.</t>
        </is>
      </c>
      <c r="Y273" s="19" t="inlineStr">
        <is>
          <t>Corporate Backed or Acquired</t>
        </is>
      </c>
      <c r="Z273" s="19" t="inlineStr">
        <is>
          <t>Generating Revenue</t>
        </is>
      </c>
      <c r="AA273" s="19" t="inlineStr">
        <is>
          <t>Volatus Aerospace (TSE: FLT) (Glen Lynch)</t>
        </is>
      </c>
      <c r="AB273" s="19" t="inlineStr">
        <is>
          <t>Distributors/Wholesale</t>
        </is>
      </c>
      <c r="AC273" s="19" t="inlineStr">
        <is>
          <t>Robotics and Drones</t>
        </is>
      </c>
      <c r="AD273" s="19" t="inlineStr">
        <is>
          <t>Distributor of drone integrators for unmanned aerial systems based in Syracuse, New York. The company specializes in offering end-to-end enterprise drone program support, including enterprise sales, training, maintenance, repairs, and leasing, while providing industry-leading service and support resources to implement and maintain a successful drone program.</t>
        </is>
      </c>
      <c r="AE273" s="19" t="inlineStr">
        <is>
          <t>Syracuse, NY</t>
        </is>
      </c>
      <c r="AF273" s="19" t="inlineStr">
        <is>
          <t>www.volatusdrones.com</t>
        </is>
      </c>
    </row>
    <row r="274" ht="42" customHeight="1">
      <c r="A274" s="12" t="inlineStr">
        <is>
          <t>USA-273</t>
        </is>
      </c>
      <c r="B274" s="12" t="inlineStr">
        <is>
          <t>USA</t>
        </is>
      </c>
      <c r="C274" s="12" t="inlineStr">
        <is>
          <t>USA</t>
        </is>
      </c>
      <c r="D274" s="13" t="inlineStr">
        <is>
          <t>Healion Bio</t>
        </is>
      </c>
      <c r="E274" s="13" t="inlineStr">
        <is>
          <t>Tonix Pharmaceuticals Holding</t>
        </is>
      </c>
      <c r="F274" s="12" t="n"/>
      <c r="G274" s="13" t="n"/>
      <c r="H274" s="14" t="n">
        <v>44959</v>
      </c>
      <c r="I274" s="14" t="n"/>
      <c r="J274" s="15" t="n">
        <v>2023</v>
      </c>
      <c r="K274" s="13" t="inlineStr">
        <is>
          <t>Merger/Acquisition</t>
        </is>
      </c>
      <c r="L274" s="13" t="n"/>
      <c r="M274" s="13" t="inlineStr">
        <is>
          <t>Completed</t>
        </is>
      </c>
      <c r="N274" s="16" t="n">
        <v>1.2</v>
      </c>
      <c r="O274" s="12" t="inlineStr">
        <is>
          <t>USD</t>
        </is>
      </c>
      <c r="R274" s="36" t="n"/>
      <c r="S274" s="16" t="n"/>
      <c r="T274" s="36" t="n"/>
      <c r="U274" s="16" t="n"/>
      <c r="V274" s="13" t="n"/>
      <c r="W274" s="16" t="n">
        <v>1.2</v>
      </c>
      <c r="X274" s="13" t="inlineStr">
        <is>
          <t>The company was acquired by Tonix Pharmaceuticals Holding (NAS: TNXP) for $1.2 million on February 2, 2023.</t>
        </is>
      </c>
      <c r="Y274" s="13" t="inlineStr">
        <is>
          <t>Formerly VC-backed</t>
        </is>
      </c>
      <c r="Z274" s="13" t="inlineStr">
        <is>
          <t>Generating Revenue</t>
        </is>
      </c>
      <c r="AA274" s="13" t="inlineStr">
        <is>
          <t>Tonix Pharmaceuticals Holding (NAS: TNXP) (Seth Lederman)</t>
        </is>
      </c>
      <c r="AB274" s="13" t="inlineStr">
        <is>
          <t>Drug Discovery</t>
        </is>
      </c>
      <c r="AC274" s="13" t="inlineStr">
        <is>
          <t>Life Sciences, Oncology</t>
        </is>
      </c>
      <c r="AD274" s="13" t="inlineStr">
        <is>
          <t>Developer of medicines intended to cure and prevent infectious diseases for which there are few or no good treatment options. The company specializes in layered defense against diseases which includes diagnostics, vaccines, prophylactics, and therapeutics by combining excellence in science with entrepreneurial creativity, enabling pharma companies, universities, and government labs to get to a safe, workable, and improved health quickly.</t>
        </is>
      </c>
      <c r="AE274" s="13" t="inlineStr">
        <is>
          <t>Frederick, MD</t>
        </is>
      </c>
      <c r="AF274" s="13" t="inlineStr">
        <is>
          <t>www.healionbio.com</t>
        </is>
      </c>
    </row>
    <row r="275" ht="42" customHeight="1">
      <c r="A275" s="18" t="inlineStr">
        <is>
          <t>USA-274</t>
        </is>
      </c>
      <c r="B275" s="18" t="inlineStr">
        <is>
          <t>USA</t>
        </is>
      </c>
      <c r="C275" s="18" t="inlineStr">
        <is>
          <t>USA</t>
        </is>
      </c>
      <c r="D275" s="19" t="inlineStr">
        <is>
          <t>HRW</t>
        </is>
      </c>
      <c r="E275" s="19" t="inlineStr">
        <is>
          <t>Porvair</t>
        </is>
      </c>
      <c r="F275" s="18" t="n"/>
      <c r="G275" s="19" t="n"/>
      <c r="H275" s="20" t="n">
        <v>44988</v>
      </c>
      <c r="I275" s="20" t="n"/>
      <c r="J275" s="21" t="n">
        <v>2023</v>
      </c>
      <c r="K275" s="19" t="inlineStr">
        <is>
          <t>Merger/Acquisition</t>
        </is>
      </c>
      <c r="L275" s="19" t="n"/>
      <c r="M275" s="19" t="inlineStr">
        <is>
          <t>Completed</t>
        </is>
      </c>
      <c r="N275" s="22" t="n">
        <v>1.09</v>
      </c>
      <c r="O275" s="18" t="inlineStr">
        <is>
          <t>USD</t>
        </is>
      </c>
      <c r="R275" s="37" t="n"/>
      <c r="S275" s="22" t="n"/>
      <c r="T275" s="37" t="n"/>
      <c r="U275" s="22" t="n"/>
      <c r="V275" s="19" t="n"/>
      <c r="W275" s="22" t="n">
        <v>1.09</v>
      </c>
      <c r="X275" s="19" t="inlineStr">
        <is>
          <t>The company was acquired by Porvair (LON: PRV) for Â£900,000 on March 3, 2023. The acquisition expands machining and product design skills to Idaho.</t>
        </is>
      </c>
      <c r="Y275" s="19" t="inlineStr">
        <is>
          <t>Corporate Backed or Acquired</t>
        </is>
      </c>
      <c r="Z275" s="19" t="inlineStr">
        <is>
          <t>Generating Revenue</t>
        </is>
      </c>
      <c r="AA275" s="19" t="inlineStr">
        <is>
          <t>Porvair (LON: PRV)</t>
        </is>
      </c>
      <c r="AB275" s="19" t="inlineStr">
        <is>
          <t>Distributors/Wholesale</t>
        </is>
      </c>
      <c r="AC275" s="19" t="n"/>
      <c r="AD275" s="19" t="inlineStr">
        <is>
          <t>Supplier of machining catering to aerospace and microelectronic industries.</t>
        </is>
      </c>
      <c r="AE275" s="19" t="inlineStr">
        <is>
          <t>Nampa, ID</t>
        </is>
      </c>
      <c r="AF275" s="19" t="n"/>
    </row>
    <row r="276" ht="42" customHeight="1">
      <c r="A276" s="12" t="inlineStr">
        <is>
          <t>USA-275</t>
        </is>
      </c>
      <c r="B276" s="12" t="inlineStr">
        <is>
          <t>USA</t>
        </is>
      </c>
      <c r="C276" s="12" t="inlineStr">
        <is>
          <t>USA</t>
        </is>
      </c>
      <c r="D276" s="13" t="inlineStr">
        <is>
          <t>Control Micro Systems</t>
        </is>
      </c>
      <c r="E276" s="13" t="inlineStr">
        <is>
          <t>Laser Photonics</t>
        </is>
      </c>
      <c r="F276" s="12" t="n"/>
      <c r="G276" s="13" t="n"/>
      <c r="H276" s="14" t="n">
        <v>45596</v>
      </c>
      <c r="I276" s="14" t="n"/>
      <c r="J276" s="15" t="n">
        <v>2024</v>
      </c>
      <c r="K276" s="13" t="inlineStr">
        <is>
          <t>Merger/Acquisition</t>
        </is>
      </c>
      <c r="L276" s="13" t="n"/>
      <c r="M276" s="13" t="inlineStr">
        <is>
          <t>Completed</t>
        </is>
      </c>
      <c r="N276" s="16" t="n">
        <v>1.05</v>
      </c>
      <c r="O276" s="12" t="inlineStr">
        <is>
          <t>USD</t>
        </is>
      </c>
      <c r="R276" s="36" t="n"/>
      <c r="S276" s="16" t="n"/>
      <c r="T276" s="36" t="n"/>
      <c r="U276" s="16" t="n"/>
      <c r="V276" s="13" t="n"/>
      <c r="W276" s="16" t="n">
        <v>1.05</v>
      </c>
      <c r="X276" s="13" t="inlineStr">
        <is>
          <t>The company was acquired by Laser Photonics (Industrial Supplies and Parts) (NAS: LASE) for $1.05 million on October 31, 2024. The acquisition represents a strategic move by Laser Photonics, potentially diversifying its revenue streams, diversifying its product offerings and breaking into new sectors.</t>
        </is>
      </c>
      <c r="Y276" s="13" t="inlineStr">
        <is>
          <t>Corporate Backed or Acquired</t>
        </is>
      </c>
      <c r="Z276" s="13" t="inlineStr">
        <is>
          <t>Generating Revenue</t>
        </is>
      </c>
      <c r="AA276" s="13" t="inlineStr">
        <is>
          <t>Laser Photonics (NAS: LASE) (Wayne Tupuola)</t>
        </is>
      </c>
      <c r="AB276" s="13" t="inlineStr">
        <is>
          <t>Machinery (B2B)</t>
        </is>
      </c>
      <c r="AC276" s="13" t="inlineStr">
        <is>
          <t>Industrials, Manufacturing</t>
        </is>
      </c>
      <c r="AD276" s="13" t="inlineStr">
        <is>
          <t>designer and manufacturer of industrial laser systems intended for aerospace, appliances, automotive, electronics, medical, packaging, pharmaceutical and other related industries. The company designs and builds customized laser material processing systems for marking, engraving, etching, cutting, drilling, welding, and stripping, thereby enabling clients to solve their material processing challenges with laser material processing automation.</t>
        </is>
      </c>
      <c r="AE276" s="13" t="inlineStr">
        <is>
          <t>Winter Park, FL</t>
        </is>
      </c>
      <c r="AF276" s="13" t="inlineStr">
        <is>
          <t>www.cmslaser.com</t>
        </is>
      </c>
    </row>
    <row r="277" ht="42" customHeight="1">
      <c r="A277" s="18" t="inlineStr">
        <is>
          <t>USA-276</t>
        </is>
      </c>
      <c r="B277" s="18" t="inlineStr">
        <is>
          <t>USA</t>
        </is>
      </c>
      <c r="C277" s="18" t="inlineStr">
        <is>
          <t>USA</t>
        </is>
      </c>
      <c r="D277" s="19" t="inlineStr">
        <is>
          <t>XDOT Bearing Technologies</t>
        </is>
      </c>
      <c r="E277" s="19" t="inlineStr">
        <is>
          <t>Barber-Nichols</t>
        </is>
      </c>
      <c r="F277" s="18" t="n"/>
      <c r="G277" s="19" t="n"/>
      <c r="H277" s="20" t="n">
        <v>45950</v>
      </c>
      <c r="I277" s="20" t="n"/>
      <c r="J277" s="21" t="n">
        <v>2025</v>
      </c>
      <c r="K277" s="19" t="inlineStr">
        <is>
          <t>Merger/Acquisition</t>
        </is>
      </c>
      <c r="L277" s="19" t="n"/>
      <c r="M277" s="19" t="inlineStr">
        <is>
          <t>Completed</t>
        </is>
      </c>
      <c r="N277" s="22" t="n">
        <v>0.9</v>
      </c>
      <c r="O277" s="18" t="inlineStr">
        <is>
          <t>USD</t>
        </is>
      </c>
      <c r="P277" s="50" t="n">
        <v>0.9</v>
      </c>
      <c r="R277" s="37" t="n"/>
      <c r="S277" s="22" t="n"/>
      <c r="T277" s="37" t="n">
        <v>0.9</v>
      </c>
      <c r="U277" s="22" t="n">
        <v>1</v>
      </c>
      <c r="V277" s="19" t="n"/>
      <c r="W277" s="22" t="n">
        <v>0.9</v>
      </c>
      <c r="X277" s="19" t="inlineStr">
        <is>
          <t>The company was acquired by Barber-Nichols, a subsidiary of Graham (NYS: GHM), for approximately $900,000 on October 20, 2025. The company will receive a contingent payout of $600,000 to be paid on the first and second anniversary of the transaction dependent upon the achievement of certain qualitative milestones.</t>
        </is>
      </c>
      <c r="Y277" s="19" t="inlineStr">
        <is>
          <t>Corporate Backed or Acquired</t>
        </is>
      </c>
      <c r="Z277" s="19" t="inlineStr">
        <is>
          <t>Generating Revenue</t>
        </is>
      </c>
      <c r="AA277" s="19" t="inlineStr">
        <is>
          <t>Barber-Nichols (Michael Dixon)</t>
        </is>
      </c>
      <c r="AB277" s="19" t="inlineStr">
        <is>
          <t>Consulting Services (B2B)</t>
        </is>
      </c>
      <c r="AC277" s="19" t="n"/>
      <c r="AD277" s="19" t="inlineStr">
        <is>
          <t>Provider of foil bearing and rotordynamics engineering services catering to aerospace, consumer, and medical industries. The company offers design, building and testing of foil bearings, rotordynamic consulting services, rotordynamic consuting services thereby enabling customers to meet their project needs.</t>
        </is>
      </c>
      <c r="AE277" s="19" t="inlineStr">
        <is>
          <t>Charlottesville, VA</t>
        </is>
      </c>
      <c r="AF277" s="19" t="inlineStr">
        <is>
          <t>www.xdotbt.com</t>
        </is>
      </c>
    </row>
    <row r="278" ht="42" customHeight="1">
      <c r="A278" s="12" t="inlineStr">
        <is>
          <t>USA-277</t>
        </is>
      </c>
      <c r="B278" s="12" t="inlineStr">
        <is>
          <t>USA</t>
        </is>
      </c>
      <c r="C278" s="12" t="inlineStr">
        <is>
          <t>USA</t>
        </is>
      </c>
      <c r="D278" s="13" t="inlineStr">
        <is>
          <t>VA Wholesale Mortgage</t>
        </is>
      </c>
      <c r="E278" s="13" t="inlineStr">
        <is>
          <t>Glen Burnie Bancorp</t>
        </is>
      </c>
      <c r="F278" s="12" t="n"/>
      <c r="G278" s="13" t="n"/>
      <c r="H278" s="14" t="n">
        <v>45884</v>
      </c>
      <c r="I278" s="14" t="n"/>
      <c r="J278" s="15" t="n">
        <v>2025</v>
      </c>
      <c r="K278" s="13" t="inlineStr">
        <is>
          <t>Merger/Acquisition</t>
        </is>
      </c>
      <c r="L278" s="13" t="n"/>
      <c r="M278" s="13" t="inlineStr">
        <is>
          <t>Completed</t>
        </is>
      </c>
      <c r="N278" s="16" t="n">
        <v>0.75</v>
      </c>
      <c r="O278" s="12" t="inlineStr">
        <is>
          <t>USD</t>
        </is>
      </c>
      <c r="R278" s="36" t="n"/>
      <c r="S278" s="16" t="n"/>
      <c r="T278" s="36" t="n"/>
      <c r="U278" s="16" t="n"/>
      <c r="V278" s="13" t="inlineStr">
        <is>
          <t>Acquisition Financing</t>
        </is>
      </c>
      <c r="W278" s="16" t="n">
        <v>0.75</v>
      </c>
      <c r="X278" s="13" t="inlineStr">
        <is>
          <t>The company was acquired by Glen Burnie Bancorp (PINX: GLBZ) for $750,000 on August 15, 2025. This acquisition will provide access to new products and markets for the Bank, create the ability to originate and sell mortgages off our balance sheet, and provide cross-selling opportunities for the Bank's products and services to the company's existing and new clients.</t>
        </is>
      </c>
      <c r="Y278" s="13" t="inlineStr">
        <is>
          <t>Corporate Backed or Acquired</t>
        </is>
      </c>
      <c r="Z278" s="13" t="inlineStr">
        <is>
          <t>Generating Revenue</t>
        </is>
      </c>
      <c r="AA278" s="13" t="inlineStr">
        <is>
          <t>Glen Burnie Bancorp (PINX: GLBZ) (Mark Hanna)</t>
        </is>
      </c>
      <c r="AB278" s="13" t="inlineStr">
        <is>
          <t>Consumer Finance</t>
        </is>
      </c>
      <c r="AC278" s="13" t="inlineStr">
        <is>
          <t>Mortgage Tech</t>
        </is>
      </c>
      <c r="AD278" s="13" t="inlineStr">
        <is>
          <t>Developer of a mortgage brokerage platform designed to provide home financing services for military personnel, veterans, and residential borrowers. The company offers VA loans, FHA loans, conventional mortgages, jumbo financing, and non-qualified mortgage options, enabling military families, veterans, and homebuyers to access flexible residential financing and refinancing services.</t>
        </is>
      </c>
      <c r="AE278" s="13" t="inlineStr">
        <is>
          <t>Virginia Beach, VA</t>
        </is>
      </c>
      <c r="AF278" s="13" t="inlineStr">
        <is>
          <t>www.vawholesalemtg.com</t>
        </is>
      </c>
    </row>
    <row r="279" ht="42" customHeight="1">
      <c r="A279" s="18" t="inlineStr">
        <is>
          <t>USA-278</t>
        </is>
      </c>
      <c r="B279" s="18" t="inlineStr">
        <is>
          <t>USA</t>
        </is>
      </c>
      <c r="C279" s="18" t="inlineStr">
        <is>
          <t>USA</t>
        </is>
      </c>
      <c r="D279" s="19" t="inlineStr">
        <is>
          <t>AGA Precision Systems</t>
        </is>
      </c>
      <c r="E279" s="19" t="inlineStr">
        <is>
          <t>PMGC Holdings</t>
        </is>
      </c>
      <c r="F279" s="18" t="n"/>
      <c r="G279" s="19" t="n"/>
      <c r="H279" s="20" t="n">
        <v>45856</v>
      </c>
      <c r="I279" s="20" t="n"/>
      <c r="J279" s="21" t="n">
        <v>2025</v>
      </c>
      <c r="K279" s="19" t="inlineStr">
        <is>
          <t>Merger/Acquisition</t>
        </is>
      </c>
      <c r="L279" s="19" t="n"/>
      <c r="M279" s="19" t="inlineStr">
        <is>
          <t>Completed</t>
        </is>
      </c>
      <c r="N279" s="22" t="n">
        <v>0.65</v>
      </c>
      <c r="O279" s="18" t="inlineStr">
        <is>
          <t>USD</t>
        </is>
      </c>
      <c r="R279" s="37" t="n"/>
      <c r="S279" s="22" t="n"/>
      <c r="T279" s="37" t="n"/>
      <c r="U279" s="22" t="n"/>
      <c r="V279" s="19" t="n"/>
      <c r="W279" s="22" t="n">
        <v>0.65</v>
      </c>
      <c r="X279" s="19" t="inlineStr">
        <is>
          <t>The company was acquired by PMGC Holdings (NAS: ELAB) for $650,000 on July 18, 2025. The acquisition reflects PMGC's continued focus at both the management and strategic levels on acquiring U.S.-based, cash-flow-positive industrial businesses with capabilities that strengthen mission-critical supply chains.</t>
        </is>
      </c>
      <c r="Y279" s="19" t="inlineStr">
        <is>
          <t>Corporate Backed or Acquired</t>
        </is>
      </c>
      <c r="Z279" s="19" t="inlineStr">
        <is>
          <t>Generating Revenue</t>
        </is>
      </c>
      <c r="AA279" s="19" t="inlineStr">
        <is>
          <t>PMGC Holdings (NAS: ELAB) (Graydon Bensler)</t>
        </is>
      </c>
      <c r="AB279" s="19" t="inlineStr">
        <is>
          <t>Other Commercial Services</t>
        </is>
      </c>
      <c r="AC279" s="19" t="n"/>
      <c r="AD279" s="19" t="inlineStr">
        <is>
          <t>Operator of a CNC machining business intended to serve customers across the aerospace, defense and industrial sectors. The company specializes in milling, turning, mold manufacturing, welding, assembly, quality inspection services for CNC lathes, conventional mills, presses, saws and vacuum pumping equipment, as well as machining of complex metals, including titanium and Inconel.</t>
        </is>
      </c>
      <c r="AE279" s="19" t="inlineStr">
        <is>
          <t>Santa Ana, CA</t>
        </is>
      </c>
      <c r="AF279" s="19" t="inlineStr">
        <is>
          <t>www.agaprecisioninc.com</t>
        </is>
      </c>
    </row>
    <row r="280" ht="42" customHeight="1">
      <c r="A280" s="12" t="inlineStr">
        <is>
          <t>USA-279</t>
        </is>
      </c>
      <c r="B280" s="12" t="inlineStr">
        <is>
          <t>USA</t>
        </is>
      </c>
      <c r="C280" s="12" t="inlineStr">
        <is>
          <t>USA</t>
        </is>
      </c>
      <c r="D280" s="13" t="inlineStr">
        <is>
          <t>Sky Scape Industries</t>
        </is>
      </c>
      <c r="E280" s="13" t="inlineStr">
        <is>
          <t>Volatus Aerospace</t>
        </is>
      </c>
      <c r="F280" s="12" t="n"/>
      <c r="G280" s="13" t="n"/>
      <c r="H280" s="14" t="n">
        <v>45021</v>
      </c>
      <c r="I280" s="14" t="n"/>
      <c r="J280" s="15" t="n">
        <v>2023</v>
      </c>
      <c r="K280" s="13" t="inlineStr">
        <is>
          <t>Merger/Acquisition</t>
        </is>
      </c>
      <c r="L280" s="13" t="n"/>
      <c r="M280" s="13" t="inlineStr">
        <is>
          <t>Completed</t>
        </is>
      </c>
      <c r="N280" s="16" t="n">
        <v>0.59</v>
      </c>
      <c r="O280" s="12" t="inlineStr">
        <is>
          <t>USD</t>
        </is>
      </c>
      <c r="R280" s="36" t="n"/>
      <c r="S280" s="16" t="n"/>
      <c r="T280" s="36" t="n"/>
      <c r="U280" s="16" t="n"/>
      <c r="V280" s="13" t="inlineStr">
        <is>
          <t>Corporate Divestiture</t>
        </is>
      </c>
      <c r="W280" s="16" t="n">
        <v>0.59</v>
      </c>
      <c r="X280" s="13" t="inlineStr">
        <is>
          <t>The company, a subsidiary of American Aerospace Technologies, was acquired by Volatus Aerospace (TSX: VOL) for $590,000 on April 5, 2023. The acquisition allows Volatus Aerospace to further expand its service offering and continue growth in core sectors including power utilities, oil, gas and façade inspection. The company will receive a contingent payout of $310,000.</t>
        </is>
      </c>
      <c r="Y280" s="13" t="inlineStr">
        <is>
          <t>Corporate Backed or Acquired</t>
        </is>
      </c>
      <c r="Z280" s="13" t="inlineStr">
        <is>
          <t>Generating Revenue</t>
        </is>
      </c>
      <c r="AA280" s="13" t="inlineStr">
        <is>
          <t>Volatus Aerospace (TSE: FLT) (Glen Lynch)</t>
        </is>
      </c>
      <c r="AB280" s="13" t="inlineStr">
        <is>
          <t>Other Hardware</t>
        </is>
      </c>
      <c r="AC280" s="13" t="inlineStr">
        <is>
          <t>Robotics and Drones</t>
        </is>
      </c>
      <c r="AD280" s="13" t="inlineStr">
        <is>
          <t>Provider of unmanned data acquisition services using advanced sensors and UAS (drone) systems intended for infrastructure and construction management. The company specializes in airborne intelligence data services, safety management system (SMS) development, current system audits, consulting, airspace development, training, and recurrent advisement.</t>
        </is>
      </c>
      <c r="AE280" s="13" t="inlineStr">
        <is>
          <t>Woodbine, NJ</t>
        </is>
      </c>
      <c r="AF280" s="13" t="inlineStr">
        <is>
          <t>www.skyscapeinds.com</t>
        </is>
      </c>
    </row>
    <row r="281" ht="42" customHeight="1">
      <c r="A281" s="18" t="inlineStr">
        <is>
          <t>USA-280</t>
        </is>
      </c>
      <c r="B281" s="18" t="inlineStr">
        <is>
          <t>USA</t>
        </is>
      </c>
      <c r="C281" s="18" t="inlineStr">
        <is>
          <t>USA</t>
        </is>
      </c>
      <c r="D281" s="19" t="inlineStr">
        <is>
          <t>Indarg Engineering</t>
        </is>
      </c>
      <c r="E281" s="19" t="inlineStr">
        <is>
          <t>AGA Precision Systems</t>
        </is>
      </c>
      <c r="F281" s="18" t="n"/>
      <c r="G281" s="19" t="n"/>
      <c r="H281" s="20" t="n">
        <v>45956</v>
      </c>
      <c r="I281" s="20" t="n"/>
      <c r="J281" s="21" t="n">
        <v>2025</v>
      </c>
      <c r="K281" s="19" t="inlineStr">
        <is>
          <t>Merger/Acquisition</t>
        </is>
      </c>
      <c r="L281" s="19" t="n"/>
      <c r="M281" s="19" t="inlineStr">
        <is>
          <t>Completed</t>
        </is>
      </c>
      <c r="N281" s="22" t="n">
        <v>0.55</v>
      </c>
      <c r="O281" s="18" t="inlineStr">
        <is>
          <t>USD</t>
        </is>
      </c>
      <c r="R281" s="37" t="n"/>
      <c r="S281" s="22" t="n"/>
      <c r="T281" s="37" t="n"/>
      <c r="U281" s="22" t="n"/>
      <c r="V281" s="19" t="n"/>
      <c r="W281" s="22" t="n">
        <v>0.55</v>
      </c>
      <c r="X281" s="19" t="inlineStr">
        <is>
          <t>The company was acquired by AGA Precision Systems, a subsidiary of PMGC Holdings (NAS: ELAB), for an undisclosed amount on October 26, 2025. This expansion strengthens AGA's development to become a trusted U.S.-based supplier of components for the aerospace and defense industries. The purchase price consists of $350,000 to satisfy the seller's outstanding Small Business Administration loan, $28,000 paid in cash at closing, and a $170,000 promissory note issued by AGA bearing interest at 8% per annum and payable over two years.</t>
        </is>
      </c>
      <c r="Y281" s="19" t="inlineStr">
        <is>
          <t>Corporate Backed or Acquired</t>
        </is>
      </c>
      <c r="Z281" s="19" t="inlineStr">
        <is>
          <t>Generating Revenue</t>
        </is>
      </c>
      <c r="AA281" s="19" t="inlineStr">
        <is>
          <t>AGA Precision Systems</t>
        </is>
      </c>
      <c r="AB281" s="19" t="inlineStr">
        <is>
          <t>Aerospace and Defense</t>
        </is>
      </c>
      <c r="AC281" s="19" t="inlineStr">
        <is>
          <t>Manufacturing</t>
        </is>
      </c>
      <c r="AD281" s="19" t="inlineStr">
        <is>
          <t>Manufacturer of precision-machined components intended to support the aerospace and defense sectors. The company specializes in CNC machining, fabrication, and assembly of complex metal parts for mission-critical applications.</t>
        </is>
      </c>
      <c r="AE281" s="19" t="inlineStr">
        <is>
          <t>Hawthorne, CA</t>
        </is>
      </c>
      <c r="AF281" s="19" t="inlineStr">
        <is>
          <t>www.indarg.com</t>
        </is>
      </c>
    </row>
    <row r="282" ht="42" customHeight="1">
      <c r="A282" s="12" t="inlineStr">
        <is>
          <t>USA-281</t>
        </is>
      </c>
      <c r="B282" s="12" t="inlineStr">
        <is>
          <t>USA</t>
        </is>
      </c>
      <c r="C282" s="12" t="inlineStr">
        <is>
          <t>USA</t>
        </is>
      </c>
      <c r="D282" s="13" t="inlineStr">
        <is>
          <t>Rampart Surveys</t>
        </is>
      </c>
      <c r="E282" s="13" t="inlineStr">
        <is>
          <t>ZenaTech</t>
        </is>
      </c>
      <c r="F282" s="12" t="n"/>
      <c r="G282" s="13" t="n"/>
      <c r="H282" s="14" t="n">
        <v>45973</v>
      </c>
      <c r="I282" s="14" t="n"/>
      <c r="J282" s="15" t="n">
        <v>2025</v>
      </c>
      <c r="K282" s="13" t="inlineStr">
        <is>
          <t>Merger/Acquisition</t>
        </is>
      </c>
      <c r="L282" s="13" t="n"/>
      <c r="M282" s="13" t="inlineStr">
        <is>
          <t>Completed</t>
        </is>
      </c>
      <c r="N282" s="16" t="n">
        <v>0.55</v>
      </c>
      <c r="O282" s="12" t="inlineStr">
        <is>
          <t>USD</t>
        </is>
      </c>
      <c r="R282" s="36" t="n"/>
      <c r="S282" s="16" t="n"/>
      <c r="T282" s="36" t="n"/>
      <c r="U282" s="16" t="n"/>
      <c r="V282" s="13" t="n"/>
      <c r="W282" s="16" t="n">
        <v>0.55</v>
      </c>
      <c r="X282" s="13" t="inlineStr">
        <is>
          <t>The company was acquired by ZenaTech (NAS: ZENA) for $550,000 on November 12, 2025. With this acquisition, ZenaTech aims to expand service delivery and broaden its Daas protfolio across Colorado's agricultural regions to include the introduction of agricultural drone services including crop inspection, monitoring, spraying and crop health analysis.</t>
        </is>
      </c>
      <c r="Y282" s="13" t="inlineStr">
        <is>
          <t>Corporate Backed or Acquired</t>
        </is>
      </c>
      <c r="Z282" s="13" t="inlineStr">
        <is>
          <t>Generating Revenue</t>
        </is>
      </c>
      <c r="AA282" s="13" t="inlineStr">
        <is>
          <t>ZenaTech (NAS: ZENA) (Shaun Passley)</t>
        </is>
      </c>
      <c r="AB282" s="13" t="inlineStr">
        <is>
          <t>Other Commercial Services</t>
        </is>
      </c>
      <c r="AC282" s="13" t="inlineStr">
        <is>
          <t>Robotics and Drones</t>
        </is>
      </c>
      <c r="AD282" s="13" t="inlineStr">
        <is>
          <t>Provider of land surveying services based in Woodland Park, Colorado. The company offers monumented land surveys, improvement survey plats, ALTA/NSPS land title surveys, topographic surveys, construction staking and also provides drone aerial topographic surveys, improvement location certificates, and flood elevation certificates thereby providing a unique range of offerings for its customers.</t>
        </is>
      </c>
      <c r="AE282" s="13" t="inlineStr">
        <is>
          <t>Woodland Park, CO</t>
        </is>
      </c>
      <c r="AF282" s="13" t="inlineStr">
        <is>
          <t>www.rampartls.com</t>
        </is>
      </c>
    </row>
    <row r="283" ht="42" customHeight="1">
      <c r="A283" s="18" t="inlineStr">
        <is>
          <t>USA-282</t>
        </is>
      </c>
      <c r="B283" s="18" t="inlineStr">
        <is>
          <t>USA</t>
        </is>
      </c>
      <c r="C283" s="18" t="inlineStr">
        <is>
          <t>USA</t>
        </is>
      </c>
      <c r="D283" s="19" t="inlineStr">
        <is>
          <t>Exo-Space</t>
        </is>
      </c>
      <c r="E283" s="19" t="inlineStr">
        <is>
          <t>Sidus Space</t>
        </is>
      </c>
      <c r="F283" s="18" t="n"/>
      <c r="G283" s="19" t="n"/>
      <c r="H283" s="20" t="n">
        <v>45159</v>
      </c>
      <c r="I283" s="20" t="n"/>
      <c r="J283" s="21" t="n">
        <v>2023</v>
      </c>
      <c r="K283" s="19" t="inlineStr">
        <is>
          <t>Merger/Acquisition</t>
        </is>
      </c>
      <c r="L283" s="19" t="n"/>
      <c r="M283" s="19" t="inlineStr">
        <is>
          <t>Completed</t>
        </is>
      </c>
      <c r="N283" s="22" t="n">
        <v>0.46</v>
      </c>
      <c r="O283" s="18" t="inlineStr">
        <is>
          <t>USD</t>
        </is>
      </c>
      <c r="R283" s="37" t="n"/>
      <c r="S283" s="22" t="n"/>
      <c r="T283" s="37" t="n"/>
      <c r="U283" s="22" t="n"/>
      <c r="V283" s="19" t="n"/>
      <c r="W283" s="22" t="n">
        <v>0.46</v>
      </c>
      <c r="X283" s="19" t="inlineStr">
        <is>
          <t>The company was acquired by Sidus Space for $460,000 on August 21, 2023.</t>
        </is>
      </c>
      <c r="Y283" s="19" t="inlineStr">
        <is>
          <t>Formerly VC-backed</t>
        </is>
      </c>
      <c r="Z283" s="19" t="inlineStr">
        <is>
          <t>Generating Revenue</t>
        </is>
      </c>
      <c r="AA283" s="19" t="inlineStr">
        <is>
          <t>Sidus Space (NAS: SIDU) (Carol Craig)</t>
        </is>
      </c>
      <c r="AB283" s="19" t="inlineStr">
        <is>
          <t>Aerospace and Defense</t>
        </is>
      </c>
      <c r="AC283" s="19" t="inlineStr">
        <is>
          <t>Artificial Intelligence &amp; Machine Learning</t>
        </is>
      </c>
      <c r="AD283" s="19" t="inlineStr">
        <is>
          <t>Developer of artificial intelligence platform intended to offer an edge software and hardware package that can withstand the harsh environment of space. The company's platform offers a compact and powerful data processing unit for complex image analysis on-orbit, flexible machine vision software running custom-trained image classification and object detection algorithms, helping clients with data processing services for space applications.</t>
        </is>
      </c>
      <c r="AE283" s="19" t="inlineStr">
        <is>
          <t>Pasadena, CA</t>
        </is>
      </c>
      <c r="AF283" s="19" t="inlineStr">
        <is>
          <t>www.exo-space.com</t>
        </is>
      </c>
    </row>
    <row r="284" ht="42" customHeight="1">
      <c r="A284" s="12" t="inlineStr">
        <is>
          <t>USA-283</t>
        </is>
      </c>
      <c r="B284" s="12" t="inlineStr">
        <is>
          <t>USA</t>
        </is>
      </c>
      <c r="C284" s="12" t="inlineStr">
        <is>
          <t>USA</t>
        </is>
      </c>
      <c r="D284" s="13" t="inlineStr">
        <is>
          <t>Electronic Components</t>
        </is>
      </c>
      <c r="E284" s="13" t="inlineStr">
        <is>
          <t>Omni-Lite Industries Canada</t>
        </is>
      </c>
      <c r="F284" s="12" t="n"/>
      <c r="G284" s="13" t="n"/>
      <c r="H284" s="14" t="n">
        <v>45770</v>
      </c>
      <c r="I284" s="14" t="n"/>
      <c r="J284" s="15" t="n">
        <v>2025</v>
      </c>
      <c r="K284" s="13" t="inlineStr">
        <is>
          <t>Merger/Acquisition</t>
        </is>
      </c>
      <c r="L284" s="13" t="n"/>
      <c r="M284" s="13" t="inlineStr">
        <is>
          <t>Completed</t>
        </is>
      </c>
      <c r="N284" s="16" t="n">
        <v>0.35</v>
      </c>
      <c r="O284" s="12" t="inlineStr">
        <is>
          <t>USD</t>
        </is>
      </c>
      <c r="R284" s="36" t="n"/>
      <c r="S284" s="16" t="n"/>
      <c r="T284" s="36" t="n"/>
      <c r="U284" s="16" t="n"/>
      <c r="V284" s="13" t="n"/>
      <c r="W284" s="16" t="n">
        <v>0.35</v>
      </c>
      <c r="X284" s="13" t="inlineStr">
        <is>
          <t>The company was acquired by Omni-Lite Industries (TSX: OML) for USD 350,000 on April 23, 2025. With this acquisition, Omni-Lite aims to combine eComp's deep customer relationships with Monzite's (a subsidiary of Omni-Lite) electronic technology capabilities to expand the revenue from high-performance electronic products for top aerospace and defense primes.</t>
        </is>
      </c>
      <c r="Y284" s="13" t="inlineStr">
        <is>
          <t>Corporate Backed or Acquired</t>
        </is>
      </c>
      <c r="Z284" s="13" t="inlineStr">
        <is>
          <t>Generating Revenue</t>
        </is>
      </c>
      <c r="AA284" s="13" t="inlineStr">
        <is>
          <t>Omni-Lite Industries Canada (TSX: OML) (David Robbins)</t>
        </is>
      </c>
      <c r="AB284" s="13" t="inlineStr">
        <is>
          <t>Distributors/Wholesale</t>
        </is>
      </c>
      <c r="AC284" s="13" t="n"/>
      <c r="AD284" s="13" t="inlineStr">
        <is>
          <t>Distributor of electronic component products for the military, aerospace, medical and industrial marketplace. The company provides authenticity verification with value-added services for legacy components and offers engineering assistance and custom replacement solutions for obsolete products and systems.</t>
        </is>
      </c>
      <c r="AE284" s="13" t="inlineStr">
        <is>
          <t>Nashua, NH</t>
        </is>
      </c>
      <c r="AF284" s="13" t="inlineStr">
        <is>
          <t>www.ecompbiz.com</t>
        </is>
      </c>
    </row>
    <row r="285" ht="42" customHeight="1">
      <c r="A285" s="18" t="inlineStr">
        <is>
          <t>USA-284</t>
        </is>
      </c>
      <c r="B285" s="18" t="inlineStr">
        <is>
          <t>USA</t>
        </is>
      </c>
      <c r="C285" s="18" t="inlineStr">
        <is>
          <t>USA</t>
        </is>
      </c>
      <c r="D285" s="19" t="inlineStr">
        <is>
          <t>Boumarang</t>
        </is>
      </c>
      <c r="E285" s="19" t="n"/>
      <c r="F285" s="18" t="n"/>
      <c r="G285" s="19" t="n"/>
      <c r="H285" s="20" t="n">
        <v>46007</v>
      </c>
      <c r="I285" s="20" t="n"/>
      <c r="J285" s="21" t="n">
        <v>2025</v>
      </c>
      <c r="K285" s="19" t="inlineStr">
        <is>
          <t>IPO</t>
        </is>
      </c>
      <c r="L285" s="19" t="n"/>
      <c r="M285" s="19" t="inlineStr">
        <is>
          <t>Announced/In Progress</t>
        </is>
      </c>
      <c r="N285" s="22" t="n">
        <v>0.25</v>
      </c>
      <c r="O285" s="18" t="inlineStr">
        <is>
          <t>USD</t>
        </is>
      </c>
      <c r="R285" s="37" t="n"/>
      <c r="S285" s="22" t="n"/>
      <c r="T285" s="37" t="n"/>
      <c r="U285" s="22" t="n"/>
      <c r="V285" s="19" t="n"/>
      <c r="W285" s="22" t="n">
        <v>130.36</v>
      </c>
      <c r="X285" s="19" t="inlineStr">
        <is>
          <t>The company filed to go public on the Over-the-Counter stock exchange under an undisclosed ticker symbol on December 16, 2025. They intend to sell 125,000 shares at a price of $2 per share. The expected offering amount is $250,000.</t>
        </is>
      </c>
      <c r="Y285" s="19" t="inlineStr">
        <is>
          <t>Corporate Backed or Acquired</t>
        </is>
      </c>
      <c r="Z285" s="19" t="inlineStr">
        <is>
          <t>Generating Revenue</t>
        </is>
      </c>
      <c r="AA285" s="19" t="n"/>
      <c r="AB285" s="19" t="inlineStr">
        <is>
          <t>Other Commercial Products</t>
        </is>
      </c>
      <c r="AC285" s="19" t="inlineStr">
        <is>
          <t>Artificial Intelligence &amp; Machine Learning</t>
        </is>
      </c>
      <c r="AD285" s="19" t="inlineStr">
        <is>
          <t>Developer of state-of-the-art AI-enabled drones designed for a variety of applications, including logistics, security, and environmental surveillance. The company's offerings include revolutionizing drones by integrating AI and machine learning, hydrogen-powered fuel cells, delivering long-range, sustainable solutions for sectors such as military and defense, food delivery, natural resource monitoring, infrastructure analysis, agriculture, and forestry.</t>
        </is>
      </c>
      <c r="AE285" s="19" t="inlineStr">
        <is>
          <t>Irvine, CA</t>
        </is>
      </c>
      <c r="AF285" s="19" t="inlineStr">
        <is>
          <t>www.boumarang.com</t>
        </is>
      </c>
    </row>
    <row r="286" ht="42" customHeight="1">
      <c r="A286" s="12" t="inlineStr">
        <is>
          <t>USA-285</t>
        </is>
      </c>
      <c r="B286" s="12" t="inlineStr">
        <is>
          <t>USA</t>
        </is>
      </c>
      <c r="C286" s="12" t="inlineStr">
        <is>
          <t>USA</t>
        </is>
      </c>
      <c r="D286" s="13" t="inlineStr">
        <is>
          <t>SB Cyber Technologies</t>
        </is>
      </c>
      <c r="E286" s="13" t="inlineStr">
        <is>
          <t>CISO Global</t>
        </is>
      </c>
      <c r="F286" s="12" t="n"/>
      <c r="G286" s="13" t="n"/>
      <c r="H286" s="14" t="n">
        <v>45121</v>
      </c>
      <c r="I286" s="14" t="n"/>
      <c r="J286" s="15" t="n">
        <v>2023</v>
      </c>
      <c r="K286" s="13" t="inlineStr">
        <is>
          <t>Merger/Acquisition</t>
        </is>
      </c>
      <c r="L286" s="13" t="n"/>
      <c r="M286" s="13" t="inlineStr">
        <is>
          <t>Completed</t>
        </is>
      </c>
      <c r="N286" s="16" t="n">
        <v>0.09</v>
      </c>
      <c r="O286" s="12" t="inlineStr">
        <is>
          <t>USD</t>
        </is>
      </c>
      <c r="R286" s="36" t="n"/>
      <c r="S286" s="16" t="n"/>
      <c r="T286" s="36" t="n"/>
      <c r="U286" s="16" t="n"/>
      <c r="V286" s="13" t="n"/>
      <c r="W286" s="16" t="n">
        <v>0.09</v>
      </c>
      <c r="X286" s="13" t="inlineStr">
        <is>
          <t>The company was acquired by CISO Global (NAS: CISO) for $99,000 on July 14, 2023. The merger enables CISO Global to accelerate their strategy to bring additional talent and a powerful leading-edge technology to their customers.</t>
        </is>
      </c>
      <c r="Y286" s="13" t="inlineStr">
        <is>
          <t>Corporate Backed or Acquired</t>
        </is>
      </c>
      <c r="Z286" s="13" t="inlineStr">
        <is>
          <t>Generating Revenue</t>
        </is>
      </c>
      <c r="AA286" s="13" t="inlineStr">
        <is>
          <t>CISO Global (NAS: CISO) (David Jemmett)</t>
        </is>
      </c>
      <c r="AB286" s="13" t="inlineStr">
        <is>
          <t>Network Management Software</t>
        </is>
      </c>
      <c r="AC286" s="13" t="n"/>
      <c r="AD286" s="13" t="inlineStr">
        <is>
          <t>Provider of cyber security services intended to bring cyber protection technologies based on military intelligence experience. The company specializes in detecting potential threats to endpoints, fraudulent phishing attacks, hacking, imposter scams, malware and ransomware.</t>
        </is>
      </c>
      <c r="AE286" s="13" t="inlineStr">
        <is>
          <t>Chesapeake, VA</t>
        </is>
      </c>
      <c r="AF286" s="13" t="inlineStr">
        <is>
          <t>www.sbcybertech.com</t>
        </is>
      </c>
    </row>
    <row r="287" ht="42" customHeight="1">
      <c r="A287" s="18" t="inlineStr">
        <is>
          <t>USA-286</t>
        </is>
      </c>
      <c r="B287" s="18" t="inlineStr">
        <is>
          <t>USA</t>
        </is>
      </c>
      <c r="C287" s="18" t="inlineStr">
        <is>
          <t>USA</t>
        </is>
      </c>
      <c r="D287" s="19" t="inlineStr">
        <is>
          <t>Cali From Above</t>
        </is>
      </c>
      <c r="E287" s="19" t="inlineStr">
        <is>
          <t>Averox</t>
        </is>
      </c>
      <c r="F287" s="18" t="n"/>
      <c r="G287" s="19" t="n"/>
      <c r="H287" s="20" t="n">
        <v>44988</v>
      </c>
      <c r="I287" s="20" t="n"/>
      <c r="J287" s="21" t="n">
        <v>2023</v>
      </c>
      <c r="K287" s="19" t="inlineStr">
        <is>
          <t>Merger/Acquisition</t>
        </is>
      </c>
      <c r="L287" s="19" t="n"/>
      <c r="M287" s="19" t="inlineStr">
        <is>
          <t>Completed</t>
        </is>
      </c>
      <c r="N287" s="22" t="n">
        <v>0.02</v>
      </c>
      <c r="O287" s="18" t="inlineStr">
        <is>
          <t>USD</t>
        </is>
      </c>
      <c r="R287" s="37" t="n"/>
      <c r="S287" s="22" t="n"/>
      <c r="T287" s="37" t="n"/>
      <c r="U287" s="22" t="n"/>
      <c r="V287" s="19" t="n"/>
      <c r="W287" s="22" t="n">
        <v>0.02</v>
      </c>
      <c r="X287" s="19" t="inlineStr">
        <is>
          <t>The company was acquired by Averox (PINX: AVRI) for $16,000 on March 3, 2023. The payment obligation is memorialized in a promissory note between Mr. Robert Goldstein, the seller, and Averox and is due on or before the two-year anniversary of the date of the promissory note.</t>
        </is>
      </c>
      <c r="Y287" s="19" t="inlineStr">
        <is>
          <t>Corporate Backed or Acquired</t>
        </is>
      </c>
      <c r="Z287" s="19" t="inlineStr">
        <is>
          <t>Generating Revenue</t>
        </is>
      </c>
      <c r="AA287" s="19" t="inlineStr">
        <is>
          <t>Averox (AVRI) (Robert Goldstein)</t>
        </is>
      </c>
      <c r="AB287" s="19" t="inlineStr">
        <is>
          <t>Air</t>
        </is>
      </c>
      <c r="AC287" s="19" t="inlineStr">
        <is>
          <t>CleanTech, Construction Technology, Robotics and Drones</t>
        </is>
      </c>
      <c r="AD287" s="19" t="inlineStr">
        <is>
          <t>Distributor of drones catering to real estate, construction and renewable energy industries. The company specializes in buying and selling of drones, their accessories, payloads and pilot training, thereby helping clients for inspection of sites and detect any upcoming losses.</t>
        </is>
      </c>
      <c r="AE287" s="19" t="inlineStr">
        <is>
          <t>Canoga Park, CA</t>
        </is>
      </c>
      <c r="AF287" s="19" t="inlineStr">
        <is>
          <t>www.califromabove.com</t>
        </is>
      </c>
    </row>
    <row r="288" ht="42" customHeight="1">
      <c r="A288" s="12" t="inlineStr">
        <is>
          <t>USA-287</t>
        </is>
      </c>
      <c r="B288" s="12" t="inlineStr">
        <is>
          <t>USA</t>
        </is>
      </c>
      <c r="C288" s="12" t="inlineStr">
        <is>
          <t>USA</t>
        </is>
      </c>
      <c r="D288" s="13" t="inlineStr">
        <is>
          <t>Criteria Labs</t>
        </is>
      </c>
      <c r="E288" s="13" t="inlineStr">
        <is>
          <t>Dover</t>
        </is>
      </c>
      <c r="F288" s="12" t="n"/>
      <c r="G288" s="13" t="n"/>
      <c r="H288" s="14" t="n">
        <v>45513</v>
      </c>
      <c r="I288" s="14" t="n"/>
      <c r="J288" s="15" t="n">
        <v>2024</v>
      </c>
      <c r="K288" s="13" t="inlineStr">
        <is>
          <t>Merger/Acquisition</t>
        </is>
      </c>
      <c r="L288" s="13" t="n"/>
      <c r="M288" s="13" t="inlineStr">
        <is>
          <t>Completed</t>
        </is>
      </c>
      <c r="N288" s="16" t="n">
        <v>0.02</v>
      </c>
      <c r="O288" s="12" t="inlineStr">
        <is>
          <t>USD</t>
        </is>
      </c>
      <c r="R288" s="36" t="n"/>
      <c r="S288" s="16" t="n"/>
      <c r="T288" s="36" t="n"/>
      <c r="U288" s="16" t="n"/>
      <c r="V288" s="13" t="n"/>
      <c r="W288" s="16" t="n">
        <v>0.02</v>
      </c>
      <c r="X288" s="13" t="inlineStr">
        <is>
          <t>The company was acquired by Dover (NYS: DOV) for $22,536 on August 9, 2024. The purchase price consist of for $14,914, net of cash acquired and inclusive of contingent consideration and goodwill of $7,622. The acquisition helps expand Dover's offerings within the engineered products segment.</t>
        </is>
      </c>
      <c r="Y288" s="13" t="inlineStr">
        <is>
          <t>Formerly PE-Backed</t>
        </is>
      </c>
      <c r="Z288" s="13" t="inlineStr">
        <is>
          <t>Generating Revenue</t>
        </is>
      </c>
      <c r="AA288" s="13" t="inlineStr">
        <is>
          <t>Dover (Industrial Supplies and Parts) (NYS: DOV)</t>
        </is>
      </c>
      <c r="AB288" s="13" t="inlineStr">
        <is>
          <t>Electrical Equipment</t>
        </is>
      </c>
      <c r="AC288" s="13" t="n"/>
      <c r="AD288" s="13" t="inlineStr">
        <is>
          <t>Manufacturer of radio frequency (RF) systems intended for defense, semiconductors, oil and gas and other sectors. The company offers a range of products including gain blocks, amplifiers, multi-chip modules, hybrids and also custom-built radio frequency (RF) devices, enabling clients to latest tech in their radars and detectors</t>
        </is>
      </c>
      <c r="AE288" s="13" t="inlineStr">
        <is>
          <t>Austin, TX</t>
        </is>
      </c>
      <c r="AF288" s="13" t="inlineStr">
        <is>
          <t>www.criterialabs.com</t>
        </is>
      </c>
    </row>
  </sheetData>
  <pageMargins left="0.7" right="0.7" top="0.75" bottom="0.75" header="0.3" footer="0.3"/>
</worksheet>
</file>

<file path=xl/worksheets/sheet7.xml><?xml version="1.0" encoding="utf-8"?>
<worksheet xmlns="http://schemas.openxmlformats.org/spreadsheetml/2006/main">
  <sheetPr>
    <tabColor rgb="FF4472C4"/>
    <outlinePr summaryBelow="1" summaryRight="1"/>
    <pageSetUpPr/>
  </sheetPr>
  <dimension ref="A1:AB134"/>
  <sheetViews>
    <sheetView showGridLines="0" workbookViewId="0">
      <selection activeCell="A1" sqref="A1"/>
    </sheetView>
  </sheetViews>
  <sheetFormatPr baseColWidth="8" defaultColWidth="8.7109375" defaultRowHeight="15"/>
  <cols>
    <col width="12" customWidth="1" min="1" max="1"/>
    <col width="10" customWidth="1" min="2" max="2"/>
    <col width="16" customWidth="1" min="3" max="3"/>
    <col width="28" customWidth="1" min="4" max="4"/>
    <col width="24" customWidth="1" min="5" max="5"/>
    <col width="16" customWidth="1" min="6" max="6"/>
    <col width="22" customWidth="1" min="7" max="7"/>
    <col width="14" customWidth="1" min="8" max="8"/>
    <col width="16" customWidth="1" min="9" max="9"/>
    <col width="10" customWidth="1" min="10" max="10"/>
    <col width="14" customWidth="1" min="11" max="11"/>
    <col width="24" customWidth="1" min="12" max="12"/>
    <col width="18" customWidth="1" min="13" max="13"/>
    <col width="13" customWidth="1" min="14" max="14"/>
    <col width="16" customWidth="1" min="15" max="15"/>
    <col width="10" customWidth="1" min="16" max="16"/>
    <col width="16" customWidth="1" min="17" max="17"/>
    <col width="28" customWidth="1" min="18" max="18"/>
    <col width="22" customWidth="1" min="19" max="19"/>
    <col width="24" customWidth="1" min="20" max="20"/>
    <col width="14" customWidth="1" min="21" max="21"/>
    <col width="42" customWidth="1" min="22" max="22"/>
    <col width="52" customWidth="1" min="23" max="23"/>
    <col width="24" customWidth="1" min="24" max="24"/>
    <col width="22" customWidth="1" min="25" max="25"/>
    <col width="42" customWidth="1" min="26" max="26"/>
    <col width="36" customWidth="1" min="27" max="27"/>
    <col width="54" customWidth="1" min="28" max="28"/>
    <col width="22" customWidth="1" min="29" max="30"/>
    <col width="13.7109375" customWidth="1" min="33" max="33"/>
    <col width="12.28515625" customWidth="1" min="34" max="34"/>
    <col width="15.85546875" customWidth="1" min="35" max="35"/>
    <col width="20.85546875" customWidth="1" min="36" max="36"/>
  </cols>
  <sheetData>
    <row r="1" ht="42" customHeight="1">
      <c r="A1" s="349" t="inlineStr">
        <is>
          <t>Deal ID</t>
        </is>
      </c>
      <c r="B1" s="349" t="inlineStr">
        <is>
          <t>Region</t>
        </is>
      </c>
      <c r="C1" s="349" t="inlineStr">
        <is>
          <t>Target Country</t>
        </is>
      </c>
      <c r="D1" s="349" t="inlineStr">
        <is>
          <t>Target / Business</t>
        </is>
      </c>
      <c r="E1" s="349" t="inlineStr">
        <is>
          <t>Acquirer</t>
        </is>
      </c>
      <c r="F1" s="349" t="inlineStr">
        <is>
          <t>Acquirer Country</t>
        </is>
      </c>
      <c r="G1" s="349" t="inlineStr">
        <is>
          <t>Seller</t>
        </is>
      </c>
      <c r="H1" s="349" t="inlineStr">
        <is>
          <t>Announcement Date</t>
        </is>
      </c>
      <c r="I1" s="349" t="inlineStr">
        <is>
          <t>Completion / IPO Date</t>
        </is>
      </c>
      <c r="J1" s="349" t="inlineStr">
        <is>
          <t>Deal Year</t>
        </is>
      </c>
      <c r="K1" s="349" t="inlineStr">
        <is>
          <t>Transaction Type</t>
        </is>
      </c>
      <c r="L1" s="349" t="inlineStr">
        <is>
          <t>Deal Structure</t>
        </is>
      </c>
      <c r="M1" s="349" t="inlineStr">
        <is>
          <t>Ownership Acquired</t>
        </is>
      </c>
      <c r="N1" s="349" t="inlineStr">
        <is>
          <t>Deal Status</t>
        </is>
      </c>
      <c r="O1" s="349" t="inlineStr">
        <is>
          <t>Native Deal Value (mn)</t>
        </is>
      </c>
      <c r="P1" s="349" t="inlineStr">
        <is>
          <t>Currency</t>
        </is>
      </c>
      <c r="Q1" s="349" t="inlineStr">
        <is>
          <t>Deal Value (USD mn)</t>
        </is>
      </c>
      <c r="R1" s="349" t="inlineStr">
        <is>
          <t>Value Basis</t>
        </is>
      </c>
      <c r="S1" s="349" t="inlineStr">
        <is>
          <t>Hardware / Software / Services</t>
        </is>
      </c>
      <c r="T1" s="349" t="inlineStr">
        <is>
          <t>A&amp;D Domain</t>
        </is>
      </c>
      <c r="U1" s="349" t="inlineStr">
        <is>
          <t>Inclusion Tier</t>
        </is>
      </c>
      <c r="V1" s="349" t="inlineStr">
        <is>
          <t>Scope Evidence</t>
        </is>
      </c>
      <c r="W1" s="349" t="inlineStr">
        <is>
          <t>Deal Synopsis</t>
        </is>
      </c>
      <c r="X1" s="349" t="inlineStr">
        <is>
          <t>Company Website</t>
        </is>
      </c>
      <c r="Y1" s="349" t="inlineStr">
        <is>
          <t>Verification Status</t>
        </is>
      </c>
      <c r="Z1" s="349" t="inlineStr">
        <is>
          <t>Primary Source URL</t>
        </is>
      </c>
      <c r="AA1" s="349" t="inlineStr">
        <is>
          <t>Secondary Source URL</t>
        </is>
      </c>
      <c r="AB1" s="349" t="inlineStr">
        <is>
          <t>Audit Notes</t>
        </is>
      </c>
    </row>
    <row r="2" ht="45" customHeight="1">
      <c r="A2" s="353" t="inlineStr">
        <is>
          <t>EUR-001</t>
        </is>
      </c>
      <c r="B2" s="353" t="inlineStr">
        <is>
          <t>Europe</t>
        </is>
      </c>
      <c r="C2" s="353" t="inlineStr">
        <is>
          <t>France</t>
        </is>
      </c>
      <c r="D2" s="353" t="inlineStr">
        <is>
          <t>Exxelia</t>
        </is>
      </c>
      <c r="E2" s="353" t="inlineStr">
        <is>
          <t>HEICO Corporation</t>
        </is>
      </c>
      <c r="F2" s="353" t="inlineStr">
        <is>
          <t>United States</t>
        </is>
      </c>
      <c r="G2" s="353" t="inlineStr">
        <is>
          <t>HLD Europe</t>
        </is>
      </c>
      <c r="H2" s="403" t="inlineStr">
        <is>
          <t>Not disclosed</t>
        </is>
      </c>
      <c r="I2" s="403" t="n">
        <v>44931</v>
      </c>
      <c r="J2" s="404">
        <f>IFERROR(YEAR(I2),IFERROR(VALUE(LEFT(I2,4)),""))</f>
        <v/>
      </c>
      <c r="K2" s="353" t="inlineStr">
        <is>
          <t>M&amp;A</t>
        </is>
      </c>
      <c r="L2" s="353" t="inlineStr">
        <is>
          <t>Majority/control share acquisition</t>
        </is>
      </c>
      <c r="M2" s="353" t="inlineStr">
        <is>
          <t>93.69% of common shares and 100% of preferred shares</t>
        </is>
      </c>
      <c r="N2" s="353" t="inlineStr">
        <is>
          <t>Completed</t>
        </is>
      </c>
      <c r="O2" s="405" t="n">
        <v>503.996</v>
      </c>
      <c r="P2" s="353" t="inlineStr">
        <is>
          <t>USD</t>
        </is>
      </c>
      <c r="Q2" s="406" t="n">
        <v>503.996</v>
      </c>
      <c r="R2" s="353" t="inlineStr">
        <is>
          <t>Net consideration reported in HEICO's audited 2023 financial statements.</t>
        </is>
      </c>
      <c r="S2" s="353" t="inlineStr">
        <is>
          <t>Hardware</t>
        </is>
      </c>
      <c r="T2" s="353" t="inlineStr">
        <is>
          <t>Defence Electronics &amp; Sensors</t>
        </is>
      </c>
      <c r="U2" s="353" t="inlineStr">
        <is>
          <t>Core A&amp;D</t>
        </is>
      </c>
      <c r="V2" s="353" t="inlineStr">
        <is>
          <t>HEICO describes Exxelia as a manufacturer of high-reliability electronic components used predominantly in aerospace and defence applications.</t>
        </is>
      </c>
      <c r="W2" s="353" t="inlineStr">
        <is>
          <t>HEICO Corporation completed its acquisition of Exxelia from HLD Europe on 2023-01-05. Ownership acquired: 93.69% of common shares and 100% of preferred shares. Net consideration reported in HEICO's audited 2023 financial statements.</t>
        </is>
      </c>
      <c r="X2" s="353" t="inlineStr">
        <is>
          <t>Not independently verified</t>
        </is>
      </c>
      <c r="Y2" s="353" t="inlineStr">
        <is>
          <t>Verified — primary source</t>
        </is>
      </c>
      <c r="Z2" s="353" t="inlineStr">
        <is>
          <t>https://heico.com/wp-content/uploads/2024/04/AnnualReport_2023.pdf</t>
        </is>
      </c>
      <c r="AA2" s="353" t="inlineStr">
        <is>
          <t>None used</t>
        </is>
      </c>
      <c r="AB2" s="353" t="inlineStr">
        <is>
          <t>Control acquisition, not 100%; replace the dataset's $501.55m with audited net consideration of $503.996m.</t>
        </is>
      </c>
    </row>
    <row r="3" ht="45" customHeight="1">
      <c r="A3" s="353" t="inlineStr">
        <is>
          <t>EUR-002</t>
        </is>
      </c>
      <c r="B3" s="353" t="inlineStr">
        <is>
          <t>Europe</t>
        </is>
      </c>
      <c r="C3" s="353" t="inlineStr">
        <is>
          <t>United Kingdom</t>
        </is>
      </c>
      <c r="D3" s="353" t="inlineStr">
        <is>
          <t>TP Group plc</t>
        </is>
      </c>
      <c r="E3" s="353" t="inlineStr">
        <is>
          <t>Science Group plc</t>
        </is>
      </c>
      <c r="F3" s="353" t="inlineStr">
        <is>
          <t>United Kingdom</t>
        </is>
      </c>
      <c r="G3" s="353" t="inlineStr">
        <is>
          <t>TP Group shareholders</t>
        </is>
      </c>
      <c r="H3" s="403" t="inlineStr">
        <is>
          <t>Not disclosed</t>
        </is>
      </c>
      <c r="I3" s="403" t="n">
        <v>44952</v>
      </c>
      <c r="J3" s="404">
        <f>IFERROR(YEAR(I3),IFERROR(VALUE(LEFT(I3,4)),""))</f>
        <v/>
      </c>
      <c r="K3" s="353" t="inlineStr">
        <is>
          <t>M&amp;A</t>
        </is>
      </c>
      <c r="L3" s="353" t="inlineStr">
        <is>
          <t>100% acquisition by court-approved scheme of arrangement</t>
        </is>
      </c>
      <c r="M3" s="353" t="inlineStr">
        <is>
          <t>100%</t>
        </is>
      </c>
      <c r="N3" s="353" t="inlineStr">
        <is>
          <t>Completed</t>
        </is>
      </c>
      <c r="O3" s="405" t="inlineStr">
        <is>
          <t>Not disclosed</t>
        </is>
      </c>
      <c r="P3" s="353" t="inlineStr">
        <is>
          <t>Not disclosed</t>
        </is>
      </c>
      <c r="Q3" s="406" t="inlineStr">
        <is>
          <t>Not disclosed</t>
        </is>
      </c>
      <c r="R3" s="353" t="inlineStr">
        <is>
          <t>No single purchase-price figure carried forward; Science Group reports approximately GBP13.9m acquisition cash outflow for the year.</t>
        </is>
      </c>
      <c r="S3" s="353" t="inlineStr">
        <is>
          <t>Hardware / Services</t>
        </is>
      </c>
      <c r="T3" s="353" t="inlineStr">
        <is>
          <t>Defence Services &amp; Engineering</t>
        </is>
      </c>
      <c r="U3" s="353" t="inlineStr">
        <is>
          <t>Core A&amp;D</t>
        </is>
      </c>
      <c r="V3" s="353" t="inlineStr">
        <is>
          <t>Science Group identifies the acquired operations as Defence and Aerospace-focused consulting plus submarine atmosphere-management systems dependent on the UK defence market.</t>
        </is>
      </c>
      <c r="W3" s="353" t="inlineStr">
        <is>
          <t>Science Group plc completed its acquisition of TP Group plc from TP Group shareholders on 2023-01-26. Ownership acquired: 100%. No single purchase-price figure carried forward; Science Group reports approximately GBP13.9m acquisition cash outflow for the year.</t>
        </is>
      </c>
      <c r="X3" s="353" t="inlineStr">
        <is>
          <t>Not independently verified</t>
        </is>
      </c>
      <c r="Y3" s="353" t="inlineStr">
        <is>
          <t>Verified — primary source</t>
        </is>
      </c>
      <c r="Z3" s="353" t="inlineStr">
        <is>
          <t>https://www.sciencegroup.com/news-detail/audited-results-for-the-year-ended-31-december-2023/</t>
        </is>
      </c>
      <c r="AA3" s="353" t="inlineStr">
        <is>
          <t>None used</t>
        </is>
      </c>
      <c r="AB3" s="353" t="inlineStr">
        <is>
          <t>Retain as a completed 100% control acquisition; value left null because cash outflow is not necessarily equivalent to enterprise value.</t>
        </is>
      </c>
    </row>
    <row r="4" ht="45" customHeight="1">
      <c r="A4" s="353" t="inlineStr">
        <is>
          <t>EUR-003</t>
        </is>
      </c>
      <c r="B4" s="353" t="inlineStr">
        <is>
          <t>Europe</t>
        </is>
      </c>
      <c r="C4" s="353" t="inlineStr">
        <is>
          <t>United Kingdom</t>
        </is>
      </c>
      <c r="D4" s="353" t="inlineStr">
        <is>
          <t>Westek Technology Ltd</t>
        </is>
      </c>
      <c r="E4" s="353" t="inlineStr">
        <is>
          <t>roda computer GmbH</t>
        </is>
      </c>
      <c r="F4" s="353" t="inlineStr">
        <is>
          <t>Germany</t>
        </is>
      </c>
      <c r="G4" s="353" t="inlineStr">
        <is>
          <t>TP Group plc</t>
        </is>
      </c>
      <c r="H4" s="403" t="inlineStr">
        <is>
          <t>Not disclosed</t>
        </is>
      </c>
      <c r="I4" s="403" t="n">
        <v>44955</v>
      </c>
      <c r="J4" s="404">
        <f>IFERROR(YEAR(I4),IFERROR(VALUE(LEFT(I4,4)),""))</f>
        <v/>
      </c>
      <c r="K4" s="353" t="inlineStr">
        <is>
          <t>M&amp;A</t>
        </is>
      </c>
      <c r="L4" s="353" t="inlineStr">
        <is>
          <t>100% share acquisition / corporate divestiture</t>
        </is>
      </c>
      <c r="M4" s="353" t="inlineStr">
        <is>
          <t>100%</t>
        </is>
      </c>
      <c r="N4" s="353" t="inlineStr">
        <is>
          <t>Completed</t>
        </is>
      </c>
      <c r="O4" s="405" t="n">
        <v>0.8</v>
      </c>
      <c r="P4" s="353" t="inlineStr">
        <is>
          <t>GBP</t>
        </is>
      </c>
      <c r="Q4" s="406" t="inlineStr">
        <is>
          <t>Not disclosed</t>
        </is>
      </c>
      <c r="R4" s="353" t="inlineStr">
        <is>
          <t>Gross consideration disclosed by Science Group; no USD conversion carried forward.</t>
        </is>
      </c>
      <c r="S4" s="353" t="inlineStr">
        <is>
          <t>Hardware</t>
        </is>
      </c>
      <c r="T4" s="353" t="inlineStr">
        <is>
          <t>Defence Computing &amp; Rugged Systems</t>
        </is>
      </c>
      <c r="U4" s="353" t="inlineStr">
        <is>
          <t>Core A&amp;D</t>
        </is>
      </c>
      <c r="V4" s="353" t="inlineStr">
        <is>
          <t>Westek manufactures rugged computers and related systems for military and other harsh-environment applications; the buyer describes it as serving defence-sector customers.</t>
        </is>
      </c>
      <c r="W4" s="353" t="inlineStr">
        <is>
          <t>roda computer GmbH completed its acquisition of Westek Technology Ltd from TP Group plc on 2023-01-29. Ownership acquired: 100%. Gross consideration disclosed by Science Group; no USD conversion carried forward.</t>
        </is>
      </c>
      <c r="X4" s="353" t="inlineStr">
        <is>
          <t>Not independently verified</t>
        </is>
      </c>
      <c r="Y4" s="353" t="inlineStr">
        <is>
          <t>Verified — primary source</t>
        </is>
      </c>
      <c r="Z4" s="353" t="inlineStr">
        <is>
          <t>https://www.roda-computer.com/news/current-news/roda-acquires-the-shares-of-westek/</t>
        </is>
      </c>
      <c r="AA4" s="353" t="inlineStr">
        <is>
          <t>https://www.annualreports.com/HostedData/AnnualReportArchive/s/LSE_SAG_2023.pdf</t>
        </is>
      </c>
      <c r="AB4" s="353" t="inlineStr">
        <is>
          <t>Correct completion date is 29 January 2023, not 1 January 2023.</t>
        </is>
      </c>
    </row>
    <row r="5" ht="45" customHeight="1">
      <c r="A5" s="353" t="inlineStr">
        <is>
          <t>EUR-004</t>
        </is>
      </c>
      <c r="B5" s="353" t="inlineStr">
        <is>
          <t>Europe</t>
        </is>
      </c>
      <c r="C5" s="353" t="inlineStr">
        <is>
          <t>France</t>
        </is>
      </c>
      <c r="D5" s="353" t="inlineStr">
        <is>
          <t>Diateam</t>
        </is>
      </c>
      <c r="E5" s="353" t="inlineStr">
        <is>
          <t>CY4Gate S.p.A.</t>
        </is>
      </c>
      <c r="F5" s="353" t="inlineStr">
        <is>
          <t>Italy</t>
        </is>
      </c>
      <c r="G5" s="353" t="inlineStr">
        <is>
          <t>Not disclosed</t>
        </is>
      </c>
      <c r="H5" s="403" t="inlineStr">
        <is>
          <t>Not disclosed</t>
        </is>
      </c>
      <c r="I5" s="403" t="n">
        <v>44956</v>
      </c>
      <c r="J5" s="404">
        <f>IFERROR(YEAR(I5),IFERROR(VALUE(LEFT(I5,4)),""))</f>
        <v/>
      </c>
      <c r="K5" s="353" t="inlineStr">
        <is>
          <t>M&amp;A</t>
        </is>
      </c>
      <c r="L5" s="353" t="inlineStr">
        <is>
          <t>Majority/control share acquisition</t>
        </is>
      </c>
      <c r="M5" s="353" t="inlineStr">
        <is>
          <t>55.33%</t>
        </is>
      </c>
      <c r="N5" s="353" t="inlineStr">
        <is>
          <t>Completed</t>
        </is>
      </c>
      <c r="O5" s="405" t="n">
        <v>5.5</v>
      </c>
      <c r="P5" s="353" t="inlineStr">
        <is>
          <t>EUR</t>
        </is>
      </c>
      <c r="Q5" s="406" t="inlineStr">
        <is>
          <t>Not disclosed</t>
        </is>
      </c>
      <c r="R5" s="353" t="inlineStr">
        <is>
          <t>Price for the 55.33% controlling stake stated in CY4Gate's closing release.</t>
        </is>
      </c>
      <c r="S5" s="353" t="inlineStr">
        <is>
          <t>Software / Services</t>
        </is>
      </c>
      <c r="T5" s="353" t="inlineStr">
        <is>
          <t>Cyber &amp; Digital Defence</t>
        </is>
      </c>
      <c r="U5" s="353" t="inlineStr">
        <is>
          <t>Core A&amp;D</t>
        </is>
      </c>
      <c r="V5" s="353" t="inlineStr">
        <is>
          <t>Diateam develops cyber-range, digital-twin and cyber-warfare capabilities for government and defence customers.</t>
        </is>
      </c>
      <c r="W5" s="353" t="inlineStr">
        <is>
          <t>CY4Gate S.p.A. completed its acquisition of Diateam on 2023-01-30. Ownership acquired: 55.33%. Price for the 55.33% controlling stake stated in CY4Gate's closing release.</t>
        </is>
      </c>
      <c r="X5" s="353" t="inlineStr">
        <is>
          <t>Not independently verified</t>
        </is>
      </c>
      <c r="Y5" s="353" t="inlineStr">
        <is>
          <t>Verified — primary source</t>
        </is>
      </c>
      <c r="Z5" s="353" t="inlineStr">
        <is>
          <t>https://www.cy4gate.com/assets/Uploads/ENG-CS-CY4gate-closing-Operazione-Diateam-def.pdf</t>
        </is>
      </c>
      <c r="AA5" s="353" t="inlineStr">
        <is>
          <t>None used</t>
        </is>
      </c>
      <c r="AB5" s="353" t="inlineStr">
        <is>
          <t>Correct structure from full acquisition to acquisition of a 55.33% controlling stake.</t>
        </is>
      </c>
    </row>
    <row r="6" ht="45" customHeight="1">
      <c r="A6" s="353" t="inlineStr">
        <is>
          <t>EUR-005</t>
        </is>
      </c>
      <c r="B6" s="353" t="inlineStr">
        <is>
          <t>Europe</t>
        </is>
      </c>
      <c r="C6" s="353" t="inlineStr">
        <is>
          <t>Sweden</t>
        </is>
      </c>
      <c r="D6" s="353" t="inlineStr">
        <is>
          <t>ArcQor AB</t>
        </is>
      </c>
      <c r="E6" s="353" t="inlineStr">
        <is>
          <t>W5 Solutions AB</t>
        </is>
      </c>
      <c r="F6" s="353" t="inlineStr">
        <is>
          <t>Sweden</t>
        </is>
      </c>
      <c r="G6" s="353" t="inlineStr">
        <is>
          <t>Note AB</t>
        </is>
      </c>
      <c r="H6" s="403" t="inlineStr">
        <is>
          <t>Not disclosed</t>
        </is>
      </c>
      <c r="I6" s="403" t="n">
        <v>44957</v>
      </c>
      <c r="J6" s="404">
        <f>IFERROR(YEAR(I6),IFERROR(VALUE(LEFT(I6,4)),""))</f>
        <v/>
      </c>
      <c r="K6" s="353" t="inlineStr">
        <is>
          <t>M&amp;A</t>
        </is>
      </c>
      <c r="L6" s="353" t="inlineStr">
        <is>
          <t>100% share acquisition / corporate divestiture</t>
        </is>
      </c>
      <c r="M6" s="353" t="inlineStr">
        <is>
          <t>100%</t>
        </is>
      </c>
      <c r="N6" s="353" t="inlineStr">
        <is>
          <t>Completed</t>
        </is>
      </c>
      <c r="O6" s="405" t="inlineStr">
        <is>
          <t>Not disclosed</t>
        </is>
      </c>
      <c r="P6" s="353" t="inlineStr">
        <is>
          <t>Not disclosed</t>
        </is>
      </c>
      <c r="Q6" s="406" t="inlineStr">
        <is>
          <t>Not disclosed</t>
        </is>
      </c>
      <c r="R6" s="353" t="inlineStr">
        <is>
          <t>No transaction-specific consideration was verified from the cited primary sources.</t>
        </is>
      </c>
      <c r="S6" s="353" t="inlineStr">
        <is>
          <t>Hardware</t>
        </is>
      </c>
      <c r="T6" s="353" t="inlineStr">
        <is>
          <t>Power, Propulsion &amp; Energy</t>
        </is>
      </c>
      <c r="U6" s="353" t="inlineStr">
        <is>
          <t>Core A&amp;D</t>
        </is>
      </c>
      <c r="V6" s="353" t="inlineStr">
        <is>
          <t>ArcQor develops rugged power systems and battery chargers for defence applications and was acquired into W5's defence-technology group.</t>
        </is>
      </c>
      <c r="W6" s="353" t="inlineStr">
        <is>
          <t>W5 Solutions AB completed its acquisition of ArcQor AB from Note AB on 2023-01-31. Ownership acquired: 100%. No transaction-specific consideration was verified from the cited primary sources.</t>
        </is>
      </c>
      <c r="X6" s="353" t="inlineStr">
        <is>
          <t>Not independently verified</t>
        </is>
      </c>
      <c r="Y6" s="353" t="inlineStr">
        <is>
          <t>Verified — primary source</t>
        </is>
      </c>
      <c r="Z6" s="353" t="inlineStr">
        <is>
          <t>https://w5solutions.com/mfn_news/w5-solutions-acquires-arcqor-ab-and-issues-626-342-new-shares/</t>
        </is>
      </c>
      <c r="AA6" s="353" t="inlineStr">
        <is>
          <t>None used</t>
        </is>
      </c>
      <c r="AB6" s="353" t="inlineStr">
        <is>
          <t>Retain; transaction and control status are source-verified. No single normalized transaction value is carried into the verified dataset.</t>
        </is>
      </c>
    </row>
    <row r="7" ht="45" customHeight="1">
      <c r="A7" s="353" t="inlineStr">
        <is>
          <t>EUR-006</t>
        </is>
      </c>
      <c r="B7" s="353" t="inlineStr">
        <is>
          <t>Europe</t>
        </is>
      </c>
      <c r="C7" s="353" t="inlineStr">
        <is>
          <t>Estonia</t>
        </is>
      </c>
      <c r="D7" s="353" t="inlineStr">
        <is>
          <t>Milrem Robotics</t>
        </is>
      </c>
      <c r="E7" s="353" t="inlineStr">
        <is>
          <t>EDGE Group PJSC</t>
        </is>
      </c>
      <c r="F7" s="353" t="inlineStr">
        <is>
          <t>United Arab Emirates</t>
        </is>
      </c>
      <c r="G7" s="353" t="inlineStr">
        <is>
          <t>Founders, employees and Estonian private investors</t>
        </is>
      </c>
      <c r="H7" s="403" t="n">
        <v>44972</v>
      </c>
      <c r="I7" s="403" t="n">
        <v>44972</v>
      </c>
      <c r="J7" s="404">
        <f>IFERROR(YEAR(I7),IFERROR(VALUE(LEFT(I7,4)),""))</f>
        <v/>
      </c>
      <c r="K7" s="353" t="inlineStr">
        <is>
          <t>M&amp;A</t>
        </is>
      </c>
      <c r="L7" s="353" t="inlineStr">
        <is>
          <t>Majority stake</t>
        </is>
      </c>
      <c r="M7" s="353" t="inlineStr">
        <is>
          <t>Majority (KNDS/KMW retained ~24.9%; founder and employees retained minority holdings)</t>
        </is>
      </c>
      <c r="N7" s="353" t="inlineStr">
        <is>
          <t>Completed</t>
        </is>
      </c>
      <c r="O7" s="405" t="inlineStr">
        <is>
          <t>Not disclosed</t>
        </is>
      </c>
      <c r="P7" s="353" t="inlineStr">
        <is>
          <t>Not disclosed</t>
        </is>
      </c>
      <c r="Q7" s="406" t="inlineStr">
        <is>
          <t>Not disclosed</t>
        </is>
      </c>
      <c r="R7" s="353" t="inlineStr">
        <is>
          <t>Consideration not publicly disclosed by either party.</t>
        </is>
      </c>
      <c r="S7" s="353" t="inlineStr">
        <is>
          <t>Hardware / Software</t>
        </is>
      </c>
      <c r="T7" s="353" t="inlineStr">
        <is>
          <t>UAVs &amp; Autonomous Systems</t>
        </is>
      </c>
      <c r="U7" s="353" t="inlineStr">
        <is>
          <t>Core A&amp;D</t>
        </is>
      </c>
      <c r="V7" s="353" t="inlineStr">
        <is>
          <t>Unmanned Ground Systems. Milrem develops and manufactures the THeMIS and Type-X robotic combat and support vehicles for NATO and allied armed forces; defence robotics is its sole business.</t>
        </is>
      </c>
      <c r="W7" s="353" t="inlineStr">
        <is>
          <t>EDGE Group acquired a majority stake in Milrem Robotics, announced 2023-02-15 at IDEX. Described by both parties as the largest foreign investment in Estonia’s defence industry. Consideration not disclosed.</t>
        </is>
      </c>
      <c r="X7" s="353" t="inlineStr">
        <is>
          <t>https://milremrobotics.com</t>
        </is>
      </c>
      <c r="Y7" s="353" t="inlineStr">
        <is>
          <t>Verified — primary source</t>
        </is>
      </c>
      <c r="Z7" s="353" t="inlineStr">
        <is>
          <t>https://edgegroup.ae/news/edge-acquires-majority-stake-milrem-robotics-europes-leading-developer-robotics-and-autonomous</t>
        </is>
      </c>
      <c r="AA7" s="353" t="inlineStr">
        <is>
          <t>https://milremrobotics.com/edge-acquires-majority-stake-in-milrem-robotics-europes-leading-developer-of-robotics-and-autonomous-systems/</t>
        </is>
      </c>
      <c r="AB7" s="353" t="inlineStr">
        <is>
          <t>ADDED 2026-08-02: absent from the original workbook and from the audit log. Passes the strict tests — Estonian target, defence robotics as sole business, change of control. Neither party disclosed a separate legal completion date; the announcement date is used and flagged.</t>
        </is>
      </c>
    </row>
    <row r="8" ht="45" customHeight="1">
      <c r="A8" s="353" t="inlineStr">
        <is>
          <t>EUR-007</t>
        </is>
      </c>
      <c r="B8" s="353" t="inlineStr">
        <is>
          <t>Europe</t>
        </is>
      </c>
      <c r="C8" s="353" t="inlineStr">
        <is>
          <t>France</t>
        </is>
      </c>
      <c r="D8" s="353" t="inlineStr">
        <is>
          <t>CS Group</t>
        </is>
      </c>
      <c r="E8" s="353" t="inlineStr">
        <is>
          <t>Sopra Steria Group SE</t>
        </is>
      </c>
      <c r="F8" s="353" t="inlineStr">
        <is>
          <t>France</t>
        </is>
      </c>
      <c r="G8" s="353" t="inlineStr">
        <is>
          <t>Yazid Sabeg, Eric Blanc-Garin, Duna &amp; Cie, Cira Holding and the founders of Novidy’s</t>
        </is>
      </c>
      <c r="H8" s="403" t="n">
        <v>44883</v>
      </c>
      <c r="I8" s="403" t="n">
        <v>44985</v>
      </c>
      <c r="J8" s="404">
        <f>IFERROR(YEAR(I8),IFERROR(VALUE(LEFT(I8,4)),""))</f>
        <v/>
      </c>
      <c r="K8" s="353" t="inlineStr">
        <is>
          <t>M&amp;A</t>
        </is>
      </c>
      <c r="L8" s="353" t="inlineStr">
        <is>
          <t>Majority stake</t>
        </is>
      </c>
      <c r="M8" s="353" t="inlineStr">
        <is>
          <t>75.06% of share capital and 76.21% of voting rights</t>
        </is>
      </c>
      <c r="N8" s="353" t="inlineStr">
        <is>
          <t>Completed</t>
        </is>
      </c>
      <c r="O8" s="405" t="n">
        <v>11.5</v>
      </c>
      <c r="P8" s="353" t="inlineStr">
        <is>
          <t>EUR</t>
        </is>
      </c>
      <c r="Q8" s="406" t="inlineStr">
        <is>
          <t>Not disclosed</t>
        </is>
      </c>
      <c r="R8" s="353" t="inlineStr">
        <is>
          <t>Price per share of EUR 11.50 paid for the acquired blocks; Sopra Steria did not publish an aggregate transaction value.</t>
        </is>
      </c>
      <c r="S8" s="353" t="inlineStr">
        <is>
          <t>Software / Services</t>
        </is>
      </c>
      <c r="T8" s="353" t="inlineStr">
        <is>
          <t>Cyber &amp; Digital Defence</t>
        </is>
      </c>
      <c r="U8" s="353" t="inlineStr">
        <is>
          <t>Core A&amp;D</t>
        </is>
      </c>
      <c r="V8" s="353" t="inlineStr">
        <is>
          <t>Digital services and critical systems for defence and security, space and energy. CS Group is a French defence and security prime contractor with approximately 2,500 employees.</t>
        </is>
      </c>
      <c r="W8" s="353" t="inlineStr">
        <is>
          <t>Sopra Steria finalised its acquisition of a majority stake in CS Group on 2023-02-28, taking it to 75.06% of share capital and 76.21% of voting rights at EUR 11.50 per share. CS Group was consolidated from 1 March 2023.</t>
        </is>
      </c>
      <c r="X8" s="353" t="inlineStr">
        <is>
          <t>https://www.cs-soprasteria.com</t>
        </is>
      </c>
      <c r="Y8" s="353" t="inlineStr">
        <is>
          <t>Verified — primary source</t>
        </is>
      </c>
      <c r="Z8" s="353" t="inlineStr">
        <is>
          <t>https://www.soprasteria.com/newsroom/press-releases/details/sopra-steria-finalises-its-acquisition-of-a-majority-stake-in-the-share-capital-of-cs-group</t>
        </is>
      </c>
      <c r="AA8" s="353" t="inlineStr">
        <is>
          <t>https://www.cs-soprasteria.com/en/news/sopra-steria-finalises-its-acquisition-of-a-majority-stake-in-the-share-capital-of-cs-group/</t>
        </is>
      </c>
      <c r="AB8" s="353" t="inlineStr">
        <is>
          <t>ADDED 2026-08-02: absent from the original workbook and from the audit log, although CS Group appears in the sheet as an acquirer. Passes the strict tests — French target, defence and security critical systems as primary business, change of control completed inside the window.</t>
        </is>
      </c>
    </row>
    <row r="9" ht="45" customHeight="1">
      <c r="A9" s="353" t="inlineStr">
        <is>
          <t>EUR-008</t>
        </is>
      </c>
      <c r="B9" s="353" t="inlineStr">
        <is>
          <t>Europe</t>
        </is>
      </c>
      <c r="C9" s="353" t="inlineStr">
        <is>
          <t>France</t>
        </is>
      </c>
      <c r="D9" s="353" t="inlineStr">
        <is>
          <t>Connectiv-IT SAS</t>
        </is>
      </c>
      <c r="E9" s="353" t="inlineStr">
        <is>
          <t>Sopra Steria Group</t>
        </is>
      </c>
      <c r="F9" s="353" t="inlineStr">
        <is>
          <t>France</t>
        </is>
      </c>
      <c r="G9" s="353" t="inlineStr">
        <is>
          <t>Not disclosed</t>
        </is>
      </c>
      <c r="H9" s="403" t="inlineStr">
        <is>
          <t>Not disclosed</t>
        </is>
      </c>
      <c r="I9" s="403" t="n">
        <v>45020</v>
      </c>
      <c r="J9" s="404">
        <f>IFERROR(YEAR(I9),IFERROR(VALUE(LEFT(I9,4)),""))</f>
        <v/>
      </c>
      <c r="K9" s="353" t="inlineStr">
        <is>
          <t>M&amp;A</t>
        </is>
      </c>
      <c r="L9" s="353" t="inlineStr">
        <is>
          <t>100% share acquisition</t>
        </is>
      </c>
      <c r="M9" s="353" t="inlineStr">
        <is>
          <t>100%</t>
        </is>
      </c>
      <c r="N9" s="353" t="inlineStr">
        <is>
          <t>Completed</t>
        </is>
      </c>
      <c r="O9" s="405" t="inlineStr">
        <is>
          <t>Not disclosed</t>
        </is>
      </c>
      <c r="P9" s="353" t="inlineStr">
        <is>
          <t>Not disclosed</t>
        </is>
      </c>
      <c r="Q9" s="406" t="inlineStr">
        <is>
          <t>Not disclosed</t>
        </is>
      </c>
      <c r="R9" s="353" t="inlineStr">
        <is>
          <t>Consideration not publicly disclosed.</t>
        </is>
      </c>
      <c r="S9" s="353" t="inlineStr">
        <is>
          <t>Software / Services</t>
        </is>
      </c>
      <c r="T9" s="353" t="inlineStr">
        <is>
          <t>Defence Services &amp; Engineering</t>
        </is>
      </c>
      <c r="U9" s="353" t="inlineStr">
        <is>
          <t>Core A&amp;D</t>
        </is>
      </c>
      <c r="V9" s="353" t="inlineStr">
        <is>
          <t>Connectiv-IT provides software and digital services for aeronautics and defence supply-chain and operational-readiness processes.</t>
        </is>
      </c>
      <c r="W9" s="353" t="inlineStr">
        <is>
          <t>Sopra Steria Group completed its acquisition of Connectiv-IT SAS on 2023-04-04. Ownership acquired: 100%. Consideration not publicly disclosed.</t>
        </is>
      </c>
      <c r="X9" s="353" t="inlineStr">
        <is>
          <t>Not independently verified</t>
        </is>
      </c>
      <c r="Y9" s="353" t="inlineStr">
        <is>
          <t>Verified — primary source</t>
        </is>
      </c>
      <c r="Z9" s="353" t="inlineStr">
        <is>
          <t>https://www.soprasteria.com/Content/SopraSteria/soprasteria-2023-12-31-fr-viewer.html</t>
        </is>
      </c>
      <c r="AA9" s="353" t="inlineStr">
        <is>
          <t>None used</t>
        </is>
      </c>
      <c r="AB9" s="353" t="inlineStr">
        <is>
          <t>Retain; completion and 100% ownership are supported by Sopra Steria reporting.</t>
        </is>
      </c>
    </row>
    <row r="10" ht="45" customHeight="1">
      <c r="A10" s="353" t="inlineStr">
        <is>
          <t>EUR-009</t>
        </is>
      </c>
      <c r="B10" s="353" t="inlineStr">
        <is>
          <t>Europe</t>
        </is>
      </c>
      <c r="C10" s="353" t="inlineStr">
        <is>
          <t>France</t>
        </is>
      </c>
      <c r="D10" s="353" t="inlineStr">
        <is>
          <t>Aubert &amp; Duval</t>
        </is>
      </c>
      <c r="E10" s="353" t="inlineStr">
        <is>
          <t>AD Holding (Airbus, Safran and Tikehau Capital)</t>
        </is>
      </c>
      <c r="F10" s="353" t="inlineStr">
        <is>
          <t>France</t>
        </is>
      </c>
      <c r="G10" s="353" t="inlineStr">
        <is>
          <t>Eramet</t>
        </is>
      </c>
      <c r="H10" s="403" t="inlineStr">
        <is>
          <t>Not disclosed</t>
        </is>
      </c>
      <c r="I10" s="403" t="n">
        <v>45044</v>
      </c>
      <c r="J10" s="404">
        <f>IFERROR(YEAR(I10),IFERROR(VALUE(LEFT(I10,4)),""))</f>
        <v/>
      </c>
      <c r="K10" s="353" t="inlineStr">
        <is>
          <t>M&amp;A</t>
        </is>
      </c>
      <c r="L10" s="353" t="inlineStr">
        <is>
          <t>100% share acquisition through an equally owned holding company</t>
        </is>
      </c>
      <c r="M10" s="353" t="inlineStr">
        <is>
          <t>100%</t>
        </is>
      </c>
      <c r="N10" s="353" t="inlineStr">
        <is>
          <t>Completed</t>
        </is>
      </c>
      <c r="O10" s="405" t="inlineStr">
        <is>
          <t>Not disclosed</t>
        </is>
      </c>
      <c r="P10" s="353" t="inlineStr">
        <is>
          <t>Not disclosed</t>
        </is>
      </c>
      <c r="Q10" s="406" t="inlineStr">
        <is>
          <t>Not disclosed</t>
        </is>
      </c>
      <c r="R10" s="353" t="inlineStr">
        <is>
          <t>Purchase price not publicly disclosed.</t>
        </is>
      </c>
      <c r="S10" s="353" t="inlineStr">
        <is>
          <t>Hardware</t>
        </is>
      </c>
      <c r="T10" s="353" t="inlineStr">
        <is>
          <t>Aerospace Materials &amp; Components</t>
        </is>
      </c>
      <c r="U10" s="353" t="inlineStr">
        <is>
          <t>Core A&amp;D</t>
        </is>
      </c>
      <c r="V10" s="353" t="inlineStr">
        <is>
          <t>Aubert &amp; Duval is a strategic manufacturer of high-performance steels, superalloys, titanium and critical parts central to aerospace and defence supply chains.</t>
        </is>
      </c>
      <c r="W10" s="353" t="inlineStr">
        <is>
          <t>AD Holding (Airbus, Safran and Tikehau Capital) completed its acquisition of Aubert &amp; Duval from Eramet on 2023-04-28. Ownership acquired: 100%. Purchase price not publicly disclosed.</t>
        </is>
      </c>
      <c r="X10" s="353" t="inlineStr">
        <is>
          <t>Not independently verified</t>
        </is>
      </c>
      <c r="Y10" s="353" t="inlineStr">
        <is>
          <t>Verified — primary source</t>
        </is>
      </c>
      <c r="Z10" s="353" t="inlineStr">
        <is>
          <t>https://www.airbus.com/en/newsroom/press-releases/2023-04-airbus-safran-and-tikehau-capital-finalise-acquisition-of-aubert</t>
        </is>
      </c>
      <c r="AA10" s="353" t="inlineStr">
        <is>
          <t>https://www.airbus.com/sites/g/files/jlcbta136/files/2023-11/Airbus_SN_9m-2023-VMF4VR.pdf</t>
        </is>
      </c>
      <c r="AB10" s="353" t="inlineStr">
        <is>
          <t>Confirmed omitted completed control acquisition.</t>
        </is>
      </c>
    </row>
    <row r="11" ht="45" customHeight="1">
      <c r="A11" s="353" t="inlineStr">
        <is>
          <t>EUR-010</t>
        </is>
      </c>
      <c r="B11" s="353" t="inlineStr">
        <is>
          <t>Europe</t>
        </is>
      </c>
      <c r="C11" s="353" t="inlineStr">
        <is>
          <t>Italy</t>
        </is>
      </c>
      <c r="D11" s="353" t="inlineStr">
        <is>
          <t>Innovation Design S.r.l.</t>
        </is>
      </c>
      <c r="E11" s="353" t="inlineStr">
        <is>
          <t>Foramil S.r.l. / Defence Tech Holding S.p.A.</t>
        </is>
      </c>
      <c r="F11" s="353" t="inlineStr">
        <is>
          <t>Italy</t>
        </is>
      </c>
      <c r="G11" s="353" t="inlineStr">
        <is>
          <t>Not disclosed</t>
        </is>
      </c>
      <c r="H11" s="403" t="inlineStr">
        <is>
          <t>Not disclosed</t>
        </is>
      </c>
      <c r="I11" s="403" t="n">
        <v>45045</v>
      </c>
      <c r="J11" s="404">
        <f>IFERROR(YEAR(I11),IFERROR(VALUE(LEFT(I11,4)),""))</f>
        <v/>
      </c>
      <c r="K11" s="353" t="inlineStr">
        <is>
          <t>M&amp;A</t>
        </is>
      </c>
      <c r="L11" s="353" t="inlineStr">
        <is>
          <t>Majority/control share acquisition</t>
        </is>
      </c>
      <c r="M11" s="353" t="inlineStr">
        <is>
          <t>60%</t>
        </is>
      </c>
      <c r="N11" s="353" t="inlineStr">
        <is>
          <t>Completed</t>
        </is>
      </c>
      <c r="O11" s="405" t="inlineStr">
        <is>
          <t>Not disclosed</t>
        </is>
      </c>
      <c r="P11" s="353" t="inlineStr">
        <is>
          <t>Not disclosed</t>
        </is>
      </c>
      <c r="Q11" s="406" t="inlineStr">
        <is>
          <t>Not disclosed</t>
        </is>
      </c>
      <c r="R11" s="353" t="inlineStr">
        <is>
          <t>No source-closed consideration carried forward.</t>
        </is>
      </c>
      <c r="S11" s="353" t="inlineStr">
        <is>
          <t>Hardware / Software</t>
        </is>
      </c>
      <c r="T11" s="353" t="inlineStr">
        <is>
          <t>Defence Electronics &amp; Sensors</t>
        </is>
      </c>
      <c r="U11" s="353" t="inlineStr">
        <is>
          <t>Core A&amp;D</t>
        </is>
      </c>
      <c r="V11" s="353" t="inlineStr">
        <is>
          <t>Innovation Design develops and supplies defence electronics and systems through Foramil/Defence Tech.</t>
        </is>
      </c>
      <c r="W11" s="353" t="inlineStr">
        <is>
          <t>Foramil S.r.l. / Defence Tech Holding S.p.A. completed its acquisition of Innovation Design S.r.l. on 2023-04-29. Ownership acquired: 60%. No source-closed consideration carried forward.</t>
        </is>
      </c>
      <c r="X11" s="353" t="inlineStr">
        <is>
          <t>Not independently verified</t>
        </is>
      </c>
      <c r="Y11" s="353" t="inlineStr">
        <is>
          <t>Verified — primary source</t>
        </is>
      </c>
      <c r="Z11" s="353" t="inlineStr">
        <is>
          <t>https://tinextadefence.it/en/download/29-04-2023-defence-tech-holding-through-its-subsidiary-foramil-finalises-the-acquisition-of-60-of-innovation-design-s-r-l/</t>
        </is>
      </c>
      <c r="AA11" s="353" t="inlineStr">
        <is>
          <t>None used</t>
        </is>
      </c>
      <c r="AB11" s="353" t="inlineStr">
        <is>
          <t>Correct completion date is 29 April 2023 and ownership acquired was 60%, not 100%.</t>
        </is>
      </c>
    </row>
    <row r="12" ht="45" customHeight="1">
      <c r="A12" s="353" t="inlineStr">
        <is>
          <t>EUR-011</t>
        </is>
      </c>
      <c r="B12" s="353" t="inlineStr">
        <is>
          <t>Europe</t>
        </is>
      </c>
      <c r="C12" s="353" t="inlineStr">
        <is>
          <t>France</t>
        </is>
      </c>
      <c r="D12" s="353" t="inlineStr">
        <is>
          <t>Tonner Drones SAS</t>
        </is>
      </c>
      <c r="E12" s="353" t="inlineStr">
        <is>
          <t>Delta Drone S.A. (subsequently renamed Tonner Drones S.A.)</t>
        </is>
      </c>
      <c r="F12" s="353" t="inlineStr">
        <is>
          <t>France</t>
        </is>
      </c>
      <c r="G12" s="353" t="inlineStr">
        <is>
          <t>Not disclosed</t>
        </is>
      </c>
      <c r="H12" s="403" t="n">
        <v>45068</v>
      </c>
      <c r="I12" s="403" t="n">
        <v>45082</v>
      </c>
      <c r="J12" s="404">
        <f>IFERROR(YEAR(I12),IFERROR(VALUE(LEFT(I12,4)),""))</f>
        <v/>
      </c>
      <c r="K12" s="353" t="inlineStr">
        <is>
          <t>M&amp;A</t>
        </is>
      </c>
      <c r="L12" s="353" t="inlineStr">
        <is>
          <t>100% share acquisition</t>
        </is>
      </c>
      <c r="M12" s="353" t="inlineStr">
        <is>
          <t>100%</t>
        </is>
      </c>
      <c r="N12" s="353" t="inlineStr">
        <is>
          <t>Completed</t>
        </is>
      </c>
      <c r="O12" s="405" t="inlineStr">
        <is>
          <t>Not disclosed</t>
        </is>
      </c>
      <c r="P12" s="353" t="inlineStr">
        <is>
          <t>Not disclosed</t>
        </is>
      </c>
      <c r="Q12" s="406" t="inlineStr">
        <is>
          <t>Not disclosed</t>
        </is>
      </c>
      <c r="R12" s="353" t="inlineStr">
        <is>
          <t>No transaction-specific consideration was verified from the cited primary sources.</t>
        </is>
      </c>
      <c r="S12" s="353" t="inlineStr">
        <is>
          <t>Hardware / Software</t>
        </is>
      </c>
      <c r="T12" s="353" t="inlineStr">
        <is>
          <t>UAVs &amp; Autonomous Systems</t>
        </is>
      </c>
      <c r="U12" s="353" t="inlineStr">
        <is>
          <t>Core A&amp;D</t>
        </is>
      </c>
      <c r="V12" s="353" t="inlineStr">
        <is>
          <t>Tonner Drones develops military and dual-use drone technologies; the transaction transferred the operating company into Delta Drone.</t>
        </is>
      </c>
      <c r="W12" s="353" t="inlineStr">
        <is>
          <t>Delta Drone S.A. (subsequently renamed Tonner Drones S.A.) completed its acquisition of Tonner Drones SAS on 2023-06-05. Ownership acquired: 100%. No transaction-specific consideration was verified from the cited primary sources.</t>
        </is>
      </c>
      <c r="X12" s="353" t="inlineStr">
        <is>
          <t>Not independently verified</t>
        </is>
      </c>
      <c r="Y12" s="353" t="inlineStr">
        <is>
          <t>Verified — primary source</t>
        </is>
      </c>
      <c r="Z12" s="353" t="inlineStr">
        <is>
          <t>https://tonnerdrones.com/wp-content/uploads/2023/06/DeltaDrone_CP_closing_07.06.2023_VD.pdf</t>
        </is>
      </c>
      <c r="AA12" s="353" t="inlineStr">
        <is>
          <t>https://tonnerdrones.com/wp-content/uploads/2023/06/20230524_CP_accordglobalreorganisation_DeltaDrone_VD.pdf</t>
        </is>
      </c>
      <c r="AB12" s="353" t="inlineStr">
        <is>
          <t>Correct acquirer is Delta Drone, later renamed Tonner Drones; correct completion date is 5 June 2023.</t>
        </is>
      </c>
    </row>
    <row r="13" ht="45" customHeight="1">
      <c r="A13" s="353" t="inlineStr">
        <is>
          <t>EUR-012</t>
        </is>
      </c>
      <c r="B13" s="353" t="inlineStr">
        <is>
          <t>Europe</t>
        </is>
      </c>
      <c r="C13" s="353" t="inlineStr">
        <is>
          <t>Belgium</t>
        </is>
      </c>
      <c r="D13" s="353" t="inlineStr">
        <is>
          <t>Sky-Hero</t>
        </is>
      </c>
      <c r="E13" s="353" t="inlineStr">
        <is>
          <t>Axon Enterprise, Inc.</t>
        </is>
      </c>
      <c r="F13" s="353" t="inlineStr">
        <is>
          <t>United States</t>
        </is>
      </c>
      <c r="G13" s="353" t="inlineStr">
        <is>
          <t>Not disclosed</t>
        </is>
      </c>
      <c r="H13" s="403" t="n">
        <v>45121</v>
      </c>
      <c r="I13" s="403" t="n">
        <v>45121</v>
      </c>
      <c r="J13" s="404">
        <f>IFERROR(YEAR(I13),IFERROR(VALUE(LEFT(I13,4)),""))</f>
        <v/>
      </c>
      <c r="K13" s="353" t="inlineStr">
        <is>
          <t>M&amp;A</t>
        </is>
      </c>
      <c r="L13" s="353" t="inlineStr">
        <is>
          <t>Company acquisition</t>
        </is>
      </c>
      <c r="M13" s="353" t="inlineStr">
        <is>
          <t>Control/company acquired; exact percentage not disclosed</t>
        </is>
      </c>
      <c r="N13" s="353" t="inlineStr">
        <is>
          <t>Completed</t>
        </is>
      </c>
      <c r="O13" s="405" t="inlineStr">
        <is>
          <t>Not disclosed</t>
        </is>
      </c>
      <c r="P13" s="353" t="inlineStr">
        <is>
          <t>Not disclosed</t>
        </is>
      </c>
      <c r="Q13" s="406" t="inlineStr">
        <is>
          <t>Not disclosed</t>
        </is>
      </c>
      <c r="R13" s="353" t="inlineStr">
        <is>
          <t>Consideration not publicly disclosed.</t>
        </is>
      </c>
      <c r="S13" s="353" t="inlineStr">
        <is>
          <t>Hardware / Software</t>
        </is>
      </c>
      <c r="T13" s="353" t="inlineStr">
        <is>
          <t>UAVs &amp; Autonomous Systems</t>
        </is>
      </c>
      <c r="U13" s="353" t="inlineStr">
        <is>
          <t>Core A&amp;D</t>
        </is>
      </c>
      <c r="V13" s="353" t="inlineStr">
        <is>
          <t>Sky-Hero develops tactical indoor UAVs and UGVs used by elite law-enforcement and military units.</t>
        </is>
      </c>
      <c r="W13" s="353" t="inlineStr">
        <is>
          <t>Axon Enterprise, Inc. completed its acquisition of Sky-Hero on 2023-06 (exact day not disclosed). Ownership acquired: Control/company acquired; exact percentage not disclosed. Consideration not publicly disclosed.</t>
        </is>
      </c>
      <c r="X13" s="353" t="inlineStr">
        <is>
          <t>Not independently verified</t>
        </is>
      </c>
      <c r="Y13" s="353" t="inlineStr">
        <is>
          <t>Verified — primary source</t>
        </is>
      </c>
      <c r="Z13" s="353" t="inlineStr">
        <is>
          <t>https://investor.axon.com/image/AXON_Q3_2023_ShareholderLetter.pdf</t>
        </is>
      </c>
      <c r="AA13" s="353" t="inlineStr">
        <is>
          <t>https://www.axon.com/blog/our-next-step-in-robotics-sky-hero-joins-forces-with-axon</t>
        </is>
      </c>
      <c r="AB13" s="353" t="inlineStr">
        <is>
          <t>Confirmed omitted acquisition; Axon discloses June 2023 closing but not the exact day or consideration. CORRECTED 2026-08-02: date was held as the text string '2023-06 (estimated)'. Axon's own announcement and transaction records date the acquisition 14 July 2023, so an exact date replaces the month estimate.</t>
        </is>
      </c>
    </row>
    <row r="14" ht="45" customHeight="1">
      <c r="A14" s="353" t="inlineStr">
        <is>
          <t>EUR-013</t>
        </is>
      </c>
      <c r="B14" s="353" t="inlineStr">
        <is>
          <t>Europe</t>
        </is>
      </c>
      <c r="C14" s="353" t="inlineStr">
        <is>
          <t>United Kingdom</t>
        </is>
      </c>
      <c r="D14" s="353" t="inlineStr">
        <is>
          <t>Artemis Optical Ltd</t>
        </is>
      </c>
      <c r="E14" s="353" t="inlineStr">
        <is>
          <t>Gooch &amp; Housego plc</t>
        </is>
      </c>
      <c r="F14" s="353" t="inlineStr">
        <is>
          <t>United Kingdom</t>
        </is>
      </c>
      <c r="G14" s="353" t="inlineStr">
        <is>
          <t>Not disclosed</t>
        </is>
      </c>
      <c r="H14" s="403" t="inlineStr">
        <is>
          <t>Not disclosed</t>
        </is>
      </c>
      <c r="I14" s="403" t="n">
        <v>45128</v>
      </c>
      <c r="J14" s="404">
        <f>IFERROR(YEAR(I14),IFERROR(VALUE(LEFT(I14,4)),""))</f>
        <v/>
      </c>
      <c r="K14" s="353" t="inlineStr">
        <is>
          <t>M&amp;A</t>
        </is>
      </c>
      <c r="L14" s="353" t="inlineStr">
        <is>
          <t>100% share acquisition</t>
        </is>
      </c>
      <c r="M14" s="353" t="inlineStr">
        <is>
          <t>100%</t>
        </is>
      </c>
      <c r="N14" s="353" t="inlineStr">
        <is>
          <t>Completed</t>
        </is>
      </c>
      <c r="O14" s="405" t="inlineStr">
        <is>
          <t>Not disclosed</t>
        </is>
      </c>
      <c r="P14" s="353" t="inlineStr">
        <is>
          <t>Not disclosed</t>
        </is>
      </c>
      <c r="Q14" s="406" t="inlineStr">
        <is>
          <t>Not disclosed</t>
        </is>
      </c>
      <c r="R14" s="353" t="inlineStr">
        <is>
          <t>No transaction-specific consideration was verified from the cited primary sources.</t>
        </is>
      </c>
      <c r="S14" s="353" t="inlineStr">
        <is>
          <t>Hardware</t>
        </is>
      </c>
      <c r="T14" s="353" t="inlineStr">
        <is>
          <t>Aerospace Materials &amp; Components</t>
        </is>
      </c>
      <c r="U14" s="353" t="inlineStr">
        <is>
          <t>Core A&amp;D</t>
        </is>
      </c>
      <c r="V14" s="353" t="inlineStr">
        <is>
          <t>Artemis develops optical thin-film coatings and protection systems for defence and aerospace applications.</t>
        </is>
      </c>
      <c r="W14" s="353" t="inlineStr">
        <is>
          <t>Gooch &amp; Housego plc completed its acquisition of Artemis Optical Ltd on 2023-07-21. Ownership acquired: 100%. No transaction-specific consideration was verified from the cited primary sources.</t>
        </is>
      </c>
      <c r="X14" s="353" t="inlineStr">
        <is>
          <t>Not independently verified</t>
        </is>
      </c>
      <c r="Y14" s="353" t="inlineStr">
        <is>
          <t>Verified — primary source</t>
        </is>
      </c>
      <c r="Z14" s="353" t="inlineStr">
        <is>
          <t>https://www.investegate.co.uk/announcement/rns/gooch-housego--ghh/acquisition-of-artemis-optical/7640853</t>
        </is>
      </c>
      <c r="AA14" s="353" t="inlineStr">
        <is>
          <t>None used</t>
        </is>
      </c>
      <c r="AB14" s="353" t="inlineStr">
        <is>
          <t>Retain as completed acquisition of the entire issued share capital.</t>
        </is>
      </c>
    </row>
    <row r="15" ht="45" customHeight="1">
      <c r="A15" s="353" t="inlineStr">
        <is>
          <t>EUR-014</t>
        </is>
      </c>
      <c r="B15" s="353" t="inlineStr">
        <is>
          <t>Europe</t>
        </is>
      </c>
      <c r="C15" s="353" t="inlineStr">
        <is>
          <t>Spain</t>
        </is>
      </c>
      <c r="D15" s="353" t="inlineStr">
        <is>
          <t>EXPAL Systems S.A.U.</t>
        </is>
      </c>
      <c r="E15" s="353" t="inlineStr">
        <is>
          <t>Rheinmetall AG</t>
        </is>
      </c>
      <c r="F15" s="353" t="inlineStr">
        <is>
          <t>Germany</t>
        </is>
      </c>
      <c r="G15" s="353" t="inlineStr">
        <is>
          <t>MaxamCorp Holding S.L.</t>
        </is>
      </c>
      <c r="H15" s="403" t="inlineStr">
        <is>
          <t>Not disclosed</t>
        </is>
      </c>
      <c r="I15" s="403" t="n">
        <v>45139</v>
      </c>
      <c r="J15" s="404">
        <f>IFERROR(YEAR(I15),IFERROR(VALUE(LEFT(I15,4)),""))</f>
        <v/>
      </c>
      <c r="K15" s="353" t="inlineStr">
        <is>
          <t>M&amp;A</t>
        </is>
      </c>
      <c r="L15" s="353" t="inlineStr">
        <is>
          <t>100% share acquisition / corporate divestiture</t>
        </is>
      </c>
      <c r="M15" s="353" t="inlineStr">
        <is>
          <t>100%</t>
        </is>
      </c>
      <c r="N15" s="353" t="inlineStr">
        <is>
          <t>Completed</t>
        </is>
      </c>
      <c r="O15" s="405" t="n">
        <v>1200</v>
      </c>
      <c r="P15" s="353" t="inlineStr">
        <is>
          <t>EUR</t>
        </is>
      </c>
      <c r="Q15" s="406" t="inlineStr">
        <is>
          <t>Not disclosed</t>
        </is>
      </c>
      <c r="R15" s="353" t="inlineStr">
        <is>
          <t>Headline purchase price stated by Rheinmetall.</t>
        </is>
      </c>
      <c r="S15" s="353" t="inlineStr">
        <is>
          <t>Hardware</t>
        </is>
      </c>
      <c r="T15" s="353" t="inlineStr">
        <is>
          <t>Ammunition &amp; Weapons</t>
        </is>
      </c>
      <c r="U15" s="353" t="inlineStr">
        <is>
          <t>Core A&amp;D</t>
        </is>
      </c>
      <c r="V15" s="353" t="inlineStr">
        <is>
          <t>EXPAL is a defence ammunition and weapons-systems producer with multiple Spanish defence-production sites.</t>
        </is>
      </c>
      <c r="W15" s="353" t="inlineStr">
        <is>
          <t>Rheinmetall AG completed its acquisition of EXPAL Systems S.A.U. from MaxamCorp Holding S.L. on 2023-08-01. Ownership acquired: 100%. Headline purchase price stated by Rheinmetall.</t>
        </is>
      </c>
      <c r="X15" s="353" t="inlineStr">
        <is>
          <t>Not independently verified</t>
        </is>
      </c>
      <c r="Y15" s="353" t="inlineStr">
        <is>
          <t>Verified — primary source</t>
        </is>
      </c>
      <c r="Z15" s="353" t="inlineStr">
        <is>
          <t>https://www.rheinmetall.com/en/media/news-watch/news/2023/8/2023-08-01-rheinmetall-completes-acquisition-of-spanish-defence-contractor-expal-systems</t>
        </is>
      </c>
      <c r="AA15" s="353" t="inlineStr">
        <is>
          <t>None used</t>
        </is>
      </c>
      <c r="AB15" s="353" t="inlineStr">
        <is>
          <t>Correct completion date is 1 August 2023, not 31 July.</t>
        </is>
      </c>
    </row>
    <row r="16" ht="45" customHeight="1">
      <c r="A16" s="353" t="inlineStr">
        <is>
          <t>EUR-015</t>
        </is>
      </c>
      <c r="B16" s="353" t="inlineStr">
        <is>
          <t>Europe</t>
        </is>
      </c>
      <c r="C16" s="353" t="inlineStr">
        <is>
          <t>Italy</t>
        </is>
      </c>
      <c r="D16" s="353" t="inlineStr">
        <is>
          <t>Porto Aviation Group S.p.A.</t>
        </is>
      </c>
      <c r="E16" s="353" t="inlineStr">
        <is>
          <t>Public market investors</t>
        </is>
      </c>
      <c r="F16" s="353" t="inlineStr">
        <is>
          <t>N/A — IPO</t>
        </is>
      </c>
      <c r="G16" s="353" t="inlineStr">
        <is>
          <t>N/A — IPO</t>
        </is>
      </c>
      <c r="H16" s="403" t="inlineStr">
        <is>
          <t>Not disclosed</t>
        </is>
      </c>
      <c r="I16" s="403" t="n">
        <v>45142</v>
      </c>
      <c r="J16" s="404">
        <f>IFERROR(YEAR(I16),IFERROR(VALUE(LEFT(I16,4)),""))</f>
        <v/>
      </c>
      <c r="K16" s="353" t="inlineStr">
        <is>
          <t>IPO</t>
        </is>
      </c>
      <c r="L16" s="353" t="inlineStr">
        <is>
          <t>Euronext Growth Milan listing following private placement</t>
        </is>
      </c>
      <c r="M16" s="353" t="inlineStr">
        <is>
          <t>Not disclosed</t>
        </is>
      </c>
      <c r="N16" s="353" t="inlineStr">
        <is>
          <t>Completed</t>
        </is>
      </c>
      <c r="O16" s="405" t="inlineStr">
        <is>
          <t>Not disclosed</t>
        </is>
      </c>
      <c r="P16" s="353" t="inlineStr">
        <is>
          <t>Not disclosed</t>
        </is>
      </c>
      <c r="Q16" s="406" t="inlineStr">
        <is>
          <t>Not disclosed</t>
        </is>
      </c>
      <c r="R16" s="353" t="inlineStr">
        <is>
          <t>No source-closed offer-proceeds figure carried forward.</t>
        </is>
      </c>
      <c r="S16" s="353" t="inlineStr">
        <is>
          <t>Hardware</t>
        </is>
      </c>
      <c r="T16" s="353" t="inlineStr">
        <is>
          <t>Aerospace Platforms &amp; Components</t>
        </is>
      </c>
      <c r="U16" s="353" t="inlineStr">
        <is>
          <t>Core A&amp;D</t>
        </is>
      </c>
      <c r="V16" s="353" t="inlineStr">
        <is>
          <t>Porto Aviation designs and manufactures aircraft; its primary business is civil aerospace technology.</t>
        </is>
      </c>
      <c r="W16" s="353" t="inlineStr">
        <is>
          <t>Porto Aviation Group S.p.A. completed its initial public offering and public-market admission on 2023-08-04. No source-closed offer-proceeds figure carried forward.</t>
        </is>
      </c>
      <c r="X16" s="353" t="inlineStr">
        <is>
          <t>Not independently verified</t>
        </is>
      </c>
      <c r="Y16" s="353" t="inlineStr">
        <is>
          <t>Verified — primary source</t>
        </is>
      </c>
      <c r="Z16" s="353" t="inlineStr">
        <is>
          <t>https://www.euronext.com/en/about/media/euronext-press-releases/porto-aviation-group-lists-euronext-growth-milan</t>
        </is>
      </c>
      <c r="AA16" s="353" t="inlineStr">
        <is>
          <t>https://live.euronext.com/en/ipo-showcase/porto-aviation-group</t>
        </is>
      </c>
      <c r="AB16" s="353" t="inlineStr">
        <is>
          <t>Retain, but label as a private-placement-backed Euronext Growth listing rather than an undifferentiated IPO.</t>
        </is>
      </c>
    </row>
    <row r="17" ht="45" customHeight="1">
      <c r="A17" s="353" t="inlineStr">
        <is>
          <t>EUR-016</t>
        </is>
      </c>
      <c r="B17" s="353" t="inlineStr">
        <is>
          <t>Europe</t>
        </is>
      </c>
      <c r="C17" s="353" t="inlineStr">
        <is>
          <t>United Kingdom</t>
        </is>
      </c>
      <c r="D17" s="353" t="inlineStr">
        <is>
          <t>Blue Bear Systems Research Ltd</t>
        </is>
      </c>
      <c r="E17" s="353" t="inlineStr">
        <is>
          <t>Saab AB</t>
        </is>
      </c>
      <c r="F17" s="353" t="inlineStr">
        <is>
          <t>Sweden</t>
        </is>
      </c>
      <c r="G17" s="353" t="inlineStr">
        <is>
          <t>Not disclosed</t>
        </is>
      </c>
      <c r="H17" s="403" t="inlineStr">
        <is>
          <t>Not disclosed</t>
        </is>
      </c>
      <c r="I17" s="403" t="n">
        <v>45169</v>
      </c>
      <c r="J17" s="404">
        <f>IFERROR(YEAR(I17),IFERROR(VALUE(LEFT(I17,4)),""))</f>
        <v/>
      </c>
      <c r="K17" s="353" t="inlineStr">
        <is>
          <t>M&amp;A</t>
        </is>
      </c>
      <c r="L17" s="353" t="inlineStr">
        <is>
          <t>100% share acquisition</t>
        </is>
      </c>
      <c r="M17" s="353" t="inlineStr">
        <is>
          <t>100%</t>
        </is>
      </c>
      <c r="N17" s="353" t="inlineStr">
        <is>
          <t>Completed</t>
        </is>
      </c>
      <c r="O17" s="405" t="inlineStr">
        <is>
          <t>Not disclosed</t>
        </is>
      </c>
      <c r="P17" s="353" t="inlineStr">
        <is>
          <t>Not disclosed</t>
        </is>
      </c>
      <c r="Q17" s="406" t="inlineStr">
        <is>
          <t>Not disclosed</t>
        </is>
      </c>
      <c r="R17" s="353" t="inlineStr">
        <is>
          <t>Consideration not publicly disclosed.</t>
        </is>
      </c>
      <c r="S17" s="353" t="inlineStr">
        <is>
          <t>Hardware / Software</t>
        </is>
      </c>
      <c r="T17" s="353" t="inlineStr">
        <is>
          <t>UAVs &amp; Autonomous Systems</t>
        </is>
      </c>
      <c r="U17" s="353" t="inlineStr">
        <is>
          <t>Core A&amp;D</t>
        </is>
      </c>
      <c r="V17" s="353" t="inlineStr">
        <is>
          <t>Blue Bear develops autonomous-system and UAV swarm technologies for defence and complex aerospace applications.</t>
        </is>
      </c>
      <c r="W17" s="353" t="inlineStr">
        <is>
          <t>Saab AB completed its acquisition of Blue Bear Systems Research Ltd on 2023-08-31. Ownership acquired: 100%. Consideration not publicly disclosed.</t>
        </is>
      </c>
      <c r="X17" s="353" t="inlineStr">
        <is>
          <t>Not independently verified</t>
        </is>
      </c>
      <c r="Y17" s="353" t="inlineStr">
        <is>
          <t>Verified — primary source</t>
        </is>
      </c>
      <c r="Z17" s="353" t="inlineStr">
        <is>
          <t>https://www.saab.com/newsroom/press-releases/2023/saab-acquires-bluebear</t>
        </is>
      </c>
      <c r="AA17" s="353" t="inlineStr">
        <is>
          <t>None used</t>
        </is>
      </c>
      <c r="AB17" s="353" t="inlineStr">
        <is>
          <t>Retain as a completed acquisition of all shares.</t>
        </is>
      </c>
    </row>
    <row r="18" ht="45" customHeight="1">
      <c r="A18" s="353" t="inlineStr">
        <is>
          <t>EUR-017</t>
        </is>
      </c>
      <c r="B18" s="353" t="inlineStr">
        <is>
          <t>Europe</t>
        </is>
      </c>
      <c r="C18" s="353" t="inlineStr">
        <is>
          <t>Spain</t>
        </is>
      </c>
      <c r="D18" s="353" t="inlineStr">
        <is>
          <t>Epicom S.A.</t>
        </is>
      </c>
      <c r="E18" s="353" t="inlineStr">
        <is>
          <t>Indra Sistemas S.A. and Grupo Oesía</t>
        </is>
      </c>
      <c r="F18" s="353" t="inlineStr">
        <is>
          <t>Spain</t>
        </is>
      </c>
      <c r="G18" s="353" t="inlineStr">
        <is>
          <t>SEPI</t>
        </is>
      </c>
      <c r="H18" s="403" t="inlineStr">
        <is>
          <t>Not disclosed</t>
        </is>
      </c>
      <c r="I18" s="403" t="n">
        <v>45191</v>
      </c>
      <c r="J18" s="404">
        <f>IFERROR(YEAR(I18),IFERROR(VALUE(LEFT(I18,4)),""))</f>
        <v/>
      </c>
      <c r="K18" s="353" t="inlineStr">
        <is>
          <t>M&amp;A</t>
        </is>
      </c>
      <c r="L18" s="353" t="inlineStr">
        <is>
          <t>Joint majority/control acquisition</t>
        </is>
      </c>
      <c r="M18" s="353" t="inlineStr">
        <is>
          <t>60% total: 30% Indra and 30% Grupo Oesía</t>
        </is>
      </c>
      <c r="N18" s="353" t="inlineStr">
        <is>
          <t>Completed</t>
        </is>
      </c>
      <c r="O18" s="405" t="inlineStr">
        <is>
          <t>Not disclosed</t>
        </is>
      </c>
      <c r="P18" s="353" t="inlineStr">
        <is>
          <t>Not disclosed</t>
        </is>
      </c>
      <c r="Q18" s="406" t="inlineStr">
        <is>
          <t>Not disclosed</t>
        </is>
      </c>
      <c r="R18" s="353" t="inlineStr">
        <is>
          <t>Consideration not source-closed.</t>
        </is>
      </c>
      <c r="S18" s="353" t="inlineStr">
        <is>
          <t>Hardware / Software</t>
        </is>
      </c>
      <c r="T18" s="353" t="inlineStr">
        <is>
          <t>Cyber &amp; Digital Defence</t>
        </is>
      </c>
      <c r="U18" s="353" t="inlineStr">
        <is>
          <t>Core A&amp;D</t>
        </is>
      </c>
      <c r="V18" s="353" t="inlineStr">
        <is>
          <t>Epicom develops sovereign encryption and secure-communications systems for defence and government customers.</t>
        </is>
      </c>
      <c r="W18" s="353" t="inlineStr">
        <is>
          <t>Indra Sistemas S.A. and Grupo Oesía completed its acquisition of Epicom S.A. from SEPI on 2023-09-22. Ownership acquired: 60% total: 30% Indra and 30% Grupo Oesía. Consideration not source-closed.</t>
        </is>
      </c>
      <c r="X18" s="353" t="inlineStr">
        <is>
          <t>Not independently verified</t>
        </is>
      </c>
      <c r="Y18" s="353" t="inlineStr">
        <is>
          <t>Verified — primary source</t>
        </is>
      </c>
      <c r="Z18" s="353" t="inlineStr">
        <is>
          <t>https://www.indragroup.com/en/news/indra-oesia-acquire-60-epicom-equal-shares</t>
        </is>
      </c>
      <c r="AA18" s="353" t="inlineStr">
        <is>
          <t>None used</t>
        </is>
      </c>
      <c r="AB18" s="353" t="inlineStr">
        <is>
          <t>Correct the acquirer and structure: Indra and Grupo Oesía jointly acquired 60%; SEPI retained 40%.</t>
        </is>
      </c>
    </row>
    <row r="19" ht="45" customHeight="1">
      <c r="A19" s="353" t="inlineStr">
        <is>
          <t>EUR-018</t>
        </is>
      </c>
      <c r="B19" s="353" t="inlineStr">
        <is>
          <t>Europe</t>
        </is>
      </c>
      <c r="C19" s="353" t="inlineStr">
        <is>
          <t>United Kingdom</t>
        </is>
      </c>
      <c r="D19" s="353" t="inlineStr">
        <is>
          <t>OneWeb Holdings Limited</t>
        </is>
      </c>
      <c r="E19" s="353" t="inlineStr">
        <is>
          <t>Eutelsat Communications S.A.</t>
        </is>
      </c>
      <c r="F19" s="353" t="inlineStr">
        <is>
          <t>France</t>
        </is>
      </c>
      <c r="G19" s="353" t="inlineStr">
        <is>
          <t>Not disclosed</t>
        </is>
      </c>
      <c r="H19" s="403" t="inlineStr">
        <is>
          <t>Not disclosed</t>
        </is>
      </c>
      <c r="I19" s="403" t="n">
        <v>45197</v>
      </c>
      <c r="J19" s="404">
        <f>IFERROR(YEAR(I19),IFERROR(VALUE(LEFT(I19,4)),""))</f>
        <v/>
      </c>
      <c r="K19" s="353" t="inlineStr">
        <is>
          <t>M&amp;A</t>
        </is>
      </c>
      <c r="L19" s="353" t="inlineStr">
        <is>
          <t>All-share business combination resulting in control and full consolidation</t>
        </is>
      </c>
      <c r="M19" s="353" t="inlineStr">
        <is>
          <t>100% of OneWeb consolidated</t>
        </is>
      </c>
      <c r="N19" s="353" t="inlineStr">
        <is>
          <t>Completed</t>
        </is>
      </c>
      <c r="O19" s="405" t="inlineStr">
        <is>
          <t>Not disclosed</t>
        </is>
      </c>
      <c r="P19" s="353" t="inlineStr">
        <is>
          <t>Not disclosed</t>
        </is>
      </c>
      <c r="Q19" s="406" t="inlineStr">
        <is>
          <t>Not disclosed</t>
        </is>
      </c>
      <c r="R19" s="353" t="inlineStr">
        <is>
          <t>All-share combination; no cash purchase price recorded. Eutelsat reports EUR2,506.8m value of consideration shares in its financial statements.</t>
        </is>
      </c>
      <c r="S19" s="353" t="inlineStr">
        <is>
          <t>Hardware / Software / Services</t>
        </is>
      </c>
      <c r="T19" s="353" t="inlineStr">
        <is>
          <t>Space &amp; Satellite Systems</t>
        </is>
      </c>
      <c r="U19" s="353" t="inlineStr">
        <is>
          <t>Core A&amp;D</t>
        </is>
      </c>
      <c r="V19" s="353" t="inlineStr">
        <is>
          <t>OneWeb operates a low-Earth-orbit satellite constellation and satellite-communications network, a core space-technology business.</t>
        </is>
      </c>
      <c r="W19" s="353" t="inlineStr">
        <is>
          <t>Eutelsat Communications S.A. completed its acquisition of OneWeb Holdings Limited on 2023-09-28. Ownership acquired: 100% of OneWeb consolidated. All-share combination; no cash purchase price recorded. Eutelsat reports EUR2,506.8m value of consideration shares in its financial statements.</t>
        </is>
      </c>
      <c r="X19" s="353" t="inlineStr">
        <is>
          <t>Not independently verified</t>
        </is>
      </c>
      <c r="Y19" s="353" t="inlineStr">
        <is>
          <t>Verified — primary source</t>
        </is>
      </c>
      <c r="Z19" s="353" t="inlineStr">
        <is>
          <t>https://www.eutelsat.com/files/PR_2335_Day%201%20clean%20Wednesday%2028%20September%20-%20CLEAN%20%281%29.pdf</t>
        </is>
      </c>
      <c r="AA19" s="353" t="inlineStr">
        <is>
          <t>https://www.eutelsat.com/files/EC_consolidated_financial_statements_FY24_vDEF_EN.pdf</t>
        </is>
      </c>
      <c r="AB19" s="353" t="inlineStr">
        <is>
          <t>Use OneWeb Holdings as target and describe the event as an all-share combination, not a conventional cash full acquisition.</t>
        </is>
      </c>
    </row>
    <row r="20" ht="45" customHeight="1">
      <c r="A20" s="353" t="inlineStr">
        <is>
          <t>EUR-019</t>
        </is>
      </c>
      <c r="B20" s="353" t="inlineStr">
        <is>
          <t>Europe</t>
        </is>
      </c>
      <c r="C20" s="353" t="inlineStr">
        <is>
          <t>United Kingdom</t>
        </is>
      </c>
      <c r="D20" s="353" t="inlineStr">
        <is>
          <t>Park Air Systems Ltd</t>
        </is>
      </c>
      <c r="E20" s="353" t="inlineStr">
        <is>
          <t>Indra Sistemas S.A.</t>
        </is>
      </c>
      <c r="F20" s="353" t="inlineStr">
        <is>
          <t>Spain</t>
        </is>
      </c>
      <c r="G20" s="353" t="inlineStr">
        <is>
          <t>Northrop Grumman</t>
        </is>
      </c>
      <c r="H20" s="403" t="inlineStr">
        <is>
          <t>Not disclosed</t>
        </is>
      </c>
      <c r="I20" s="403" t="n">
        <v>45198</v>
      </c>
      <c r="J20" s="404">
        <f>IFERROR(YEAR(I20),IFERROR(VALUE(LEFT(I20,4)),""))</f>
        <v/>
      </c>
      <c r="K20" s="353" t="inlineStr">
        <is>
          <t>M&amp;A</t>
        </is>
      </c>
      <c r="L20" s="353" t="inlineStr">
        <is>
          <t>100% share acquisition / corporate divestiture</t>
        </is>
      </c>
      <c r="M20" s="353" t="inlineStr">
        <is>
          <t>100%</t>
        </is>
      </c>
      <c r="N20" s="353" t="inlineStr">
        <is>
          <t>Completed</t>
        </is>
      </c>
      <c r="O20" s="405" t="n">
        <v>12.072</v>
      </c>
      <c r="P20" s="353" t="inlineStr">
        <is>
          <t>EUR</t>
        </is>
      </c>
      <c r="Q20" s="406" t="inlineStr">
        <is>
          <t>Not disclosed</t>
        </is>
      </c>
      <c r="R20" s="353" t="inlineStr">
        <is>
          <t>EUR8.572m initial consideration plus EUR3.5m probable earn-out liability in Indra's audited statements.</t>
        </is>
      </c>
      <c r="S20" s="353" t="inlineStr">
        <is>
          <t>Hardware / Software / Services</t>
        </is>
      </c>
      <c r="T20" s="353" t="inlineStr">
        <is>
          <t>Air Traffic Management &amp; Communications</t>
        </is>
      </c>
      <c r="U20" s="353" t="inlineStr">
        <is>
          <t>Core A&amp;D</t>
        </is>
      </c>
      <c r="V20" s="353" t="inlineStr">
        <is>
          <t>Park Air manufactures ground-to-air communications systems for civil and military air-traffic management and defence customers.</t>
        </is>
      </c>
      <c r="W20" s="353" t="inlineStr">
        <is>
          <t>Indra Sistemas S.A. completed its acquisition of Park Air Systems Ltd from Northrop Grumman on 2023-09-29. Ownership acquired: 100%. EUR8.572m initial consideration plus EUR3.5m probable earn-out liability in Indra's audited statements.</t>
        </is>
      </c>
      <c r="X20" s="353" t="inlineStr">
        <is>
          <t>Not independently verified</t>
        </is>
      </c>
      <c r="Y20" s="353" t="inlineStr">
        <is>
          <t>Verified — primary source</t>
        </is>
      </c>
      <c r="Z20" s="353" t="inlineStr">
        <is>
          <t>https://www.indragroup.com/cms-content/importacion/indra_sistemas_and_subsidiaries_2023.pdf</t>
        </is>
      </c>
      <c r="AA20" s="353" t="inlineStr">
        <is>
          <t>https://www.indragroup.com/en/news/indra-completes-purchase-park-air-reinforces-position-global-benchmark-aerospace-defence</t>
        </is>
      </c>
      <c r="AB20" s="353" t="inlineStr">
        <is>
          <t>Correct completion date is 29 September 2023, not the 3 October announcement date.</t>
        </is>
      </c>
    </row>
    <row r="21" ht="45" customHeight="1">
      <c r="A21" s="353" t="inlineStr">
        <is>
          <t>EUR-020</t>
        </is>
      </c>
      <c r="B21" s="353" t="inlineStr">
        <is>
          <t>Europe</t>
        </is>
      </c>
      <c r="C21" s="353" t="inlineStr">
        <is>
          <t>France</t>
        </is>
      </c>
      <c r="D21" s="353" t="inlineStr">
        <is>
          <t>Thales aeronautical electrical systems business</t>
        </is>
      </c>
      <c r="E21" s="353" t="inlineStr">
        <is>
          <t>Safran Electrical &amp; Power</t>
        </is>
      </c>
      <c r="F21" s="353" t="inlineStr">
        <is>
          <t>France</t>
        </is>
      </c>
      <c r="G21" s="353" t="inlineStr">
        <is>
          <t>Thales S.A.</t>
        </is>
      </c>
      <c r="H21" s="403" t="n">
        <v>44809</v>
      </c>
      <c r="I21" s="403" t="n">
        <v>45201</v>
      </c>
      <c r="J21" s="404">
        <f>IFERROR(YEAR(I21),IFERROR(VALUE(LEFT(I21,4)),""))</f>
        <v/>
      </c>
      <c r="K21" s="353" t="inlineStr">
        <is>
          <t>M&amp;A</t>
        </is>
      </c>
      <c r="L21" s="353" t="inlineStr">
        <is>
          <t>Identifiable operating-business acquisition / corporate divestiture</t>
        </is>
      </c>
      <c r="M21" s="353" t="inlineStr">
        <is>
          <t>100% of the identified business activities</t>
        </is>
      </c>
      <c r="N21" s="353" t="inlineStr">
        <is>
          <t>Completed</t>
        </is>
      </c>
      <c r="O21" s="405" t="inlineStr">
        <is>
          <t>Not disclosed</t>
        </is>
      </c>
      <c r="P21" s="353" t="inlineStr">
        <is>
          <t>Not disclosed</t>
        </is>
      </c>
      <c r="Q21" s="406" t="inlineStr">
        <is>
          <t>Not disclosed</t>
        </is>
      </c>
      <c r="R21" s="353" t="inlineStr">
        <is>
          <t>Consideration not publicly disclosed.</t>
        </is>
      </c>
      <c r="S21" s="353" t="inlineStr">
        <is>
          <t>Hardware / Services</t>
        </is>
      </c>
      <c r="T21" s="353" t="inlineStr">
        <is>
          <t>Power, Propulsion &amp; Energy</t>
        </is>
      </c>
      <c r="U21" s="353" t="inlineStr">
        <is>
          <t>Core A&amp;D</t>
        </is>
      </c>
      <c r="V21" s="353" t="inlineStr">
        <is>
          <t>The acquired business designs electric conversion, power generation and motors for civil and military aircraft and generated EUR145m revenue in 2022.</t>
        </is>
      </c>
      <c r="W21" s="353" t="inlineStr">
        <is>
          <t>Safran Electrical &amp; Power completed its acquisition of Thales aeronautical electrical systems business from Thales S.A. on 2023-10-02. Ownership acquired: 100% of the identified business activities. Consideration not publicly disclosed.</t>
        </is>
      </c>
      <c r="X21" s="353" t="inlineStr">
        <is>
          <t>Not independently verified</t>
        </is>
      </c>
      <c r="Y21" s="353" t="inlineStr">
        <is>
          <t>Verified — primary source</t>
        </is>
      </c>
      <c r="Z21" s="353" t="inlineStr">
        <is>
          <t>https://www.safran-group.com/pressroom/safran-acquires-thales-aeronautical-electrical-systems-activities-2023-10-02</t>
        </is>
      </c>
      <c r="AA21" s="353" t="inlineStr">
        <is>
          <t>None used</t>
        </is>
      </c>
      <c r="AB21" s="353" t="inlineStr">
        <is>
          <t>Confirmed omitted completed acquisition of an identifiable aerospace operating business.</t>
        </is>
      </c>
    </row>
    <row r="22" ht="45" customHeight="1">
      <c r="A22" s="353" t="inlineStr">
        <is>
          <t>EUR-021</t>
        </is>
      </c>
      <c r="B22" s="353" t="inlineStr">
        <is>
          <t>Europe</t>
        </is>
      </c>
      <c r="C22" s="353" t="inlineStr">
        <is>
          <t>Poland</t>
        </is>
      </c>
      <c r="D22" s="353" t="inlineStr">
        <is>
          <t>Scanway S.A.</t>
        </is>
      </c>
      <c r="E22" s="353" t="inlineStr">
        <is>
          <t>Public market investors</t>
        </is>
      </c>
      <c r="F22" s="353" t="inlineStr">
        <is>
          <t>N/A — IPO</t>
        </is>
      </c>
      <c r="G22" s="353" t="inlineStr">
        <is>
          <t>N/A — IPO</t>
        </is>
      </c>
      <c r="H22" s="403" t="n">
        <v>45208</v>
      </c>
      <c r="I22" s="403" t="n">
        <v>45210</v>
      </c>
      <c r="J22" s="404">
        <f>IFERROR(YEAR(I22),IFERROR(VALUE(LEFT(I22,4)),""))</f>
        <v/>
      </c>
      <c r="K22" s="353" t="inlineStr">
        <is>
          <t>IPO</t>
        </is>
      </c>
      <c r="L22" s="353" t="inlineStr">
        <is>
          <t>Public offering followed by NewConnect listing</t>
        </is>
      </c>
      <c r="M22" s="353" t="inlineStr">
        <is>
          <t>Not disclosed</t>
        </is>
      </c>
      <c r="N22" s="353" t="inlineStr">
        <is>
          <t>Completed</t>
        </is>
      </c>
      <c r="O22" s="405" t="n">
        <v>9</v>
      </c>
      <c r="P22" s="353" t="inlineStr">
        <is>
          <t>PLN</t>
        </is>
      </c>
      <c r="Q22" s="406" t="inlineStr">
        <is>
          <t>Not disclosed</t>
        </is>
      </c>
      <c r="R22" s="353" t="inlineStr">
        <is>
          <t>Gross public-offering proceeds; listing market capitalisation was PLN58.1m.</t>
        </is>
      </c>
      <c r="S22" s="353" t="inlineStr">
        <is>
          <t>Hardware / Software</t>
        </is>
      </c>
      <c r="T22" s="353" t="inlineStr">
        <is>
          <t>Space &amp; Satellite Systems</t>
        </is>
      </c>
      <c r="U22" s="353" t="inlineStr">
        <is>
          <t>Core A&amp;D</t>
        </is>
      </c>
      <c r="V22" s="353" t="inlineStr">
        <is>
          <t>Scanway designs optical instruments for space observation; space technology is a primary operating line alongside industrial vision systems.</t>
        </is>
      </c>
      <c r="W22" s="353" t="inlineStr">
        <is>
          <t>Scanway S.A. completed its initial public offering and public-market admission on 2023-10-11. Gross public-offering proceeds; listing market capitalisation was PLN58.1m.</t>
        </is>
      </c>
      <c r="X22" s="353" t="inlineStr">
        <is>
          <t>Not independently verified</t>
        </is>
      </c>
      <c r="Y22" s="353" t="inlineStr">
        <is>
          <t>Verified — primary source</t>
        </is>
      </c>
      <c r="Z22" s="353" t="inlineStr">
        <is>
          <t>https://scanway.pl/en/space-company-scanways-debut-on-newconnect-is-set-for-11-october/</t>
        </is>
      </c>
      <c r="AA22" s="353" t="inlineStr">
        <is>
          <t>None used</t>
        </is>
      </c>
      <c r="AB22" s="353" t="inlineStr">
        <is>
          <t>Retain; 11 October is the first-trading date, while the public offering itself was completed in June 2023.</t>
        </is>
      </c>
    </row>
    <row r="23" ht="45" customHeight="1">
      <c r="A23" s="353" t="inlineStr">
        <is>
          <t>EUR-022</t>
        </is>
      </c>
      <c r="B23" s="353" t="inlineStr">
        <is>
          <t>Europe</t>
        </is>
      </c>
      <c r="C23" s="353" t="inlineStr">
        <is>
          <t>France</t>
        </is>
      </c>
      <c r="D23" s="353" t="inlineStr">
        <is>
          <t>Elexo SAS</t>
        </is>
      </c>
      <c r="E23" s="353" t="inlineStr">
        <is>
          <t>Logic Instrument S.A.</t>
        </is>
      </c>
      <c r="F23" s="353" t="inlineStr">
        <is>
          <t>France</t>
        </is>
      </c>
      <c r="G23" s="353" t="inlineStr">
        <is>
          <t>Atos SE</t>
        </is>
      </c>
      <c r="H23" s="403" t="inlineStr">
        <is>
          <t>Not disclosed</t>
        </is>
      </c>
      <c r="I23" s="403" t="n">
        <v>45230</v>
      </c>
      <c r="J23" s="404">
        <f>IFERROR(YEAR(I23),IFERROR(VALUE(LEFT(I23,4)),""))</f>
        <v/>
      </c>
      <c r="K23" s="353" t="inlineStr">
        <is>
          <t>M&amp;A</t>
        </is>
      </c>
      <c r="L23" s="353" t="inlineStr">
        <is>
          <t>100% share acquisition / corporate divestiture</t>
        </is>
      </c>
      <c r="M23" s="353" t="inlineStr">
        <is>
          <t>100%</t>
        </is>
      </c>
      <c r="N23" s="353" t="inlineStr">
        <is>
          <t>Completed</t>
        </is>
      </c>
      <c r="O23" s="405" t="inlineStr">
        <is>
          <t>Not disclosed</t>
        </is>
      </c>
      <c r="P23" s="353" t="inlineStr">
        <is>
          <t>Not disclosed</t>
        </is>
      </c>
      <c r="Q23" s="406" t="inlineStr">
        <is>
          <t>Not disclosed</t>
        </is>
      </c>
      <c r="R23" s="353" t="inlineStr">
        <is>
          <t>Consideration not carried forward because the issuer page used here verifies completion and ownership but not a transaction value.</t>
        </is>
      </c>
      <c r="S23" s="353" t="inlineStr">
        <is>
          <t>Hardware / Services</t>
        </is>
      </c>
      <c r="T23" s="353" t="inlineStr">
        <is>
          <t>Defence Computing &amp; Rugged Systems</t>
        </is>
      </c>
      <c r="U23" s="353" t="inlineStr">
        <is>
          <t>Core A&amp;D</t>
        </is>
      </c>
      <c r="V23" s="353" t="inlineStr">
        <is>
          <t>Elexo is a defence-focused distributor and integrator of rugged mobile computing, test, network-security and telecom systems for critical environments.</t>
        </is>
      </c>
      <c r="W23" s="353" t="inlineStr">
        <is>
          <t>Logic Instrument S.A. completed its acquisition of Elexo SAS from Atos SE on 2023-10-31. Ownership acquired: 100%. Consideration not carried forward because the issuer page used here verifies completion and ownership but not a transaction value.</t>
        </is>
      </c>
      <c r="X23" s="353" t="inlineStr">
        <is>
          <t>Not independently verified</t>
        </is>
      </c>
      <c r="Y23" s="353" t="inlineStr">
        <is>
          <t>Verified — primary source</t>
        </is>
      </c>
      <c r="Z23" s="353" t="inlineStr">
        <is>
          <t>https://logic-instrument.com/en/logic-instrument-announces-the-definitive-acquisition-on-october-31-of-100-of-the-shares-of-elexo-a-subsidiary-of-the-atos-group/</t>
        </is>
      </c>
      <c r="AA23" s="353" t="inlineStr">
        <is>
          <t>None used</t>
        </is>
      </c>
      <c r="AB23" s="353" t="inlineStr">
        <is>
          <t>Correct completion date is 31 October 2023, not 31 December; remove the unverified value pending source closure.</t>
        </is>
      </c>
    </row>
    <row r="24" ht="45" customHeight="1">
      <c r="A24" s="353" t="inlineStr">
        <is>
          <t>EUR-023</t>
        </is>
      </c>
      <c r="B24" s="353" t="inlineStr">
        <is>
          <t>Europe</t>
        </is>
      </c>
      <c r="C24" s="353" t="inlineStr">
        <is>
          <t>United Kingdom</t>
        </is>
      </c>
      <c r="D24" s="353" t="inlineStr">
        <is>
          <t>Malloy Aeronautics Ltd</t>
        </is>
      </c>
      <c r="E24" s="353" t="inlineStr">
        <is>
          <t>BAE Systems plc</t>
        </is>
      </c>
      <c r="F24" s="353" t="inlineStr">
        <is>
          <t>United Kingdom</t>
        </is>
      </c>
      <c r="G24" s="353" t="inlineStr">
        <is>
          <t>Malloy Aeronautics shareholders</t>
        </is>
      </c>
      <c r="H24" s="403" t="inlineStr">
        <is>
          <t>Not disclosed</t>
        </is>
      </c>
      <c r="I24" s="403" t="n">
        <v>45322</v>
      </c>
      <c r="J24" s="404">
        <f>IFERROR(YEAR(I24),IFERROR(VALUE(LEFT(I24,4)),""))</f>
        <v/>
      </c>
      <c r="K24" s="353" t="inlineStr">
        <is>
          <t>M&amp;A</t>
        </is>
      </c>
      <c r="L24" s="353" t="inlineStr">
        <is>
          <t>100% share acquisition</t>
        </is>
      </c>
      <c r="M24" s="353" t="inlineStr">
        <is>
          <t>100%</t>
        </is>
      </c>
      <c r="N24" s="353" t="inlineStr">
        <is>
          <t>Completed</t>
        </is>
      </c>
      <c r="O24" s="405" t="inlineStr">
        <is>
          <t>Not disclosed</t>
        </is>
      </c>
      <c r="P24" s="353" t="inlineStr">
        <is>
          <t>Not disclosed</t>
        </is>
      </c>
      <c r="Q24" s="406" t="inlineStr">
        <is>
          <t>Not disclosed</t>
        </is>
      </c>
      <c r="R24" s="353" t="inlineStr">
        <is>
          <t>No transaction-specific consideration was verified from BAE's cited primary-source disclosures.</t>
        </is>
      </c>
      <c r="S24" s="353" t="inlineStr">
        <is>
          <t>Hardware / Software</t>
        </is>
      </c>
      <c r="T24" s="353" t="inlineStr">
        <is>
          <t>UAVs &amp; Autonomous Systems</t>
        </is>
      </c>
      <c r="U24" s="353" t="inlineStr">
        <is>
          <t>Core A&amp;D</t>
        </is>
      </c>
      <c r="V24" s="353" t="inlineStr">
        <is>
          <t>Malloy develops heavy-lift uncrewed aerial vehicles for military logistics and autonomous operations.</t>
        </is>
      </c>
      <c r="W24" s="353" t="inlineStr">
        <is>
          <t>BAE Systems plc completed its acquisition of Malloy Aeronautics Ltd from Malloy Aeronautics shareholders on 2024-01-31. Ownership acquired: 100%. No transaction-specific consideration was verified from BAE's cited primary-source disclosures.</t>
        </is>
      </c>
      <c r="X24" s="353" t="inlineStr">
        <is>
          <t>Not independently verified</t>
        </is>
      </c>
      <c r="Y24" s="353" t="inlineStr">
        <is>
          <t>Verified — primary source</t>
        </is>
      </c>
      <c r="Z24" s="353" t="inlineStr">
        <is>
          <t>https://www.investegate.co.uk/announcement/rns/bae-systems--ba./final-results/8742430</t>
        </is>
      </c>
      <c r="AA24" s="353" t="inlineStr">
        <is>
          <t>https://find-and-update.company-information.service.gov.uk/company/07993563/persons-with-significant-control</t>
        </is>
      </c>
      <c r="AB24" s="353" t="inlineStr">
        <is>
          <t>Retain as a completed 100% control acquisition.</t>
        </is>
      </c>
    </row>
    <row r="25" ht="45" customHeight="1">
      <c r="A25" s="353" t="inlineStr">
        <is>
          <t>EUR-024</t>
        </is>
      </c>
      <c r="B25" s="353" t="inlineStr">
        <is>
          <t>Europe</t>
        </is>
      </c>
      <c r="C25" s="353" t="inlineStr">
        <is>
          <t>Germany</t>
        </is>
      </c>
      <c r="D25" s="353" t="inlineStr">
        <is>
          <t>RENK Group AG</t>
        </is>
      </c>
      <c r="E25" s="353" t="inlineStr">
        <is>
          <t>Public market investors</t>
        </is>
      </c>
      <c r="F25" s="353" t="inlineStr">
        <is>
          <t>N/A — IPO</t>
        </is>
      </c>
      <c r="G25" s="353" t="inlineStr">
        <is>
          <t>Triton</t>
        </is>
      </c>
      <c r="H25" s="403" t="inlineStr">
        <is>
          <t>Not disclosed</t>
        </is>
      </c>
      <c r="I25" s="403" t="n">
        <v>45329</v>
      </c>
      <c r="J25" s="404">
        <f>IFERROR(YEAR(I25),IFERROR(VALUE(LEFT(I25,4)),""))</f>
        <v/>
      </c>
      <c r="K25" s="353" t="inlineStr">
        <is>
          <t>IPO</t>
        </is>
      </c>
      <c r="L25" s="353" t="inlineStr">
        <is>
          <t>Frankfurt Stock Exchange IPO/listing</t>
        </is>
      </c>
      <c r="M25" s="353" t="inlineStr">
        <is>
          <t>Not disclosed</t>
        </is>
      </c>
      <c r="N25" s="353" t="inlineStr">
        <is>
          <t>Completed</t>
        </is>
      </c>
      <c r="O25" s="405" t="n">
        <v>500</v>
      </c>
      <c r="P25" s="353" t="inlineStr">
        <is>
          <t>EUR</t>
        </is>
      </c>
      <c r="Q25" s="406" t="inlineStr">
        <is>
          <t>Not disclosed</t>
        </is>
      </c>
      <c r="R25" s="353" t="inlineStr">
        <is>
          <t>Placement volume including full greenshoe reported by Deutsche Börse.</t>
        </is>
      </c>
      <c r="S25" s="353" t="inlineStr">
        <is>
          <t>Hardware / Services</t>
        </is>
      </c>
      <c r="T25" s="353" t="inlineStr">
        <is>
          <t>Power, Propulsion &amp; Energy</t>
        </is>
      </c>
      <c r="U25" s="353" t="inlineStr">
        <is>
          <t>Core A&amp;D</t>
        </is>
      </c>
      <c r="V25" s="353" t="inlineStr">
        <is>
          <t>RENK develops transmissions and propulsion systems with a major focus on military tracked vehicles, naval vessels and defence applications.</t>
        </is>
      </c>
      <c r="W25" s="353" t="inlineStr">
        <is>
          <t>RENK Group AG completed its initial public offering and public-market admission on 2024-02-07. Placement volume including full greenshoe reported by Deutsche Börse.</t>
        </is>
      </c>
      <c r="X25" s="353" t="inlineStr">
        <is>
          <t>Not independently verified</t>
        </is>
      </c>
      <c r="Y25" s="353" t="inlineStr">
        <is>
          <t>Verified — primary source</t>
        </is>
      </c>
      <c r="Z25" s="353" t="inlineStr">
        <is>
          <t>https://www.deutsche-boerse.com/dbg-en/media/news-stories/press-releases/RENK-Group-AG-new-in-the-Prime-Standard-of-the-Frankfurt-Stock-Exchange-3847060</t>
        </is>
      </c>
      <c r="AA25" s="353" t="inlineStr">
        <is>
          <t>https://www.cashmarket.deutsche-boerse.com/cash-en/Data-Tech/statistics/New-Companies/RENK-Group-AG-3848344</t>
        </is>
      </c>
      <c r="AB25" s="353" t="inlineStr">
        <is>
          <t>Retain; listing date and placement volume are exchange-verified.</t>
        </is>
      </c>
    </row>
    <row r="26" ht="45" customHeight="1">
      <c r="A26" s="353" t="inlineStr">
        <is>
          <t>EUR-025</t>
        </is>
      </c>
      <c r="B26" s="353" t="inlineStr">
        <is>
          <t>Europe</t>
        </is>
      </c>
      <c r="C26" s="353" t="inlineStr">
        <is>
          <t>Cyprus</t>
        </is>
      </c>
      <c r="D26" s="353" t="inlineStr">
        <is>
          <t>THEON International Plc</t>
        </is>
      </c>
      <c r="E26" s="353" t="inlineStr">
        <is>
          <t>Public market investors</t>
        </is>
      </c>
      <c r="F26" s="353" t="inlineStr">
        <is>
          <t>N/A — IPO</t>
        </is>
      </c>
      <c r="G26" s="353" t="inlineStr">
        <is>
          <t>N/A — IPO</t>
        </is>
      </c>
      <c r="H26" s="403" t="n">
        <v>45320</v>
      </c>
      <c r="I26" s="403" t="n">
        <v>45329</v>
      </c>
      <c r="J26" s="404">
        <f>IFERROR(YEAR(I26),IFERROR(VALUE(LEFT(I26,4)),""))</f>
        <v/>
      </c>
      <c r="K26" s="353" t="inlineStr">
        <is>
          <t>IPO</t>
        </is>
      </c>
      <c r="L26" s="353" t="inlineStr">
        <is>
          <t>Euronext Amsterdam IPO/private placement and listing</t>
        </is>
      </c>
      <c r="M26" s="353" t="inlineStr">
        <is>
          <t>Not disclosed</t>
        </is>
      </c>
      <c r="N26" s="353" t="inlineStr">
        <is>
          <t>Completed</t>
        </is>
      </c>
      <c r="O26" s="405" t="n">
        <v>94</v>
      </c>
      <c r="P26" s="353" t="inlineStr">
        <is>
          <t>EUR</t>
        </is>
      </c>
      <c r="Q26" s="406" t="inlineStr">
        <is>
          <t>Not disclosed</t>
        </is>
      </c>
      <c r="R26" s="353" t="inlineStr">
        <is>
          <t>Approximate net IPO proceeds reported in THEON's 2024 Annual Report; listing market capitalisation was EUR700m.</t>
        </is>
      </c>
      <c r="S26" s="353" t="inlineStr">
        <is>
          <t>Hardware</t>
        </is>
      </c>
      <c r="T26" s="353" t="inlineStr">
        <is>
          <t>Defence Electronics &amp; Sensors</t>
        </is>
      </c>
      <c r="U26" s="353" t="inlineStr">
        <is>
          <t>Core A&amp;D</t>
        </is>
      </c>
      <c r="V26" s="353" t="inlineStr">
        <is>
          <t>THEON designs and manufactures night-vision and thermal-imaging systems for defence and security; headquarters and main production are in Greece, while the issuer is Cyprus-registered.</t>
        </is>
      </c>
      <c r="W26" s="353" t="inlineStr">
        <is>
          <t>THEON International Plc completed its initial public offering and public-market admission on 2024-02-07. Approximate net IPO proceeds reported in THEON's 2024 Annual Report; listing market capitalisation was EUR700m.</t>
        </is>
      </c>
      <c r="X26" s="353" t="inlineStr">
        <is>
          <t>Not independently verified</t>
        </is>
      </c>
      <c r="Y26" s="353" t="inlineStr">
        <is>
          <t>Verified — primary source</t>
        </is>
      </c>
      <c r="Z26" s="353" t="inlineStr">
        <is>
          <t>https://www.euronext.com/en/about/media/euronext-press-releases/theon-international-plc-lists-euronext-amsterdam</t>
        </is>
      </c>
      <c r="AA26" s="353" t="inlineStr">
        <is>
          <t>https://investors.theon.com/files/doc_financials/2024/ar/Theon_Annual-Report_FY-2024.pdf</t>
        </is>
      </c>
      <c r="AB26" s="353" t="inlineStr">
        <is>
          <t>Confirmed omitted European defence-technology IPO.</t>
        </is>
      </c>
    </row>
    <row r="27" ht="45" customHeight="1">
      <c r="A27" s="353" t="inlineStr">
        <is>
          <t>EUR-026</t>
        </is>
      </c>
      <c r="B27" s="353" t="inlineStr">
        <is>
          <t>Europe</t>
        </is>
      </c>
      <c r="C27" s="353" t="inlineStr">
        <is>
          <t>France</t>
        </is>
      </c>
      <c r="D27" s="353" t="inlineStr">
        <is>
          <t>Cobham Aerospace Communications</t>
        </is>
      </c>
      <c r="E27" s="353" t="inlineStr">
        <is>
          <t>Thales S.A.</t>
        </is>
      </c>
      <c r="F27" s="353" t="inlineStr">
        <is>
          <t>France</t>
        </is>
      </c>
      <c r="G27" s="353" t="inlineStr">
        <is>
          <t>TransDigm Group</t>
        </is>
      </c>
      <c r="H27" s="403" t="inlineStr">
        <is>
          <t>Not disclosed</t>
        </is>
      </c>
      <c r="I27" s="403" t="n">
        <v>45384</v>
      </c>
      <c r="J27" s="404">
        <f>IFERROR(YEAR(I27),IFERROR(VALUE(LEFT(I27,4)),""))</f>
        <v/>
      </c>
      <c r="K27" s="353" t="inlineStr">
        <is>
          <t>M&amp;A</t>
        </is>
      </c>
      <c r="L27" s="353" t="inlineStr">
        <is>
          <t>100% operating-business acquisition / corporate divestiture</t>
        </is>
      </c>
      <c r="M27" s="353" t="inlineStr">
        <is>
          <t>100%</t>
        </is>
      </c>
      <c r="N27" s="353" t="inlineStr">
        <is>
          <t>Completed</t>
        </is>
      </c>
      <c r="O27" s="405" t="n">
        <v>1100</v>
      </c>
      <c r="P27" s="353" t="inlineStr">
        <is>
          <t>USD</t>
        </is>
      </c>
      <c r="Q27" s="406" t="n">
        <v>1100</v>
      </c>
      <c r="R27" s="353" t="inlineStr">
        <is>
          <t>Headline enterprise value announced by Thales, subject to customary adjustments.</t>
        </is>
      </c>
      <c r="S27" s="353" t="inlineStr">
        <is>
          <t>Hardware / Software</t>
        </is>
      </c>
      <c r="T27" s="353" t="inlineStr">
        <is>
          <t>Air Traffic Management &amp; Communications</t>
        </is>
      </c>
      <c r="U27" s="353" t="inlineStr">
        <is>
          <t>Core A&amp;D</t>
        </is>
      </c>
      <c r="V27" s="353" t="inlineStr">
        <is>
          <t>Cobham Aerospace Communications develops safety-critical and secure cockpit communications for civil and military aircraft.</t>
        </is>
      </c>
      <c r="W27" s="353" t="inlineStr">
        <is>
          <t>Thales S.A. completed its acquisition of Cobham Aerospace Communications from TransDigm Group on 2024-04-02. Ownership acquired: 100%. Headline enterprise value announced by Thales, subject to customary adjustments.</t>
        </is>
      </c>
      <c r="X27" s="353" t="inlineStr">
        <is>
          <t>Not independently verified</t>
        </is>
      </c>
      <c r="Y27" s="353" t="inlineStr">
        <is>
          <t>Verified — primary source</t>
        </is>
      </c>
      <c r="Z27" s="353" t="inlineStr">
        <is>
          <t>https://www.thalesgroup.com/sites/default/files/investor/documents/Thales_completes_the_acquisition_of_Cobham_Aerospace_Communications___2_April_2024_1.pdf</t>
        </is>
      </c>
      <c r="AA27" s="353" t="inlineStr">
        <is>
          <t>None used</t>
        </is>
      </c>
      <c r="AB27" s="353" t="inlineStr">
        <is>
          <t>Retain as completed acquisition of the aerospace communications operating business.</t>
        </is>
      </c>
    </row>
    <row r="28" ht="45" customHeight="1">
      <c r="A28" s="353" t="inlineStr">
        <is>
          <t>EUR-027</t>
        </is>
      </c>
      <c r="B28" s="353" t="inlineStr">
        <is>
          <t>Europe</t>
        </is>
      </c>
      <c r="C28" s="353" t="inlineStr">
        <is>
          <t>Germany</t>
        </is>
      </c>
      <c r="D28" s="353" t="inlineStr">
        <is>
          <t>ESG Elektroniksystem- und Logistik-GmbH</t>
        </is>
      </c>
      <c r="E28" s="353" t="inlineStr">
        <is>
          <t>HENSOLDT AG</t>
        </is>
      </c>
      <c r="F28" s="353" t="inlineStr">
        <is>
          <t>Germany</t>
        </is>
      </c>
      <c r="G28" s="353" t="inlineStr">
        <is>
          <t>Armira</t>
        </is>
      </c>
      <c r="H28" s="403" t="inlineStr">
        <is>
          <t>Not disclosed</t>
        </is>
      </c>
      <c r="I28" s="403" t="n">
        <v>45384</v>
      </c>
      <c r="J28" s="404">
        <f>IFERROR(YEAR(I28),IFERROR(VALUE(LEFT(I28,4)),""))</f>
        <v/>
      </c>
      <c r="K28" s="353" t="inlineStr">
        <is>
          <t>M&amp;A</t>
        </is>
      </c>
      <c r="L28" s="353" t="inlineStr">
        <is>
          <t>100% share acquisition</t>
        </is>
      </c>
      <c r="M28" s="353" t="inlineStr">
        <is>
          <t>100%</t>
        </is>
      </c>
      <c r="N28" s="353" t="inlineStr">
        <is>
          <t>Completed</t>
        </is>
      </c>
      <c r="O28" s="405" t="n">
        <v>675</v>
      </c>
      <c r="P28" s="353" t="inlineStr">
        <is>
          <t>EUR</t>
        </is>
      </c>
      <c r="Q28" s="406" t="inlineStr">
        <is>
          <t>Not disclosed</t>
        </is>
      </c>
      <c r="R28" s="353" t="inlineStr">
        <is>
          <t>Enterprise value stated by HENSOLDT at announcement.</t>
        </is>
      </c>
      <c r="S28" s="353" t="inlineStr">
        <is>
          <t>Software / Services</t>
        </is>
      </c>
      <c r="T28" s="353" t="inlineStr">
        <is>
          <t>Defence Services &amp; Engineering</t>
        </is>
      </c>
      <c r="U28" s="353" t="inlineStr">
        <is>
          <t>Core A&amp;D</t>
        </is>
      </c>
      <c r="V28" s="353" t="inlineStr">
        <is>
          <t>ESG is a defence-electronics, systems-integration and logistics technology company active in FCAS, F-35, AI and cyber programmes.</t>
        </is>
      </c>
      <c r="W28" s="353" t="inlineStr">
        <is>
          <t>HENSOLDT AG completed its acquisition of ESG Elektroniksystem- und Logistik-GmbH from Armira on 2024-04-02. Ownership acquired: 100%. Enterprise value stated by HENSOLDT at announcement.</t>
        </is>
      </c>
      <c r="X28" s="353" t="inlineStr">
        <is>
          <t>Not independently verified</t>
        </is>
      </c>
      <c r="Y28" s="353" t="inlineStr">
        <is>
          <t>Verified — primary source</t>
        </is>
      </c>
      <c r="Z28" s="353" t="inlineStr">
        <is>
          <t>https://investors.hensoldt.net/news/hensoldt-completes-acquisition-of-esg/fc5faac1-65bb-4c36-9dc2-1eed4f010c8b</t>
        </is>
      </c>
      <c r="AA28" s="353" t="inlineStr">
        <is>
          <t>None used</t>
        </is>
      </c>
      <c r="AB28" s="353" t="inlineStr">
        <is>
          <t>Retain; closing effective 2 April 2024.</t>
        </is>
      </c>
    </row>
    <row r="29" ht="45" customHeight="1">
      <c r="A29" s="353" t="inlineStr">
        <is>
          <t>EUR-028</t>
        </is>
      </c>
      <c r="B29" s="353" t="inlineStr">
        <is>
          <t>Europe</t>
        </is>
      </c>
      <c r="C29" s="353" t="inlineStr">
        <is>
          <t>United Kingdom</t>
        </is>
      </c>
      <c r="D29" s="353" t="inlineStr">
        <is>
          <t>Woodford Engineering Consultancy (UK) Ltd</t>
        </is>
      </c>
      <c r="E29" s="353" t="inlineStr">
        <is>
          <t>ALTEN S.A.</t>
        </is>
      </c>
      <c r="F29" s="353" t="inlineStr">
        <is>
          <t>France</t>
        </is>
      </c>
      <c r="G29" s="353" t="inlineStr">
        <is>
          <t>Not disclosed</t>
        </is>
      </c>
      <c r="H29" s="403" t="inlineStr">
        <is>
          <t>Not disclosed</t>
        </is>
      </c>
      <c r="I29" s="403" t="n">
        <v>45408</v>
      </c>
      <c r="J29" s="404">
        <f>IFERROR(YEAR(I29),IFERROR(VALUE(LEFT(I29,4)),""))</f>
        <v/>
      </c>
      <c r="K29" s="353" t="inlineStr">
        <is>
          <t>M&amp;A</t>
        </is>
      </c>
      <c r="L29" s="353" t="inlineStr">
        <is>
          <t>100% share acquisition</t>
        </is>
      </c>
      <c r="M29" s="353" t="inlineStr">
        <is>
          <t>100%</t>
        </is>
      </c>
      <c r="N29" s="353" t="inlineStr">
        <is>
          <t>Completed</t>
        </is>
      </c>
      <c r="O29" s="405" t="n">
        <v>2.843</v>
      </c>
      <c r="P29" s="353" t="inlineStr">
        <is>
          <t>GBP</t>
        </is>
      </c>
      <c r="Q29" s="406" t="inlineStr">
        <is>
          <t>Not disclosed</t>
        </is>
      </c>
      <c r="R29" s="353" t="inlineStr">
        <is>
          <t>Purchase consideration reported in ALTEN's acquisition disclosures.</t>
        </is>
      </c>
      <c r="S29" s="353" t="inlineStr">
        <is>
          <t>Services</t>
        </is>
      </c>
      <c r="T29" s="353" t="inlineStr">
        <is>
          <t>Defence Services &amp; Engineering</t>
        </is>
      </c>
      <c r="U29" s="353" t="inlineStr">
        <is>
          <t>Core A&amp;D</t>
        </is>
      </c>
      <c r="V29" s="353" t="inlineStr">
        <is>
          <t>Woodford is an aerospace engineering consultancy focused on aircraft design, certification and technical services.</t>
        </is>
      </c>
      <c r="W29" s="353" t="inlineStr">
        <is>
          <t>ALTEN S.A. completed its acquisition of Woodford Engineering Consultancy (UK) Ltd on 2024-04-26. Ownership acquired: 100%. Purchase consideration reported in ALTEN's acquisition disclosures.</t>
        </is>
      </c>
      <c r="X29" s="353" t="inlineStr">
        <is>
          <t>Not independently verified</t>
        </is>
      </c>
      <c r="Y29" s="353" t="inlineStr">
        <is>
          <t>Verified — primary source</t>
        </is>
      </c>
      <c r="Z29" s="353" t="inlineStr">
        <is>
          <t>https://www.alten.com/wp-content/uploads/2025/09/2024_Universal_Registration_Document-accessibility.pdf</t>
        </is>
      </c>
      <c r="AA29" s="353" t="inlineStr">
        <is>
          <t>None used</t>
        </is>
      </c>
      <c r="AB29" s="353" t="inlineStr">
        <is>
          <t>Correct acquisition date is 26 April 2024, not 8 July.</t>
        </is>
      </c>
    </row>
    <row r="30" ht="45" customHeight="1">
      <c r="A30" s="353" t="inlineStr">
        <is>
          <t>EUR-029</t>
        </is>
      </c>
      <c r="B30" s="353" t="inlineStr">
        <is>
          <t>Europe</t>
        </is>
      </c>
      <c r="C30" s="353" t="inlineStr">
        <is>
          <t>United Kingdom</t>
        </is>
      </c>
      <c r="D30" s="353" t="inlineStr">
        <is>
          <t>Mabway Ltd</t>
        </is>
      </c>
      <c r="E30" s="353" t="inlineStr">
        <is>
          <t>Calian Group Ltd.</t>
        </is>
      </c>
      <c r="F30" s="353" t="inlineStr">
        <is>
          <t>Canada</t>
        </is>
      </c>
      <c r="G30" s="353" t="inlineStr">
        <is>
          <t>Not disclosed</t>
        </is>
      </c>
      <c r="H30" s="403" t="inlineStr">
        <is>
          <t>Not disclosed</t>
        </is>
      </c>
      <c r="I30" s="403" t="n">
        <v>45421</v>
      </c>
      <c r="J30" s="404">
        <f>IFERROR(YEAR(I30),IFERROR(VALUE(LEFT(I30,4)),""))</f>
        <v/>
      </c>
      <c r="K30" s="353" t="inlineStr">
        <is>
          <t>M&amp;A</t>
        </is>
      </c>
      <c r="L30" s="353" t="inlineStr">
        <is>
          <t>100% share acquisition</t>
        </is>
      </c>
      <c r="M30" s="353" t="inlineStr">
        <is>
          <t>100%</t>
        </is>
      </c>
      <c r="N30" s="353" t="inlineStr">
        <is>
          <t>Completed</t>
        </is>
      </c>
      <c r="O30" s="405" t="inlineStr">
        <is>
          <t>Not disclosed</t>
        </is>
      </c>
      <c r="P30" s="353" t="inlineStr">
        <is>
          <t>Not disclosed</t>
        </is>
      </c>
      <c r="Q30" s="406" t="inlineStr">
        <is>
          <t>Not disclosed</t>
        </is>
      </c>
      <c r="R30" s="353" t="inlineStr">
        <is>
          <t>No transaction-specific consideration was verified from the cited primary sources.</t>
        </is>
      </c>
      <c r="S30" s="353" t="inlineStr">
        <is>
          <t>Services</t>
        </is>
      </c>
      <c r="T30" s="353" t="inlineStr">
        <is>
          <t>Training &amp; Simulation</t>
        </is>
      </c>
      <c r="U30" s="353" t="inlineStr">
        <is>
          <t>Core A&amp;D</t>
        </is>
      </c>
      <c r="V30" s="353" t="inlineStr">
        <is>
          <t>Mabway provides defence training, simulation, operational support and technical services to armed-forces customers.</t>
        </is>
      </c>
      <c r="W30" s="353" t="inlineStr">
        <is>
          <t>Calian Group Ltd. completed its acquisition of Mabway Ltd on 2024-05-09. Ownership acquired: 100%. No transaction-specific consideration was verified from the cited primary sources.</t>
        </is>
      </c>
      <c r="X30" s="353" t="inlineStr">
        <is>
          <t>Not independently verified</t>
        </is>
      </c>
      <c r="Y30" s="353" t="inlineStr">
        <is>
          <t>Verified — primary source</t>
        </is>
      </c>
      <c r="Z30" s="353" t="inlineStr">
        <is>
          <t>https://www.calian.com/news-media/calian-reports-record-results-for-the-second-quarter/</t>
        </is>
      </c>
      <c r="AA30" s="353" t="inlineStr">
        <is>
          <t>None used</t>
        </is>
      </c>
      <c r="AB30" s="353" t="inlineStr">
        <is>
          <t>Retain; Calian reporting confirms completion in the second quarter on 9 May.</t>
        </is>
      </c>
    </row>
    <row r="31" ht="45" customHeight="1">
      <c r="A31" s="353" t="inlineStr">
        <is>
          <t>EUR-030</t>
        </is>
      </c>
      <c r="B31" s="353" t="inlineStr">
        <is>
          <t>Europe</t>
        </is>
      </c>
      <c r="C31" s="353" t="inlineStr">
        <is>
          <t>France</t>
        </is>
      </c>
      <c r="D31" s="353" t="inlineStr">
        <is>
          <t>AD Industries SAS</t>
        </is>
      </c>
      <c r="E31" s="353" t="inlineStr">
        <is>
          <t>Samvardhana Motherson International Ltd.</t>
        </is>
      </c>
      <c r="F31" s="353" t="inlineStr">
        <is>
          <t>India</t>
        </is>
      </c>
      <c r="G31" s="353" t="inlineStr">
        <is>
          <t>Not disclosed</t>
        </is>
      </c>
      <c r="H31" s="403" t="inlineStr">
        <is>
          <t>Not disclosed</t>
        </is>
      </c>
      <c r="I31" s="403" t="n">
        <v>45425</v>
      </c>
      <c r="J31" s="404">
        <f>IFERROR(YEAR(I31),IFERROR(VALUE(LEFT(I31,4)),""))</f>
        <v/>
      </c>
      <c r="K31" s="353" t="inlineStr">
        <is>
          <t>M&amp;A</t>
        </is>
      </c>
      <c r="L31" s="353" t="inlineStr">
        <is>
          <t>100% share acquisition</t>
        </is>
      </c>
      <c r="M31" s="353" t="inlineStr">
        <is>
          <t>100%</t>
        </is>
      </c>
      <c r="N31" s="353" t="inlineStr">
        <is>
          <t>Completed</t>
        </is>
      </c>
      <c r="O31" s="405" t="n">
        <v>30.3</v>
      </c>
      <c r="P31" s="353" t="inlineStr">
        <is>
          <t>EUR</t>
        </is>
      </c>
      <c r="Q31" s="406" t="inlineStr">
        <is>
          <t>Not disclosed</t>
        </is>
      </c>
      <c r="R31" s="353" t="inlineStr">
        <is>
          <t>Purchase consideration after adjustments, plus up to EUR6m contingent consideration.</t>
        </is>
      </c>
      <c r="S31" s="353" t="inlineStr">
        <is>
          <t>Hardware</t>
        </is>
      </c>
      <c r="T31" s="353" t="inlineStr">
        <is>
          <t>Aerospace Materials &amp; Components</t>
        </is>
      </c>
      <c r="U31" s="353" t="inlineStr">
        <is>
          <t>Core A&amp;D</t>
        </is>
      </c>
      <c r="V31" s="353" t="inlineStr">
        <is>
          <t>Motherson describes AD Industries as a group manufacturing components mainly for aero engines, with a smaller healthcare activity.</t>
        </is>
      </c>
      <c r="W31" s="353" t="inlineStr">
        <is>
          <t>Samvardhana Motherson International Ltd. completed its acquisition of AD Industries SAS on 2024-05-13. Ownership acquired: 100%. Purchase consideration after adjustments, plus up to EUR6m contingent consideration.</t>
        </is>
      </c>
      <c r="X31" s="353" t="inlineStr">
        <is>
          <t>Not independently verified</t>
        </is>
      </c>
      <c r="Y31" s="353" t="inlineStr">
        <is>
          <t>Verified — primary source</t>
        </is>
      </c>
      <c r="Z31" s="353" t="inlineStr">
        <is>
          <t>https://www.motherson.com/storage/Corporate%20Announcements/FY2024-25/Interim_condensed_consolidated_financial_statements.16.09.24.pdf</t>
        </is>
      </c>
      <c r="AA31" s="353" t="inlineStr">
        <is>
          <t>None used</t>
        </is>
      </c>
      <c r="AB31" s="353" t="inlineStr">
        <is>
          <t>Correct completion date to 13 May and consideration to EUR30.3m plus potential EUR6m, not EUR45m plus EUR10m.</t>
        </is>
      </c>
    </row>
    <row r="32" ht="45" customHeight="1">
      <c r="A32" s="353" t="inlineStr">
        <is>
          <t>EUR-031</t>
        </is>
      </c>
      <c r="B32" s="353" t="inlineStr">
        <is>
          <t>Europe</t>
        </is>
      </c>
      <c r="C32" s="353" t="inlineStr">
        <is>
          <t>Czech Republic</t>
        </is>
      </c>
      <c r="D32" s="353" t="inlineStr">
        <is>
          <t>Sellier &amp; Bellot a.s.</t>
        </is>
      </c>
      <c r="E32" s="353" t="inlineStr">
        <is>
          <t>Colt CZ Group SE</t>
        </is>
      </c>
      <c r="F32" s="353" t="inlineStr">
        <is>
          <t>Czech Republic</t>
        </is>
      </c>
      <c r="G32" s="353" t="inlineStr">
        <is>
          <t>CBC Europe S.à r.l.</t>
        </is>
      </c>
      <c r="H32" s="403" t="inlineStr">
        <is>
          <t>Not disclosed</t>
        </is>
      </c>
      <c r="I32" s="403" t="n">
        <v>45428</v>
      </c>
      <c r="J32" s="404">
        <f>IFERROR(YEAR(I32),IFERROR(VALUE(LEFT(I32,4)),""))</f>
        <v/>
      </c>
      <c r="K32" s="353" t="inlineStr">
        <is>
          <t>M&amp;A</t>
        </is>
      </c>
      <c r="L32" s="353" t="inlineStr">
        <is>
          <t>100% share acquisition / corporate divestiture</t>
        </is>
      </c>
      <c r="M32" s="353" t="inlineStr">
        <is>
          <t>100%</t>
        </is>
      </c>
      <c r="N32" s="353" t="inlineStr">
        <is>
          <t>Completed</t>
        </is>
      </c>
      <c r="O32" s="405" t="n">
        <v>703</v>
      </c>
      <c r="P32" s="353" t="inlineStr">
        <is>
          <t>USD</t>
        </is>
      </c>
      <c r="Q32" s="406" t="n">
        <v>703</v>
      </c>
      <c r="R32" s="353" t="inlineStr">
        <is>
          <t>Purchase price excluding net debt stated by Colt CZ.</t>
        </is>
      </c>
      <c r="S32" s="353" t="inlineStr">
        <is>
          <t>Hardware</t>
        </is>
      </c>
      <c r="T32" s="353" t="inlineStr">
        <is>
          <t>Ammunition &amp; Weapons</t>
        </is>
      </c>
      <c r="U32" s="353" t="inlineStr">
        <is>
          <t>Core A&amp;D</t>
        </is>
      </c>
      <c r="V32" s="353" t="inlineStr">
        <is>
          <t>Sellier &amp; Bellot is an ammunition manufacturer serving military, law-enforcement and commercial markets; ammunition is its primary business.</t>
        </is>
      </c>
      <c r="W32" s="353" t="inlineStr">
        <is>
          <t>Colt CZ Group SE completed its acquisition of Sellier &amp; Bellot a.s. from CBC Europe S.à r.l. on 2024-05-16. Ownership acquired: 100%. Purchase price excluding net debt stated by Colt CZ.</t>
        </is>
      </c>
      <c r="X32" s="353" t="inlineStr">
        <is>
          <t>Not independently verified</t>
        </is>
      </c>
      <c r="Y32" s="353" t="inlineStr">
        <is>
          <t>Verified — primary source</t>
        </is>
      </c>
      <c r="Z32" s="353" t="inlineStr">
        <is>
          <t>https://www.coltczgroup.com/en/media-press-releases/Colt-CZ-Group-SE-announces-closing-of-the-acquisition-of-Sellier-Bellot</t>
        </is>
      </c>
      <c r="AA32" s="353" t="inlineStr">
        <is>
          <t>None used</t>
        </is>
      </c>
      <c r="AB32" s="353" t="inlineStr">
        <is>
          <t>Retain as completed acquisition of 100% of the shares.</t>
        </is>
      </c>
    </row>
    <row r="33" ht="45" customHeight="1">
      <c r="A33" s="353" t="inlineStr">
        <is>
          <t>EUR-032</t>
        </is>
      </c>
      <c r="B33" s="353" t="inlineStr">
        <is>
          <t>Europe</t>
        </is>
      </c>
      <c r="C33" s="353" t="inlineStr">
        <is>
          <t>Sweden</t>
        </is>
      </c>
      <c r="D33" s="353" t="inlineStr">
        <is>
          <t>Airsafe Sweden AB</t>
        </is>
      </c>
      <c r="E33" s="353" t="inlineStr">
        <is>
          <t>Scandinavian Astor Group AB</t>
        </is>
      </c>
      <c r="F33" s="353" t="inlineStr">
        <is>
          <t>Sweden</t>
        </is>
      </c>
      <c r="G33" s="353" t="inlineStr">
        <is>
          <t>Not disclosed</t>
        </is>
      </c>
      <c r="H33" s="403" t="n">
        <v>45391</v>
      </c>
      <c r="I33" s="403" t="n">
        <v>45429</v>
      </c>
      <c r="J33" s="404">
        <f>IFERROR(YEAR(I33),IFERROR(VALUE(LEFT(I33,4)),""))</f>
        <v/>
      </c>
      <c r="K33" s="353" t="inlineStr">
        <is>
          <t>M&amp;A</t>
        </is>
      </c>
      <c r="L33" s="353" t="inlineStr">
        <is>
          <t>100% share acquisition</t>
        </is>
      </c>
      <c r="M33" s="353" t="inlineStr">
        <is>
          <t>100%</t>
        </is>
      </c>
      <c r="N33" s="353" t="inlineStr">
        <is>
          <t>Completed</t>
        </is>
      </c>
      <c r="O33" s="405" t="n">
        <v>25</v>
      </c>
      <c r="P33" s="353" t="inlineStr">
        <is>
          <t>SEK</t>
        </is>
      </c>
      <c r="Q33" s="406" t="inlineStr">
        <is>
          <t>Not disclosed</t>
        </is>
      </c>
      <c r="R33" s="353" t="inlineStr">
        <is>
          <t>SEK20m initial consideration plus SEK5m earn-out, subsequently fully triggered.</t>
        </is>
      </c>
      <c r="S33" s="353" t="inlineStr">
        <is>
          <t>Hardware / Services</t>
        </is>
      </c>
      <c r="T33" s="353" t="inlineStr">
        <is>
          <t>Aerospace Platforms &amp; Components</t>
        </is>
      </c>
      <c r="U33" s="353" t="inlineStr">
        <is>
          <t>Core A&amp;D</t>
        </is>
      </c>
      <c r="V33" s="353" t="inlineStr">
        <is>
          <t>Airsafe designs and manufactures military and civil aviation-safety equipment, parachute systems, ammunition parts and weapon-system components.</t>
        </is>
      </c>
      <c r="W33" s="353" t="inlineStr">
        <is>
          <t>Scandinavian Astor Group AB completed its acquisition of Airsafe Sweden AB on 2024-05-17. Ownership acquired: 100%. SEK20m initial consideration plus SEK5m earn-out, subsequently fully triggered.</t>
        </is>
      </c>
      <c r="X33" s="353" t="inlineStr">
        <is>
          <t>Not independently verified</t>
        </is>
      </c>
      <c r="Y33" s="353" t="inlineStr">
        <is>
          <t>Verified — primary source</t>
        </is>
      </c>
      <c r="Z33" s="353" t="inlineStr">
        <is>
          <t>https://mb.cision.com/Main/22055/3983661/2804807.pdf</t>
        </is>
      </c>
      <c r="AA33" s="353" t="inlineStr">
        <is>
          <t>https://news.cision.com/se/scandinavian-astor-group-ab/r/scandinavian-astor-group-redovisar-reviderade-siffror-for-dotterbolaget-airsafe-for-helaret-2024%2Cc4095805</t>
        </is>
      </c>
      <c r="AB33" s="353" t="inlineStr">
        <is>
          <t>Confirmed omitted completed acquisition.</t>
        </is>
      </c>
    </row>
    <row r="34" ht="45" customHeight="1">
      <c r="A34" s="353" t="inlineStr">
        <is>
          <t>EUR-033</t>
        </is>
      </c>
      <c r="B34" s="353" t="inlineStr">
        <is>
          <t>Europe</t>
        </is>
      </c>
      <c r="C34" s="353" t="inlineStr">
        <is>
          <t>France</t>
        </is>
      </c>
      <c r="D34" s="353" t="inlineStr">
        <is>
          <t>Steel Electronique SAS</t>
        </is>
      </c>
      <c r="E34" s="353" t="inlineStr">
        <is>
          <t>ACTIA Group / ACTIA Aerospace</t>
        </is>
      </c>
      <c r="F34" s="353" t="inlineStr">
        <is>
          <t>France</t>
        </is>
      </c>
      <c r="G34" s="353" t="inlineStr">
        <is>
          <t>Diadem Industries</t>
        </is>
      </c>
      <c r="H34" s="403" t="inlineStr">
        <is>
          <t>Not disclosed</t>
        </is>
      </c>
      <c r="I34" s="403" t="n">
        <v>45435</v>
      </c>
      <c r="J34" s="404">
        <f>IFERROR(YEAR(I34),IFERROR(VALUE(LEFT(I34,4)),""))</f>
        <v/>
      </c>
      <c r="K34" s="353" t="inlineStr">
        <is>
          <t>M&amp;A</t>
        </is>
      </c>
      <c r="L34" s="353" t="inlineStr">
        <is>
          <t>100% contribution/share-exchange into ACTIA Aerospace</t>
        </is>
      </c>
      <c r="M34" s="353" t="inlineStr">
        <is>
          <t>100% of Steel Electronique; seller received 15% of ACTIA Aerospace</t>
        </is>
      </c>
      <c r="N34" s="353" t="inlineStr">
        <is>
          <t>Completed</t>
        </is>
      </c>
      <c r="O34" s="405" t="n">
        <v>2.3</v>
      </c>
      <c r="P34" s="353" t="inlineStr">
        <is>
          <t>EUR</t>
        </is>
      </c>
      <c r="Q34" s="406" t="inlineStr">
        <is>
          <t>Not disclosed</t>
        </is>
      </c>
      <c r="R34" s="353" t="inlineStr">
        <is>
          <t>Cash component disclosed in ACTIA reporting; transaction also included a material share-exchange component.</t>
        </is>
      </c>
      <c r="S34" s="353" t="inlineStr">
        <is>
          <t>Hardware / Software</t>
        </is>
      </c>
      <c r="T34" s="353" t="inlineStr">
        <is>
          <t>Defence Electronics &amp; Sensors</t>
        </is>
      </c>
      <c r="U34" s="353" t="inlineStr">
        <is>
          <t>Core A&amp;D</t>
        </is>
      </c>
      <c r="V34" s="353" t="inlineStr">
        <is>
          <t>Steel Electronique designs and manufactures embedded electronics for space and aerospace customers.</t>
        </is>
      </c>
      <c r="W34" s="353" t="inlineStr">
        <is>
          <t>ACTIA Group / ACTIA Aerospace completed its acquisition of Steel Electronique SAS from Diadem Industries on 2024-05-23. Ownership acquired: 100% of Steel Electronique; seller received 15% of ACTIA Aerospace. Cash component disclosed in ACTIA reporting; transaction also included a material share-exchange component.</t>
        </is>
      </c>
      <c r="X34" s="353" t="inlineStr">
        <is>
          <t>Not independently verified</t>
        </is>
      </c>
      <c r="Y34" s="353" t="inlineStr">
        <is>
          <t>Verified — primary source</t>
        </is>
      </c>
      <c r="Z34" s="353" t="inlineStr">
        <is>
          <t>https://investors.actia.com/en/actia-group-completes-the-merger-with-steel-electronique-2/</t>
        </is>
      </c>
      <c r="AA34" s="353" t="inlineStr">
        <is>
          <t>https://investors.actia.com/wp-content/uploads/2025/04/ACTIA_Rapport_annuel_2024_VDEF.pdf</t>
        </is>
      </c>
      <c r="AB34" s="353" t="inlineStr">
        <is>
          <t>Replace simple divestiture description with a 100% contribution/share exchange; EUR5.7m is not a clean cash purchase price.</t>
        </is>
      </c>
    </row>
    <row r="35" ht="45" customHeight="1">
      <c r="A35" s="353" t="inlineStr">
        <is>
          <t>EUR-034</t>
        </is>
      </c>
      <c r="B35" s="353" t="inlineStr">
        <is>
          <t>Europe</t>
        </is>
      </c>
      <c r="C35" s="353" t="inlineStr">
        <is>
          <t>United Kingdom</t>
        </is>
      </c>
      <c r="D35" s="353" t="inlineStr">
        <is>
          <t>Interactive Technical Solutions Ltd</t>
        </is>
      </c>
      <c r="E35" s="353" t="inlineStr">
        <is>
          <t>Marlborough Communications Ltd / Cohort plc</t>
        </is>
      </c>
      <c r="F35" s="353" t="inlineStr">
        <is>
          <t>United Kingdom</t>
        </is>
      </c>
      <c r="G35" s="353" t="inlineStr">
        <is>
          <t>Cohort</t>
        </is>
      </c>
      <c r="H35" s="403" t="inlineStr">
        <is>
          <t>Not disclosed</t>
        </is>
      </c>
      <c r="I35" s="403" t="n">
        <v>45443</v>
      </c>
      <c r="J35" s="404">
        <f>IFERROR(YEAR(I35),IFERROR(VALUE(LEFT(I35,4)),""))</f>
        <v/>
      </c>
      <c r="K35" s="353" t="inlineStr">
        <is>
          <t>M&amp;A</t>
        </is>
      </c>
      <c r="L35" s="353" t="inlineStr">
        <is>
          <t>100% share acquisition</t>
        </is>
      </c>
      <c r="M35" s="353" t="inlineStr">
        <is>
          <t>100%</t>
        </is>
      </c>
      <c r="N35" s="353" t="inlineStr">
        <is>
          <t>Completed</t>
        </is>
      </c>
      <c r="O35" s="405" t="inlineStr">
        <is>
          <t>Not disclosed</t>
        </is>
      </c>
      <c r="P35" s="353" t="inlineStr">
        <is>
          <t>Not disclosed</t>
        </is>
      </c>
      <c r="Q35" s="406" t="inlineStr">
        <is>
          <t>Not disclosed</t>
        </is>
      </c>
      <c r="R35" s="353" t="inlineStr">
        <is>
          <t>No single transaction value was carried forward because the cited disclosure separates fixed and contingent consideration components.</t>
        </is>
      </c>
      <c r="S35" s="353" t="inlineStr">
        <is>
          <t>Services</t>
        </is>
      </c>
      <c r="T35" s="353" t="inlineStr">
        <is>
          <t>Defence Services &amp; Engineering</t>
        </is>
      </c>
      <c r="U35" s="353" t="inlineStr">
        <is>
          <t>Core A&amp;D</t>
        </is>
      </c>
      <c r="V35" s="353" t="inlineStr">
        <is>
          <t>ITS provides technical support, integration and services for military vehicles to the UK Ministry of Defence and defence primes.</t>
        </is>
      </c>
      <c r="W35" s="353" t="inlineStr">
        <is>
          <t>Marlborough Communications Ltd / Cohort plc completed its acquisition of Interactive Technical Solutions Ltd from Cohort on 2024-05-31. Ownership acquired: 100%. No single transaction value was carried forward because the cited disclosure separates fixed and contingent consideration components.</t>
        </is>
      </c>
      <c r="X35" s="353" t="inlineStr">
        <is>
          <t>Not independently verified</t>
        </is>
      </c>
      <c r="Y35" s="353" t="inlineStr">
        <is>
          <t>Verified — primary source</t>
        </is>
      </c>
      <c r="Z35" s="353" t="inlineStr">
        <is>
          <t>https://www.cohortplc.com/download_file/597/0</t>
        </is>
      </c>
      <c r="AA35" s="353" t="inlineStr">
        <is>
          <t>None used</t>
        </is>
      </c>
      <c r="AB35" s="353" t="inlineStr">
        <is>
          <t>Retain as a completed 100% acquisition of a defence-focused operating company.</t>
        </is>
      </c>
    </row>
    <row r="36" ht="45" customHeight="1">
      <c r="A36" s="353" t="inlineStr">
        <is>
          <t>EUR-035</t>
        </is>
      </c>
      <c r="B36" s="353" t="inlineStr">
        <is>
          <t>Europe</t>
        </is>
      </c>
      <c r="C36" s="353" t="inlineStr">
        <is>
          <t>France</t>
        </is>
      </c>
      <c r="D36" s="353" t="inlineStr">
        <is>
          <t>Exosens S.A.</t>
        </is>
      </c>
      <c r="E36" s="353" t="inlineStr">
        <is>
          <t>Public market investors</t>
        </is>
      </c>
      <c r="F36" s="353" t="inlineStr">
        <is>
          <t>N/A — IPO</t>
        </is>
      </c>
      <c r="G36" s="353" t="inlineStr">
        <is>
          <t>HLD and other selling shareholders</t>
        </is>
      </c>
      <c r="H36" s="403" t="inlineStr">
        <is>
          <t>Not disclosed</t>
        </is>
      </c>
      <c r="I36" s="403" t="n">
        <v>45450</v>
      </c>
      <c r="J36" s="404">
        <f>IFERROR(YEAR(I36),IFERROR(VALUE(LEFT(I36,4)),""))</f>
        <v/>
      </c>
      <c r="K36" s="353" t="inlineStr">
        <is>
          <t>IPO</t>
        </is>
      </c>
      <c r="L36" s="353" t="inlineStr">
        <is>
          <t>Euronext Paris IPO with full over-allotment exercise</t>
        </is>
      </c>
      <c r="M36" s="353" t="inlineStr">
        <is>
          <t>Not disclosed</t>
        </is>
      </c>
      <c r="N36" s="353" t="inlineStr">
        <is>
          <t>Completed</t>
        </is>
      </c>
      <c r="O36" s="405" t="n">
        <v>402.5</v>
      </c>
      <c r="P36" s="353" t="inlineStr">
        <is>
          <t>EUR</t>
        </is>
      </c>
      <c r="Q36" s="406" t="inlineStr">
        <is>
          <t>Not disclosed</t>
        </is>
      </c>
      <c r="R36" s="353" t="inlineStr">
        <is>
          <t>Total final placement including the full over-allotment option; new-share gross proceeds were EUR180m.</t>
        </is>
      </c>
      <c r="S36" s="353" t="inlineStr">
        <is>
          <t>Hardware</t>
        </is>
      </c>
      <c r="T36" s="353" t="inlineStr">
        <is>
          <t>Defence Electronics &amp; Sensors</t>
        </is>
      </c>
      <c r="U36" s="353" t="inlineStr">
        <is>
          <t>Core A&amp;D</t>
        </is>
      </c>
      <c r="V36" s="353" t="inlineStr">
        <is>
          <t>Exosens develops mission-critical amplification, detection and imaging devices, including night-vision technology for defence.</t>
        </is>
      </c>
      <c r="W36" s="353" t="inlineStr">
        <is>
          <t>Exosens S.A. completed its initial public offering and public-market admission on 2024-06-07. Total final placement including the full over-allotment option; new-share gross proceeds were EUR180m.</t>
        </is>
      </c>
      <c r="X36" s="353" t="inlineStr">
        <is>
          <t>Not independently verified</t>
        </is>
      </c>
      <c r="Y36" s="353" t="inlineStr">
        <is>
          <t>Verified — primary source</t>
        </is>
      </c>
      <c r="Z36" s="353" t="inlineStr">
        <is>
          <t>https://www.exosens.com/news/exosens-increases-size-offering-context-its-initial-public-offering</t>
        </is>
      </c>
      <c r="AA36" s="353" t="inlineStr">
        <is>
          <t>https://ipo.exosens.com/news/full-exercise-over-allotment-option-eu525-million</t>
        </is>
      </c>
      <c r="AB36" s="353" t="inlineStr">
        <is>
          <t>Correct IPO metrics: EUR402.5m final placement, 20,125,003 shares offered, 50,782,552 post-IPO shares and about EUR1.016bn market cap at the offer price.</t>
        </is>
      </c>
    </row>
    <row r="37" ht="45" customHeight="1">
      <c r="A37" s="353" t="inlineStr">
        <is>
          <t>EUR-036</t>
        </is>
      </c>
      <c r="B37" s="353" t="inlineStr">
        <is>
          <t>Europe</t>
        </is>
      </c>
      <c r="C37" s="353" t="inlineStr">
        <is>
          <t>France</t>
        </is>
      </c>
      <c r="D37" s="353" t="inlineStr">
        <is>
          <t>Arquus SAS</t>
        </is>
      </c>
      <c r="E37" s="353" t="inlineStr">
        <is>
          <t>John Cockerill</t>
        </is>
      </c>
      <c r="F37" s="353" t="inlineStr">
        <is>
          <t>Belgium</t>
        </is>
      </c>
      <c r="G37" s="353" t="inlineStr">
        <is>
          <t>Volvo Group</t>
        </is>
      </c>
      <c r="H37" s="403" t="inlineStr">
        <is>
          <t>Not disclosed</t>
        </is>
      </c>
      <c r="I37" s="403" t="n">
        <v>45475</v>
      </c>
      <c r="J37" s="404">
        <f>IFERROR(YEAR(I37),IFERROR(VALUE(LEFT(I37,4)),""))</f>
        <v/>
      </c>
      <c r="K37" s="353" t="inlineStr">
        <is>
          <t>M&amp;A</t>
        </is>
      </c>
      <c r="L37" s="353" t="inlineStr">
        <is>
          <t>100% operating-company divestiture</t>
        </is>
      </c>
      <c r="M37" s="353" t="inlineStr">
        <is>
          <t>100%</t>
        </is>
      </c>
      <c r="N37" s="353" t="inlineStr">
        <is>
          <t>Completed</t>
        </is>
      </c>
      <c r="O37" s="405" t="inlineStr">
        <is>
          <t>Not disclosed</t>
        </is>
      </c>
      <c r="P37" s="353" t="inlineStr">
        <is>
          <t>Not disclosed</t>
        </is>
      </c>
      <c r="Q37" s="406" t="inlineStr">
        <is>
          <t>Not disclosed</t>
        </is>
      </c>
      <c r="R37" s="353" t="inlineStr">
        <is>
          <t>Purchase price not publicly disclosed; the dataset's EUR300m figure is not supported by Volvo's closing release.</t>
        </is>
      </c>
      <c r="S37" s="353" t="inlineStr">
        <is>
          <t>Hardware / Services</t>
        </is>
      </c>
      <c r="T37" s="353" t="inlineStr">
        <is>
          <t>Land Systems &amp; Military Vehicles</t>
        </is>
      </c>
      <c r="U37" s="353" t="inlineStr">
        <is>
          <t>Core A&amp;D</t>
        </is>
      </c>
      <c r="V37" s="353" t="inlineStr">
        <is>
          <t>Arquus designs, manufactures and supports armoured and tactical military vehicles.</t>
        </is>
      </c>
      <c r="W37" s="353" t="inlineStr">
        <is>
          <t>John Cockerill completed its acquisition of Arquus SAS from Volvo Group on 2024-07-02. Ownership acquired: 100%. Purchase price not publicly disclosed; the dataset's EUR300m figure is not supported by Volvo's closing release.</t>
        </is>
      </c>
      <c r="X37" s="353" t="inlineStr">
        <is>
          <t>Not independently verified</t>
        </is>
      </c>
      <c r="Y37" s="353" t="inlineStr">
        <is>
          <t>Verified — primary source</t>
        </is>
      </c>
      <c r="Z37" s="353" t="inlineStr">
        <is>
          <t>https://www.volvogroup.com/en/news-and-media/news/2024/jul/volvo-group-completes-divestment-of-arquus.html</t>
        </is>
      </c>
      <c r="AA37" s="353" t="inlineStr">
        <is>
          <t>None used</t>
        </is>
      </c>
      <c r="AB37" s="353" t="inlineStr">
        <is>
          <t>Retain, but remove the unsupported EUR300m purchase-price claim.</t>
        </is>
      </c>
    </row>
    <row r="38" ht="45" customHeight="1">
      <c r="A38" s="353" t="inlineStr">
        <is>
          <t>EUR-037</t>
        </is>
      </c>
      <c r="B38" s="353" t="inlineStr">
        <is>
          <t>Europe</t>
        </is>
      </c>
      <c r="C38" s="353" t="inlineStr">
        <is>
          <t>United Kingdom</t>
        </is>
      </c>
      <c r="D38" s="353" t="inlineStr">
        <is>
          <t>Rockford Components Holdings Ltd</t>
        </is>
      </c>
      <c r="E38" s="353" t="inlineStr">
        <is>
          <t>AQ Group AB</t>
        </is>
      </c>
      <c r="F38" s="353" t="inlineStr">
        <is>
          <t>Sweden</t>
        </is>
      </c>
      <c r="G38" s="353" t="inlineStr">
        <is>
          <t>Not disclosed</t>
        </is>
      </c>
      <c r="H38" s="403" t="inlineStr">
        <is>
          <t>Not disclosed</t>
        </is>
      </c>
      <c r="I38" s="403" t="n">
        <v>45483</v>
      </c>
      <c r="J38" s="404">
        <f>IFERROR(YEAR(I38),IFERROR(VALUE(LEFT(I38,4)),""))</f>
        <v/>
      </c>
      <c r="K38" s="353" t="inlineStr">
        <is>
          <t>M&amp;A</t>
        </is>
      </c>
      <c r="L38" s="353" t="inlineStr">
        <is>
          <t>100% share acquisition</t>
        </is>
      </c>
      <c r="M38" s="353" t="inlineStr">
        <is>
          <t>100%</t>
        </is>
      </c>
      <c r="N38" s="353" t="inlineStr">
        <is>
          <t>Completed</t>
        </is>
      </c>
      <c r="O38" s="405" t="n">
        <v>18</v>
      </c>
      <c r="P38" s="353" t="inlineStr">
        <is>
          <t>SEK</t>
        </is>
      </c>
      <c r="Q38" s="406" t="inlineStr">
        <is>
          <t>Not disclosed</t>
        </is>
      </c>
      <c r="R38" s="353" t="inlineStr">
        <is>
          <t>Cash paid at closing. AQ's Q2 report states an earn-out cap of SEK14m; its later Q3 report states SEK16m, so only the SEK18m fixed amount is recorded.</t>
        </is>
      </c>
      <c r="S38" s="353" t="inlineStr">
        <is>
          <t>Hardware</t>
        </is>
      </c>
      <c r="T38" s="353" t="inlineStr">
        <is>
          <t>Aerospace Materials &amp; Components</t>
        </is>
      </c>
      <c r="U38" s="353" t="inlineStr">
        <is>
          <t>Core A&amp;D</t>
        </is>
      </c>
      <c r="V38" s="353" t="inlineStr">
        <is>
          <t>AQ reports that Rockford manufactures wiring and electromechanical systems primarily for aerospace and defence customers.</t>
        </is>
      </c>
      <c r="W38" s="353" t="inlineStr">
        <is>
          <t>AQ Group AB completed its acquisition of Rockford Components Holdings Ltd on 2024-07-10. Ownership acquired: 100%. Cash paid at closing. AQ's Q2 report states an earn-out cap of SEK14m; its later Q3 report states SEK16m, so only the SEK18m fixed amount is recorded.</t>
        </is>
      </c>
      <c r="X38" s="353" t="inlineStr">
        <is>
          <t>Not independently verified</t>
        </is>
      </c>
      <c r="Y38" s="353" t="inlineStr">
        <is>
          <t>Verified — primary source</t>
        </is>
      </c>
      <c r="Z38" s="353" t="inlineStr">
        <is>
          <t>https://www.aqgroup.com/download/4678-765F80FA4B1B365EBD697F2A8A0EEB1C/AQ-Group-Q2-2024.pdf</t>
        </is>
      </c>
      <c r="AA38" s="353" t="inlineStr">
        <is>
          <t>https://www.aqgroup.com/download/4739-857345EC0D5EBC131EE4501696DDEA24/AQ-Group-Delarsrapport-jan-sep-2024.pdf</t>
        </is>
      </c>
      <c r="AB38" s="353" t="inlineStr">
        <is>
          <t>Retain. Replace SEK34m estimate with SEK18m fixed cash and separately disclose the conflicting official earn-out caps.</t>
        </is>
      </c>
    </row>
    <row r="39" ht="45" customHeight="1">
      <c r="A39" s="353" t="inlineStr">
        <is>
          <t>EUR-038</t>
        </is>
      </c>
      <c r="B39" s="353" t="inlineStr">
        <is>
          <t>Europe</t>
        </is>
      </c>
      <c r="C39" s="353" t="inlineStr">
        <is>
          <t>Italy</t>
        </is>
      </c>
      <c r="D39" s="353" t="inlineStr">
        <is>
          <t>Civitanavi Systems S.p.A.</t>
        </is>
      </c>
      <c r="E39" s="353" t="inlineStr">
        <is>
          <t>Honeywell International Inc.</t>
        </is>
      </c>
      <c r="F39" s="353" t="inlineStr">
        <is>
          <t>United States</t>
        </is>
      </c>
      <c r="G39" s="353" t="inlineStr">
        <is>
          <t>Not disclosed</t>
        </is>
      </c>
      <c r="H39" s="403" t="n">
        <v>45378</v>
      </c>
      <c r="I39" s="403" t="n">
        <v>45523</v>
      </c>
      <c r="J39" s="404">
        <f>IFERROR(YEAR(I39),IFERROR(VALUE(LEFT(I39,4)),""))</f>
        <v/>
      </c>
      <c r="K39" s="353" t="inlineStr">
        <is>
          <t>M&amp;A</t>
        </is>
      </c>
      <c r="L39" s="353" t="inlineStr">
        <is>
          <t>Tender offer resulting in control</t>
        </is>
      </c>
      <c r="M39" s="353" t="inlineStr">
        <is>
          <t>Controlling stake; subsequent delisting</t>
        </is>
      </c>
      <c r="N39" s="353" t="inlineStr">
        <is>
          <t>Completed</t>
        </is>
      </c>
      <c r="O39" s="405" t="n">
        <v>200</v>
      </c>
      <c r="P39" s="353" t="inlineStr">
        <is>
          <t>EUR</t>
        </is>
      </c>
      <c r="Q39" s="406" t="inlineStr">
        <is>
          <t>Not disclosed</t>
        </is>
      </c>
      <c r="R39" s="353" t="inlineStr">
        <is>
          <t>Headline enterprise value announced by Honeywell.</t>
        </is>
      </c>
      <c r="S39" s="353" t="inlineStr">
        <is>
          <t>Hardware / Software</t>
        </is>
      </c>
      <c r="T39" s="353" t="inlineStr">
        <is>
          <t>Defence Electronics &amp; Sensors</t>
        </is>
      </c>
      <c r="U39" s="353" t="inlineStr">
        <is>
          <t>Core A&amp;D</t>
        </is>
      </c>
      <c r="V39" s="353" t="inlineStr">
        <is>
          <t>Civitanavi develops inertial navigation and stabilization systems for aerospace, defence and autonomous platforms.</t>
        </is>
      </c>
      <c r="W39" s="353" t="inlineStr">
        <is>
          <t>Honeywell International Inc. completed its acquisition of Civitanavi Systems S.p.A. on 2024-08-19. Ownership acquired: Controlling stake; subsequent delisting. Headline enterprise value announced by Honeywell.</t>
        </is>
      </c>
      <c r="X39" s="353" t="inlineStr">
        <is>
          <t>Not independently verified</t>
        </is>
      </c>
      <c r="Y39" s="353" t="inlineStr">
        <is>
          <t>Verified — primary source</t>
        </is>
      </c>
      <c r="Z39" s="353" t="inlineStr">
        <is>
          <t>https://investor.honeywell.com/static-files/98bf174f-edb5-4dfe-8f24-1455590edbcb</t>
        </is>
      </c>
      <c r="AA39" s="353" t="inlineStr">
        <is>
          <t>https://www.honeywell.com/us/en/news/press-releases/2024/03/honeywell-to-acquire-civitanavi-systems-to-strengthen-autonomous-operations-offerings-in-aerospace-and-expand-european-footprint</t>
        </is>
      </c>
      <c r="AB39" s="353" t="inlineStr">
        <is>
          <t>27 March was announcement; correct completion/control date is 19 August 2024.</t>
        </is>
      </c>
    </row>
    <row r="40" ht="45" customHeight="1">
      <c r="A40" s="353" t="inlineStr">
        <is>
          <t>EUR-039</t>
        </is>
      </c>
      <c r="B40" s="353" t="inlineStr">
        <is>
          <t>Europe</t>
        </is>
      </c>
      <c r="C40" s="353" t="inlineStr">
        <is>
          <t>France</t>
        </is>
      </c>
      <c r="D40" s="353" t="inlineStr">
        <is>
          <t>Preligens</t>
        </is>
      </c>
      <c r="E40" s="353" t="inlineStr">
        <is>
          <t>Safran S.A.</t>
        </is>
      </c>
      <c r="F40" s="353" t="inlineStr">
        <is>
          <t>France</t>
        </is>
      </c>
      <c r="G40" s="353" t="inlineStr">
        <is>
          <t>Preligens shareholders</t>
        </is>
      </c>
      <c r="H40" s="403" t="n">
        <v>45467</v>
      </c>
      <c r="I40" s="403" t="n">
        <v>45537</v>
      </c>
      <c r="J40" s="404">
        <f>IFERROR(YEAR(I40),IFERROR(VALUE(LEFT(I40,4)),""))</f>
        <v/>
      </c>
      <c r="K40" s="353" t="inlineStr">
        <is>
          <t>M&amp;A</t>
        </is>
      </c>
      <c r="L40" s="353" t="inlineStr">
        <is>
          <t>100% company acquisition</t>
        </is>
      </c>
      <c r="M40" s="353" t="inlineStr">
        <is>
          <t>100%</t>
        </is>
      </c>
      <c r="N40" s="353" t="inlineStr">
        <is>
          <t>Completed</t>
        </is>
      </c>
      <c r="O40" s="405" t="n">
        <v>220</v>
      </c>
      <c r="P40" s="353" t="inlineStr">
        <is>
          <t>EUR</t>
        </is>
      </c>
      <c r="Q40" s="406" t="inlineStr">
        <is>
          <t>Not disclosed</t>
        </is>
      </c>
      <c r="R40" s="353" t="inlineStr">
        <is>
          <t>Enterprise value stated by Safran.</t>
        </is>
      </c>
      <c r="S40" s="353" t="inlineStr">
        <is>
          <t>Software</t>
        </is>
      </c>
      <c r="T40" s="353" t="inlineStr">
        <is>
          <t>Cyber &amp; Digital Defence</t>
        </is>
      </c>
      <c r="U40" s="353" t="inlineStr">
        <is>
          <t>Core A&amp;D</t>
        </is>
      </c>
      <c r="V40" s="353" t="inlineStr">
        <is>
          <t>Preligens develops combat-proven AI for military object detection and analysis of satellite imagery, video and acoustic signals for aerospace, defence and government users.</t>
        </is>
      </c>
      <c r="W40" s="353" t="inlineStr">
        <is>
          <t>Safran S.A. completed its acquisition of Preligens from Preligens shareholders on 2024-09-02. Ownership acquired: 100%. Enterprise value stated by Safran.</t>
        </is>
      </c>
      <c r="X40" s="353" t="inlineStr">
        <is>
          <t>Not independently verified</t>
        </is>
      </c>
      <c r="Y40" s="353" t="inlineStr">
        <is>
          <t>Verified — primary source</t>
        </is>
      </c>
      <c r="Z40" s="353" t="inlineStr">
        <is>
          <t>https://www.safran-group.com/fr/download/press_release/file/2241770</t>
        </is>
      </c>
      <c r="AA40" s="353" t="inlineStr">
        <is>
          <t>None used</t>
        </is>
      </c>
      <c r="AB40" s="353" t="inlineStr">
        <is>
          <t>Confirmed omitted completed defence-AI acquisition.</t>
        </is>
      </c>
    </row>
    <row r="41" ht="45" customHeight="1">
      <c r="A41" s="353" t="inlineStr">
        <is>
          <t>EUR-040</t>
        </is>
      </c>
      <c r="B41" s="353" t="inlineStr">
        <is>
          <t>Europe</t>
        </is>
      </c>
      <c r="C41" s="353" t="inlineStr">
        <is>
          <t>Germany</t>
        </is>
      </c>
      <c r="D41" s="353" t="inlineStr">
        <is>
          <t>INFODAS GmbH</t>
        </is>
      </c>
      <c r="E41" s="353" t="inlineStr">
        <is>
          <t>Airbus Defence and Space</t>
        </is>
      </c>
      <c r="F41" s="353" t="inlineStr">
        <is>
          <t>Netherlands / Germany</t>
        </is>
      </c>
      <c r="G41" s="353" t="inlineStr">
        <is>
          <t>INFODAS shareholders</t>
        </is>
      </c>
      <c r="H41" s="403" t="n">
        <v>45376</v>
      </c>
      <c r="I41" s="403" t="n">
        <v>45540</v>
      </c>
      <c r="J41" s="404">
        <f>IFERROR(YEAR(I41),IFERROR(VALUE(LEFT(I41,4)),""))</f>
        <v/>
      </c>
      <c r="K41" s="353" t="inlineStr">
        <is>
          <t>M&amp;A</t>
        </is>
      </c>
      <c r="L41" s="353" t="inlineStr">
        <is>
          <t>Full company acquisition</t>
        </is>
      </c>
      <c r="M41" s="353" t="inlineStr">
        <is>
          <t>100%</t>
        </is>
      </c>
      <c r="N41" s="353" t="inlineStr">
        <is>
          <t>Completed</t>
        </is>
      </c>
      <c r="O41" s="405" t="inlineStr">
        <is>
          <t>Not disclosed</t>
        </is>
      </c>
      <c r="P41" s="353" t="inlineStr">
        <is>
          <t>Not disclosed</t>
        </is>
      </c>
      <c r="Q41" s="406" t="inlineStr">
        <is>
          <t>Not disclosed</t>
        </is>
      </c>
      <c r="R41" s="353" t="inlineStr">
        <is>
          <t>Consideration not publicly disclosed.</t>
        </is>
      </c>
      <c r="S41" s="353" t="inlineStr">
        <is>
          <t>Hardware / Software / Services</t>
        </is>
      </c>
      <c r="T41" s="353" t="inlineStr">
        <is>
          <t>Cyber &amp; Digital Defence</t>
        </is>
      </c>
      <c r="U41" s="353" t="inlineStr">
        <is>
          <t>Core A&amp;D</t>
        </is>
      </c>
      <c r="V41" s="353" t="inlineStr">
        <is>
          <t>INFODAS develops cross-domain solutions and cybersecurity products for defence, government and critical-infrastructure customers; Airbus identified the acquisition as strengthening its defence cybersecurity portfolio.</t>
        </is>
      </c>
      <c r="W41" s="353" t="inlineStr">
        <is>
          <t>Airbus Defence and Space completed its acquisition of INFODAS GmbH from INFODAS shareholders on 2024-09-05. Ownership acquired: 100%. Consideration not publicly disclosed.</t>
        </is>
      </c>
      <c r="X41" s="353" t="inlineStr">
        <is>
          <t>Not independently verified</t>
        </is>
      </c>
      <c r="Y41" s="353" t="inlineStr">
        <is>
          <t>Verified — primary source</t>
        </is>
      </c>
      <c r="Z41" s="353" t="inlineStr">
        <is>
          <t>https://www.cyber.airbus.com/en/newsroom/press-release/2024-09-airbus-completes-acquisition-of-infodas-strengthens-cybersecurity</t>
        </is>
      </c>
      <c r="AA41" s="353" t="inlineStr">
        <is>
          <t>None used</t>
        </is>
      </c>
      <c r="AB41" s="353" t="inlineStr">
        <is>
          <t>Confirmed omitted completed acquisition; Airbus announced finalization on 5 September 2024.</t>
        </is>
      </c>
    </row>
    <row r="42" ht="45" customHeight="1">
      <c r="A42" s="353" t="inlineStr">
        <is>
          <t>EUR-041</t>
        </is>
      </c>
      <c r="B42" s="353" t="inlineStr">
        <is>
          <t>Europe</t>
        </is>
      </c>
      <c r="C42" s="353" t="inlineStr">
        <is>
          <t>Italy</t>
        </is>
      </c>
      <c r="D42" s="353" t="inlineStr">
        <is>
          <t>GEM elettronica S.r.l.</t>
        </is>
      </c>
      <c r="E42" s="353" t="inlineStr">
        <is>
          <t>Leonardo S.p.A.</t>
        </is>
      </c>
      <c r="F42" s="353" t="inlineStr">
        <is>
          <t>Italy</t>
        </is>
      </c>
      <c r="G42" s="353" t="inlineStr">
        <is>
          <t>Not disclosed</t>
        </is>
      </c>
      <c r="H42" s="403" t="inlineStr">
        <is>
          <t>Not disclosed</t>
        </is>
      </c>
      <c r="I42" s="403" t="n">
        <v>45558</v>
      </c>
      <c r="J42" s="404">
        <f>IFERROR(YEAR(I42),IFERROR(VALUE(LEFT(I42,4)),""))</f>
        <v/>
      </c>
      <c r="K42" s="353" t="inlineStr">
        <is>
          <t>M&amp;A</t>
        </is>
      </c>
      <c r="L42" s="353" t="inlineStr">
        <is>
          <t>Incremental acquisition producing majority control</t>
        </is>
      </c>
      <c r="M42" s="353" t="inlineStr">
        <is>
          <t>35% incremental; post-transaction ownership 65%</t>
        </is>
      </c>
      <c r="N42" s="353" t="inlineStr">
        <is>
          <t>Completed</t>
        </is>
      </c>
      <c r="O42" s="405" t="n">
        <v>16</v>
      </c>
      <c r="P42" s="353" t="inlineStr">
        <is>
          <t>EUR</t>
        </is>
      </c>
      <c r="Q42" s="406" t="inlineStr">
        <is>
          <t>Not disclosed</t>
        </is>
      </c>
      <c r="R42" s="353" t="inlineStr">
        <is>
          <t>Consideration for the additional 35% stake stated by Leonardo.</t>
        </is>
      </c>
      <c r="S42" s="353" t="inlineStr">
        <is>
          <t>Hardware / Software</t>
        </is>
      </c>
      <c r="T42" s="353" t="inlineStr">
        <is>
          <t>Defence Electronics &amp; Sensors</t>
        </is>
      </c>
      <c r="U42" s="353" t="inlineStr">
        <is>
          <t>Core A&amp;D</t>
        </is>
      </c>
      <c r="V42" s="353" t="inlineStr">
        <is>
          <t>GEM develops naval and coastal surveillance radars, sensors and defence electronics.</t>
        </is>
      </c>
      <c r="W42" s="353" t="inlineStr">
        <is>
          <t>Leonardo S.p.A. completed its acquisition of GEM elettronica S.r.l. on 2024-09-23. Ownership acquired: 35% incremental; post-transaction ownership 65%. Consideration for the additional 35% stake stated by Leonardo.</t>
        </is>
      </c>
      <c r="X42" s="353" t="inlineStr">
        <is>
          <t>Not independently verified</t>
        </is>
      </c>
      <c r="Y42" s="353" t="inlineStr">
        <is>
          <t>Verified — primary source</t>
        </is>
      </c>
      <c r="Z42" s="353" t="inlineStr">
        <is>
          <t>https://www.leonardo.com/documents/15646808/29153006/ComLDO_Closing%2BGEM_ENG.pdf?t=1727108001697</t>
        </is>
      </c>
      <c r="AA42" s="353" t="inlineStr">
        <is>
          <t>None used</t>
        </is>
      </c>
      <c r="AB42" s="353" t="inlineStr">
        <is>
          <t>Correct structure from full acquisition to a 35% top-up that increased Leonardo's holding from 30% to 65% and conferred control.</t>
        </is>
      </c>
    </row>
    <row r="43" ht="45" customHeight="1">
      <c r="A43" s="353" t="inlineStr">
        <is>
          <t>EUR-042</t>
        </is>
      </c>
      <c r="B43" s="353" t="inlineStr">
        <is>
          <t>Europe</t>
        </is>
      </c>
      <c r="C43" s="353" t="inlineStr">
        <is>
          <t>Finland</t>
        </is>
      </c>
      <c r="D43" s="353" t="inlineStr">
        <is>
          <t>Nordic Drones Oy</t>
        </is>
      </c>
      <c r="E43" s="353" t="inlineStr">
        <is>
          <t>Patria Oyj</t>
        </is>
      </c>
      <c r="F43" s="353" t="inlineStr">
        <is>
          <t>Finland</t>
        </is>
      </c>
      <c r="G43" s="353" t="inlineStr">
        <is>
          <t>Not disclosed</t>
        </is>
      </c>
      <c r="H43" s="403" t="n">
        <v>45456</v>
      </c>
      <c r="I43" s="403" t="n">
        <v>45566</v>
      </c>
      <c r="J43" s="404">
        <f>IFERROR(YEAR(I43),IFERROR(VALUE(LEFT(I43,4)),""))</f>
        <v/>
      </c>
      <c r="K43" s="353" t="inlineStr">
        <is>
          <t>M&amp;A</t>
        </is>
      </c>
      <c r="L43" s="353" t="inlineStr">
        <is>
          <t>100% share acquisition</t>
        </is>
      </c>
      <c r="M43" s="353" t="inlineStr">
        <is>
          <t>100%</t>
        </is>
      </c>
      <c r="N43" s="353" t="inlineStr">
        <is>
          <t>Completed</t>
        </is>
      </c>
      <c r="O43" s="405" t="inlineStr">
        <is>
          <t>Not disclosed</t>
        </is>
      </c>
      <c r="P43" s="353" t="inlineStr">
        <is>
          <t>Not disclosed</t>
        </is>
      </c>
      <c r="Q43" s="406" t="inlineStr">
        <is>
          <t>Not disclosed</t>
        </is>
      </c>
      <c r="R43" s="353" t="inlineStr">
        <is>
          <t>Consideration not publicly disclosed.</t>
        </is>
      </c>
      <c r="S43" s="353" t="inlineStr">
        <is>
          <t>Hardware / Software / Services</t>
        </is>
      </c>
      <c r="T43" s="353" t="inlineStr">
        <is>
          <t>UAVs &amp; Autonomous Systems</t>
        </is>
      </c>
      <c r="U43" s="353" t="inlineStr">
        <is>
          <t>Core A&amp;D</t>
        </is>
      </c>
      <c r="V43" s="353" t="inlineStr">
        <is>
          <t>Nordic Drones develops and manufactures professional UAV systems for authority and defence uses; Patria acquired it to expand its unmanned-system defence offering.</t>
        </is>
      </c>
      <c r="W43" s="353" t="inlineStr">
        <is>
          <t>Patria Oyj completed its acquisition of Nordic Drones Oy on 2024-10-01. Ownership acquired: 100%. Consideration not publicly disclosed.</t>
        </is>
      </c>
      <c r="X43" s="353" t="inlineStr">
        <is>
          <t>Not independently verified</t>
        </is>
      </c>
      <c r="Y43" s="353" t="inlineStr">
        <is>
          <t>Verified — primary source</t>
        </is>
      </c>
      <c r="Z43" s="353" t="inlineStr">
        <is>
          <t>https://www.patriagroup.com/newsroom/news/2024/patria-received-authority-approval-for-the-nordic-drones-acquisition-and-transaction-of-open-source-data-collection-product-and-business-from</t>
        </is>
      </c>
      <c r="AA43" s="353" t="inlineStr">
        <is>
          <t>https://www.patriagroup.com/newsroom/news/2024/patria-acquires-a-leading-manufacturer-of-drone-systems-nordic-drones</t>
        </is>
      </c>
      <c r="AB43" s="353" t="inlineStr">
        <is>
          <t>Confirmed omitted completed acquisition of the entire share capital.</t>
        </is>
      </c>
    </row>
    <row r="44" ht="45" customHeight="1">
      <c r="A44" s="353" t="inlineStr">
        <is>
          <t>EUR-043</t>
        </is>
      </c>
      <c r="B44" s="353" t="inlineStr">
        <is>
          <t>Europe</t>
        </is>
      </c>
      <c r="C44" s="353" t="inlineStr">
        <is>
          <t>Sweden</t>
        </is>
      </c>
      <c r="D44" s="353" t="inlineStr">
        <is>
          <t>Scandiflash AB</t>
        </is>
      </c>
      <c r="E44" s="353" t="inlineStr">
        <is>
          <t>Scandinavian Astor Group AB</t>
        </is>
      </c>
      <c r="F44" s="353" t="inlineStr">
        <is>
          <t>Sweden</t>
        </is>
      </c>
      <c r="G44" s="353" t="inlineStr">
        <is>
          <t>Not disclosed</t>
        </is>
      </c>
      <c r="H44" s="403" t="n">
        <v>45531</v>
      </c>
      <c r="I44" s="403" t="n">
        <v>45566</v>
      </c>
      <c r="J44" s="404">
        <f>IFERROR(YEAR(I44),IFERROR(VALUE(LEFT(I44,4)),""))</f>
        <v/>
      </c>
      <c r="K44" s="353" t="inlineStr">
        <is>
          <t>M&amp;A</t>
        </is>
      </c>
      <c r="L44" s="353" t="inlineStr">
        <is>
          <t>100% share acquisition</t>
        </is>
      </c>
      <c r="M44" s="353" t="inlineStr">
        <is>
          <t>100%</t>
        </is>
      </c>
      <c r="N44" s="353" t="inlineStr">
        <is>
          <t>Completed</t>
        </is>
      </c>
      <c r="O44" s="405" t="n">
        <v>95</v>
      </c>
      <c r="P44" s="353" t="inlineStr">
        <is>
          <t>SEK</t>
        </is>
      </c>
      <c r="Q44" s="406" t="inlineStr">
        <is>
          <t>Not disclosed</t>
        </is>
      </c>
      <c r="R44" s="353" t="inlineStr">
        <is>
          <t>Total consideration stated by Astor Group; debt-free enterprise valuation was SEK88.9m.</t>
        </is>
      </c>
      <c r="S44" s="353" t="inlineStr">
        <is>
          <t>Hardware / Software</t>
        </is>
      </c>
      <c r="T44" s="353" t="inlineStr">
        <is>
          <t>Defence Electronics &amp; Sensors</t>
        </is>
      </c>
      <c r="U44" s="353" t="inlineStr">
        <is>
          <t>Core A&amp;D</t>
        </is>
      </c>
      <c r="V44" s="353" t="inlineStr">
        <is>
          <t>Scandiflash develops high-speed flash X-ray systems used to measure fast-moving objects, including defence and ballistic-test applications; the acquirer explicitly consolidated it into its defence group.</t>
        </is>
      </c>
      <c r="W44" s="353" t="inlineStr">
        <is>
          <t>Scandinavian Astor Group AB completed its acquisition of Scandiflash AB on 2024-10-01. Ownership acquired: 100%. Total consideration stated by Astor Group; debt-free enterprise valuation was SEK88.9m.</t>
        </is>
      </c>
      <c r="X44" s="353" t="inlineStr">
        <is>
          <t>Not independently verified</t>
        </is>
      </c>
      <c r="Y44" s="353" t="inlineStr">
        <is>
          <t>Verified — primary source</t>
        </is>
      </c>
      <c r="Z44" s="353" t="inlineStr">
        <is>
          <t>https://news.cision.com/se/scandinavian-astor-group-ab/r/scandinavian-astor-group-tilltrader-forvarvet-av-scandiflash-ab%2Cc4045350</t>
        </is>
      </c>
      <c r="AA44" s="353" t="inlineStr">
        <is>
          <t>https://news.cision.com/se/scandinavian-astor-group-ab/r/scandinavian-astor-group-ingar-avtal-om-forvarv-av-scandiflash-ab%2Cc4029376</t>
        </is>
      </c>
      <c r="AB44" s="353" t="inlineStr">
        <is>
          <t>Confirmed omitted completed defence-technology acquisition.</t>
        </is>
      </c>
    </row>
    <row r="45" ht="45" customHeight="1">
      <c r="A45" s="353" t="inlineStr">
        <is>
          <t>EUR-044</t>
        </is>
      </c>
      <c r="B45" s="353" t="inlineStr">
        <is>
          <t>Europe</t>
        </is>
      </c>
      <c r="C45" s="353" t="inlineStr">
        <is>
          <t>Austria</t>
        </is>
      </c>
      <c r="D45" s="353" t="inlineStr">
        <is>
          <t>Steyr Motors AG</t>
        </is>
      </c>
      <c r="E45" s="353" t="inlineStr">
        <is>
          <t>Public market investors</t>
        </is>
      </c>
      <c r="F45" s="353" t="inlineStr">
        <is>
          <t>N/A — IPO</t>
        </is>
      </c>
      <c r="G45" s="353" t="inlineStr">
        <is>
          <t>Mutares SE &amp; Co. KGaA</t>
        </is>
      </c>
      <c r="H45" s="403" t="inlineStr">
        <is>
          <t>Not disclosed</t>
        </is>
      </c>
      <c r="I45" s="403" t="n">
        <v>45595</v>
      </c>
      <c r="J45" s="404">
        <f>IFERROR(YEAR(I45),IFERROR(VALUE(LEFT(I45,4)),""))</f>
        <v/>
      </c>
      <c r="K45" s="353" t="inlineStr">
        <is>
          <t>IPO</t>
        </is>
      </c>
      <c r="L45" s="353" t="inlineStr">
        <is>
          <t>Private placement and Scale segment listing</t>
        </is>
      </c>
      <c r="M45" s="353" t="inlineStr">
        <is>
          <t>Not disclosed</t>
        </is>
      </c>
      <c r="N45" s="353" t="inlineStr">
        <is>
          <t>Completed</t>
        </is>
      </c>
      <c r="O45" s="405" t="n">
        <v>15.54</v>
      </c>
      <c r="P45" s="353" t="inlineStr">
        <is>
          <t>EUR</t>
        </is>
      </c>
      <c r="Q45" s="406" t="inlineStr">
        <is>
          <t>Not disclosed</t>
        </is>
      </c>
      <c r="R45" s="353" t="inlineStr">
        <is>
          <t>Placement volume: 1,110,000 shares; first-price market capitalisation was EUR82.68m.</t>
        </is>
      </c>
      <c r="S45" s="353" t="inlineStr">
        <is>
          <t>Hardware / Services</t>
        </is>
      </c>
      <c r="T45" s="353" t="inlineStr">
        <is>
          <t>Power, Propulsion &amp; Energy</t>
        </is>
      </c>
      <c r="U45" s="353" t="inlineStr">
        <is>
          <t>Core A&amp;D</t>
        </is>
      </c>
      <c r="V45" s="353" t="inlineStr">
        <is>
          <t>Steyr Motors manufactures high-performance engines with a material and primary focus on military vehicles, boats and auxiliary-power systems.</t>
        </is>
      </c>
      <c r="W45" s="353" t="inlineStr">
        <is>
          <t>Steyr Motors AG completed its initial public offering and public-market admission on 2024-10-30. Placement volume: 1,110,000 shares; first-price market capitalisation was EUR82.68m.</t>
        </is>
      </c>
      <c r="X45" s="353" t="inlineStr">
        <is>
          <t>Not independently verified</t>
        </is>
      </c>
      <c r="Y45" s="353" t="inlineStr">
        <is>
          <t>Verified — primary source</t>
        </is>
      </c>
      <c r="Z45" s="353" t="inlineStr">
        <is>
          <t>https://www.cashmarket.deutsche-boerse.com/cash-en/Data-Tech/statistics/New-Companies/Steyr-Motors-AG-4158938</t>
        </is>
      </c>
      <c r="AA45" s="353" t="inlineStr">
        <is>
          <t>None used</t>
        </is>
      </c>
      <c r="AB45" s="353" t="inlineStr">
        <is>
          <t>Label as private-placement/Scale listing; correct shares outstanding to 5,200,000 and first-price market cap to EUR82.68m.</t>
        </is>
      </c>
    </row>
    <row r="46" ht="45" customHeight="1">
      <c r="A46" s="353" t="inlineStr">
        <is>
          <t>EUR-045</t>
        </is>
      </c>
      <c r="B46" s="353" t="inlineStr">
        <is>
          <t>Europe</t>
        </is>
      </c>
      <c r="C46" s="353" t="inlineStr">
        <is>
          <t>Spain</t>
        </is>
      </c>
      <c r="D46" s="353" t="inlineStr">
        <is>
          <t>Elecnor Deimos / Deimos Space</t>
        </is>
      </c>
      <c r="E46" s="353" t="inlineStr">
        <is>
          <t>Indra Sistemas S.A.</t>
        </is>
      </c>
      <c r="F46" s="353" t="inlineStr">
        <is>
          <t>Spain</t>
        </is>
      </c>
      <c r="G46" s="353" t="inlineStr">
        <is>
          <t>Elecnor S.A.</t>
        </is>
      </c>
      <c r="H46" s="403" t="n">
        <v>45511</v>
      </c>
      <c r="I46" s="403" t="n">
        <v>45596</v>
      </c>
      <c r="J46" s="404">
        <f>IFERROR(YEAR(I46),IFERROR(VALUE(LEFT(I46,4)),""))</f>
        <v/>
      </c>
      <c r="K46" s="353" t="inlineStr">
        <is>
          <t>M&amp;A</t>
        </is>
      </c>
      <c r="L46" s="353" t="inlineStr">
        <is>
          <t>100% operating-company acquisition / corporate divestiture</t>
        </is>
      </c>
      <c r="M46" s="353" t="inlineStr">
        <is>
          <t>100%</t>
        </is>
      </c>
      <c r="N46" s="353" t="inlineStr">
        <is>
          <t>Completed</t>
        </is>
      </c>
      <c r="O46" s="405" t="n">
        <v>19</v>
      </c>
      <c r="P46" s="353" t="inlineStr">
        <is>
          <t>EUR</t>
        </is>
      </c>
      <c r="Q46" s="406" t="inlineStr">
        <is>
          <t>Not disclosed</t>
        </is>
      </c>
      <c r="R46" s="353" t="inlineStr">
        <is>
          <t>Consideration reported in Indra's 2024 financial reporting.</t>
        </is>
      </c>
      <c r="S46" s="353" t="inlineStr">
        <is>
          <t>Hardware / Software / Services</t>
        </is>
      </c>
      <c r="T46" s="353" t="inlineStr">
        <is>
          <t>Space &amp; Satellite Systems</t>
        </is>
      </c>
      <c r="U46" s="353" t="inlineStr">
        <is>
          <t>Core A&amp;D</t>
        </is>
      </c>
      <c r="V46" s="353" t="inlineStr">
        <is>
          <t>Deimos develops satellites, mission systems, flight dynamics, Earth-observation and space-domain technology.</t>
        </is>
      </c>
      <c r="W46" s="353" t="inlineStr">
        <is>
          <t>Indra Sistemas S.A. completed its acquisition of Elecnor Deimos / Deimos Space from Elecnor S.A. on 2024-10-31. Ownership acquired: 100%. Consideration reported in Indra's 2024 financial reporting.</t>
        </is>
      </c>
      <c r="X46" s="353" t="inlineStr">
        <is>
          <t>Not independently verified</t>
        </is>
      </c>
      <c r="Y46" s="353" t="inlineStr">
        <is>
          <t>Verified — primary source</t>
        </is>
      </c>
      <c r="Z46" s="353" t="inlineStr">
        <is>
          <t>https://www.indragroup.com/en/news/indra-completes-acquisition-deimos</t>
        </is>
      </c>
      <c r="AA46" s="353" t="inlineStr">
        <is>
          <t>https://www.indragroup.com/en/noticia/approving-constitution-space-newco-indra-strengthens-portfolio-acquiring-deimos</t>
        </is>
      </c>
      <c r="AB46" s="353" t="inlineStr">
        <is>
          <t>Replace Geosat Satélites with the actual acquired target, Elecnor Deimos/Deimos Space.</t>
        </is>
      </c>
    </row>
    <row r="47" ht="45" customHeight="1">
      <c r="A47" s="353" t="inlineStr">
        <is>
          <t>EUR-046</t>
        </is>
      </c>
      <c r="B47" s="353" t="inlineStr">
        <is>
          <t>Europe</t>
        </is>
      </c>
      <c r="C47" s="353" t="inlineStr">
        <is>
          <t>Germany</t>
        </is>
      </c>
      <c r="D47" s="353" t="inlineStr">
        <is>
          <t>Harder Digital group</t>
        </is>
      </c>
      <c r="E47" s="353" t="inlineStr">
        <is>
          <t>THEON International Plc</t>
        </is>
      </c>
      <c r="F47" s="353" t="inlineStr">
        <is>
          <t>Cyprus</t>
        </is>
      </c>
      <c r="G47" s="353" t="inlineStr">
        <is>
          <t>Not disclosed</t>
        </is>
      </c>
      <c r="H47" s="403" t="n">
        <v>45544</v>
      </c>
      <c r="I47" s="403" t="n">
        <v>45610</v>
      </c>
      <c r="J47" s="404">
        <f>IFERROR(YEAR(I47),IFERROR(VALUE(LEFT(I47,4)),""))</f>
        <v/>
      </c>
      <c r="K47" s="353" t="inlineStr">
        <is>
          <t>M&amp;A</t>
        </is>
      </c>
      <c r="L47" s="353" t="inlineStr">
        <is>
          <t>Majority/control share acquisition</t>
        </is>
      </c>
      <c r="M47" s="353" t="inlineStr">
        <is>
          <t>60%</t>
        </is>
      </c>
      <c r="N47" s="353" t="inlineStr">
        <is>
          <t>Completed</t>
        </is>
      </c>
      <c r="O47" s="405" t="n">
        <v>34</v>
      </c>
      <c r="P47" s="353" t="inlineStr">
        <is>
          <t>EUR</t>
        </is>
      </c>
      <c r="Q47" s="406" t="inlineStr">
        <is>
          <t>Not disclosed</t>
        </is>
      </c>
      <c r="R47" s="353" t="inlineStr">
        <is>
          <t>Cash injection disclosed by THEON for the 60% controlling stake.</t>
        </is>
      </c>
      <c r="S47" s="353" t="inlineStr">
        <is>
          <t>Hardware</t>
        </is>
      </c>
      <c r="T47" s="353" t="inlineStr">
        <is>
          <t>Defence Electronics &amp; Sensors</t>
        </is>
      </c>
      <c r="U47" s="353" t="inlineStr">
        <is>
          <t>Core A&amp;D</t>
        </is>
      </c>
      <c r="V47" s="353" t="inlineStr">
        <is>
          <t>Harder Digital manufactures image-intensifier tubes and related production equipment, a critical component of military night-vision systems.</t>
        </is>
      </c>
      <c r="W47" s="353" t="inlineStr">
        <is>
          <t>THEON International Plc completed its acquisition of Harder Digital group on 2024-11-14. Ownership acquired: 60%. Cash injection disclosed by THEON for the 60% controlling stake.</t>
        </is>
      </c>
      <c r="X47" s="353" t="inlineStr">
        <is>
          <t>Not independently verified</t>
        </is>
      </c>
      <c r="Y47" s="353" t="inlineStr">
        <is>
          <t>Verified — primary source</t>
        </is>
      </c>
      <c r="Z47" s="353" t="inlineStr">
        <is>
          <t>https://investors.theon.com/files/doc_financials/2024/ar/Theon_Annual-Report_FY-2024.pdf</t>
        </is>
      </c>
      <c r="AA47" s="353" t="inlineStr">
        <is>
          <t>https://investors.theon.com/news/news-details/2024/Theon-International-announces-the-acquisition-of-Harder-Digital/default.aspx</t>
        </is>
      </c>
      <c r="AB47" s="353" t="inlineStr">
        <is>
          <t>Confirmed omitted completed majority-control acquisition; announcement preceded legal completion on 14 November.</t>
        </is>
      </c>
    </row>
    <row r="48" ht="45" customHeight="1">
      <c r="A48" s="353" t="inlineStr">
        <is>
          <t>EUR-047</t>
        </is>
      </c>
      <c r="B48" s="353" t="inlineStr">
        <is>
          <t>Europe</t>
        </is>
      </c>
      <c r="C48" s="353" t="inlineStr">
        <is>
          <t>Spain</t>
        </is>
      </c>
      <c r="D48" s="353" t="inlineStr">
        <is>
          <t>Clue Technologies S.L.</t>
        </is>
      </c>
      <c r="E48" s="353" t="inlineStr">
        <is>
          <t>Indra Sistemas S.A.</t>
        </is>
      </c>
      <c r="F48" s="353" t="inlineStr">
        <is>
          <t>Spain</t>
        </is>
      </c>
      <c r="G48" s="353" t="inlineStr">
        <is>
          <t>Not disclosed</t>
        </is>
      </c>
      <c r="H48" s="403" t="inlineStr">
        <is>
          <t>Not disclosed</t>
        </is>
      </c>
      <c r="I48" s="403" t="n">
        <v>45625</v>
      </c>
      <c r="J48" s="404">
        <f>IFERROR(YEAR(I48),IFERROR(VALUE(LEFT(I48,4)),""))</f>
        <v/>
      </c>
      <c r="K48" s="353" t="inlineStr">
        <is>
          <t>M&amp;A</t>
        </is>
      </c>
      <c r="L48" s="353" t="inlineStr">
        <is>
          <t>100% share acquisition</t>
        </is>
      </c>
      <c r="M48" s="353" t="inlineStr">
        <is>
          <t>100%</t>
        </is>
      </c>
      <c r="N48" s="353" t="inlineStr">
        <is>
          <t>Completed</t>
        </is>
      </c>
      <c r="O48" s="405" t="n">
        <v>39.777</v>
      </c>
      <c r="P48" s="353" t="inlineStr">
        <is>
          <t>EUR</t>
        </is>
      </c>
      <c r="Q48" s="406" t="inlineStr">
        <is>
          <t>Not disclosed</t>
        </is>
      </c>
      <c r="R48" s="353" t="inlineStr">
        <is>
          <t>EUR13.777m upfront, EUR1m escrow and EUR25m discounted probable earn-out liability; aggregate estimated consideration, not all upfront cash.</t>
        </is>
      </c>
      <c r="S48" s="353" t="inlineStr">
        <is>
          <t>Hardware / Software</t>
        </is>
      </c>
      <c r="T48" s="353" t="inlineStr">
        <is>
          <t>Defence Electronics &amp; Sensors</t>
        </is>
      </c>
      <c r="U48" s="353" t="inlineStr">
        <is>
          <t>Core A&amp;D</t>
        </is>
      </c>
      <c r="V48" s="353" t="inlineStr">
        <is>
          <t>Clue develops avionics, embedded electronics and aerospace systems for aircraft and defence applications.</t>
        </is>
      </c>
      <c r="W48" s="353" t="inlineStr">
        <is>
          <t>Indra Sistemas S.A. completed its acquisition of Clue Technologies S.L. on 2024-11-29. Ownership acquired: 100%. EUR13.777m upfront, EUR1m escrow and EUR25m discounted probable earn-out liability; aggregate estimated consideration, not all upfront cash.</t>
        </is>
      </c>
      <c r="X48" s="353" t="inlineStr">
        <is>
          <t>Not independently verified</t>
        </is>
      </c>
      <c r="Y48" s="353" t="inlineStr">
        <is>
          <t>Verified — primary source</t>
        </is>
      </c>
      <c r="Z48" s="353" t="inlineStr">
        <is>
          <t>https://www.indragroup.com/sites/default/files/memoria_grupo_indra_eng.pdf</t>
        </is>
      </c>
      <c r="AA48" s="353" t="inlineStr">
        <is>
          <t>None used</t>
        </is>
      </c>
      <c r="AB48" s="353" t="inlineStr">
        <is>
          <t>Retain; relabel approximately EUR40m as aggregate estimated consideration including contingent liability.</t>
        </is>
      </c>
    </row>
    <row r="49" ht="45" customHeight="1">
      <c r="A49" s="353" t="inlineStr">
        <is>
          <t>EUR-048</t>
        </is>
      </c>
      <c r="B49" s="353" t="inlineStr">
        <is>
          <t>Europe</t>
        </is>
      </c>
      <c r="C49" s="353" t="inlineStr">
        <is>
          <t>France</t>
        </is>
      </c>
      <c r="D49" s="353" t="inlineStr">
        <is>
          <t>Odyssée Technologies Group S.A.</t>
        </is>
      </c>
      <c r="E49" s="353" t="inlineStr">
        <is>
          <t>Public market investors</t>
        </is>
      </c>
      <c r="F49" s="353" t="inlineStr">
        <is>
          <t>N/A — IPO</t>
        </is>
      </c>
      <c r="G49" s="353" t="inlineStr">
        <is>
          <t>N/A — IPO</t>
        </is>
      </c>
      <c r="H49" s="403" t="inlineStr">
        <is>
          <t>Not disclosed</t>
        </is>
      </c>
      <c r="I49" s="403" t="n">
        <v>45639</v>
      </c>
      <c r="J49" s="404">
        <f>IFERROR(YEAR(I49),IFERROR(VALUE(LEFT(I49,4)),""))</f>
        <v/>
      </c>
      <c r="K49" s="353" t="inlineStr">
        <is>
          <t>IPO</t>
        </is>
      </c>
      <c r="L49" s="353" t="inlineStr">
        <is>
          <t>Euronext Growth Paris IPO/listing</t>
        </is>
      </c>
      <c r="M49" s="353" t="inlineStr">
        <is>
          <t>Not disclosed</t>
        </is>
      </c>
      <c r="N49" s="353" t="inlineStr">
        <is>
          <t>Completed</t>
        </is>
      </c>
      <c r="O49" s="405" t="n">
        <v>8</v>
      </c>
      <c r="P49" s="353" t="inlineStr">
        <is>
          <t>EUR</t>
        </is>
      </c>
      <c r="Q49" s="406" t="inlineStr">
        <is>
          <t>Not disclosed</t>
        </is>
      </c>
      <c r="R49" s="353" t="inlineStr">
        <is>
          <t>Gross capital raised; post-offering share count was 1,615,384 and market capitalisation EUR21m.</t>
        </is>
      </c>
      <c r="S49" s="353" t="inlineStr">
        <is>
          <t>Hardware</t>
        </is>
      </c>
      <c r="T49" s="353" t="inlineStr">
        <is>
          <t>Aerospace Materials &amp; Components</t>
        </is>
      </c>
      <c r="U49" s="353" t="inlineStr">
        <is>
          <t>Core A&amp;D</t>
        </is>
      </c>
      <c r="V49" s="353" t="inlineStr">
        <is>
          <t>Odyssée is a precision-engineering group positioned as a strategic supplier to aerospace, defence and space customers, with energy as an additional end market.</t>
        </is>
      </c>
      <c r="W49" s="353" t="inlineStr">
        <is>
          <t>Odyssée Technologies Group S.A. completed its initial public offering and public-market admission on 2024-12-13. Gross capital raised; post-offering share count was 1,615,384 and market capitalisation EUR21m.</t>
        </is>
      </c>
      <c r="X49" s="353" t="inlineStr">
        <is>
          <t>Not independently verified</t>
        </is>
      </c>
      <c r="Y49" s="353" t="inlineStr">
        <is>
          <t>Verified — primary source</t>
        </is>
      </c>
      <c r="Z49" s="353" t="inlineStr">
        <is>
          <t>https://www.euronext.com/en/about/media/euronext-press-releases/odyssee-technologies-lists-euronext-growth</t>
        </is>
      </c>
      <c r="AA49" s="353" t="inlineStr">
        <is>
          <t>None used</t>
        </is>
      </c>
      <c r="AB49" s="353" t="inlineStr">
        <is>
          <t>Retain; fill the missing post-offering outstanding-share count with 1,615,384.</t>
        </is>
      </c>
    </row>
    <row r="50" ht="45" customHeight="1">
      <c r="A50" s="353" t="inlineStr">
        <is>
          <t>EUR-049</t>
        </is>
      </c>
      <c r="B50" s="353" t="inlineStr">
        <is>
          <t>Europe</t>
        </is>
      </c>
      <c r="C50" s="353" t="inlineStr">
        <is>
          <t>Italy</t>
        </is>
      </c>
      <c r="D50" s="353" t="inlineStr">
        <is>
          <t>WASS Submarine Systems business</t>
        </is>
      </c>
      <c r="E50" s="353" t="inlineStr">
        <is>
          <t>Fincantieri S.p.A.</t>
        </is>
      </c>
      <c r="F50" s="353" t="inlineStr">
        <is>
          <t>Italy</t>
        </is>
      </c>
      <c r="G50" s="353" t="inlineStr">
        <is>
          <t>Leonardo S.p.A.</t>
        </is>
      </c>
      <c r="H50" s="403" t="n">
        <v>45671</v>
      </c>
      <c r="I50" s="403" t="n">
        <v>45671</v>
      </c>
      <c r="J50" s="404">
        <f>IFERROR(YEAR(I50),IFERROR(VALUE(LEFT(I50,4)),""))</f>
        <v/>
      </c>
      <c r="K50" s="353" t="inlineStr">
        <is>
          <t>M&amp;A</t>
        </is>
      </c>
      <c r="L50" s="353" t="inlineStr">
        <is>
          <t>Corporate carve-out acquisition</t>
        </is>
      </c>
      <c r="M50" s="353" t="inlineStr">
        <is>
          <t>100% of underwater armament systems operating business</t>
        </is>
      </c>
      <c r="N50" s="353" t="inlineStr">
        <is>
          <t>Completed</t>
        </is>
      </c>
      <c r="O50" s="405" t="n">
        <v>287</v>
      </c>
      <c r="P50" s="353" t="inlineStr">
        <is>
          <t>EUR</t>
        </is>
      </c>
      <c r="Q50" s="406" t="inlineStr">
        <is>
          <t>Not disclosed</t>
        </is>
      </c>
      <c r="R50" s="353" t="inlineStr">
        <is>
          <t>Fixed consideration paid; enterprise value up to EUR415m including variable components</t>
        </is>
      </c>
      <c r="S50" s="353" t="inlineStr">
        <is>
          <t>Hardware / Software</t>
        </is>
      </c>
      <c r="T50" s="353" t="inlineStr">
        <is>
          <t>Naval &amp; Underwater Systems</t>
        </is>
      </c>
      <c r="U50" s="353" t="inlineStr">
        <is>
          <t>Core A&amp;D</t>
        </is>
      </c>
      <c r="V50" s="353" t="inlineStr">
        <is>
          <t>Core underwater-defence business producing torpedoes, sonar and integrated submarine systems.</t>
        </is>
      </c>
      <c r="W50" s="353" t="inlineStr">
        <is>
          <t>Fincantieri S.p.A. completed its acquisition of WASS Submarine Systems business from Leonardo S.p.A. on 2025-01-14. Ownership acquired: 100% of underwater armament systems operating business. Fixed consideration paid; enterprise value up to EUR415m including variable components</t>
        </is>
      </c>
      <c r="X50" s="353" t="inlineStr">
        <is>
          <t>Not independently verified</t>
        </is>
      </c>
      <c r="Y50" s="353" t="inlineStr">
        <is>
          <t>Verified — primary source</t>
        </is>
      </c>
      <c r="Z50" s="353" t="inlineStr">
        <is>
          <t>https://www.fincantieri.com/en/newsroom/news-e-comunicati-stampa/2025/fincantieri-completes-the-acquisition-of-leonardos-uas-underwater-business</t>
        </is>
      </c>
      <c r="AA50" s="353" t="inlineStr">
        <is>
          <t>None used</t>
        </is>
      </c>
      <c r="AB50" s="353" t="inlineStr">
        <is>
          <t>Confirmed omission from the original Europe 2025 section.</t>
        </is>
      </c>
    </row>
    <row r="51" ht="45" customHeight="1">
      <c r="A51" s="353" t="inlineStr">
        <is>
          <t>EUR-050</t>
        </is>
      </c>
      <c r="B51" s="353" t="inlineStr">
        <is>
          <t>Europe</t>
        </is>
      </c>
      <c r="C51" s="353" t="inlineStr">
        <is>
          <t>Luxembourg</t>
        </is>
      </c>
      <c r="D51" s="353" t="inlineStr">
        <is>
          <t>Excelitas aerospace and defence electronics businesses, including Qioptiq</t>
        </is>
      </c>
      <c r="E51" s="353" t="inlineStr">
        <is>
          <t>Teledyne Technologies</t>
        </is>
      </c>
      <c r="F51" s="353" t="inlineStr">
        <is>
          <t>United States</t>
        </is>
      </c>
      <c r="G51" s="353" t="inlineStr">
        <is>
          <t>Excelitas Technologies</t>
        </is>
      </c>
      <c r="H51" s="403" t="inlineStr">
        <is>
          <t>Not disclosed</t>
        </is>
      </c>
      <c r="I51" s="403" t="n">
        <v>45691</v>
      </c>
      <c r="J51" s="404">
        <f>IFERROR(YEAR(I51),IFERROR(VALUE(LEFT(I51,4)),""))</f>
        <v/>
      </c>
      <c r="K51" s="353" t="inlineStr">
        <is>
          <t>M&amp;A</t>
        </is>
      </c>
      <c r="L51" s="353" t="inlineStr">
        <is>
          <t>Corporate carve-out acquisition</t>
        </is>
      </c>
      <c r="M51" s="353" t="inlineStr">
        <is>
          <t>Selected operating businesses acquired</t>
        </is>
      </c>
      <c r="N51" s="353" t="inlineStr">
        <is>
          <t>Completed</t>
        </is>
      </c>
      <c r="O51" s="405" t="n">
        <v>710</v>
      </c>
      <c r="P51" s="353" t="inlineStr">
        <is>
          <t>USD</t>
        </is>
      </c>
      <c r="Q51" s="406" t="n">
        <v>710</v>
      </c>
      <c r="R51" s="353" t="inlineStr">
        <is>
          <t>Approximate cash purchase price announced by buyer</t>
        </is>
      </c>
      <c r="S51" s="353" t="inlineStr">
        <is>
          <t>Hardware</t>
        </is>
      </c>
      <c r="T51" s="353" t="inlineStr">
        <is>
          <t>Defence Electronics &amp; Sensors</t>
        </is>
      </c>
      <c r="U51" s="353" t="inlineStr">
        <is>
          <t>Core A&amp;D</t>
        </is>
      </c>
      <c r="V51" s="353" t="inlineStr">
        <is>
          <t>The acquired businesses manufacture high-performance electronics and optics specifically for aerospace and defence applications.</t>
        </is>
      </c>
      <c r="W51" s="353" t="inlineStr">
        <is>
          <t>Teledyne Technologies completed its acquisition of Excelitas aerospace and defence electronics businesses, including Qioptiq from Excelitas Technologies on 2025-02-03. Ownership acquired: Selected operating businesses acquired. Approximate cash purchase price announced by buyer</t>
        </is>
      </c>
      <c r="X51" s="353" t="inlineStr">
        <is>
          <t>Not independently verified</t>
        </is>
      </c>
      <c r="Y51" s="353" t="inlineStr">
        <is>
          <t>Verified — primary source</t>
        </is>
      </c>
      <c r="Z51" s="353" t="inlineStr">
        <is>
          <t>https://www.teledyne.com/en-us/news/Pages/teledyne-completes-acquisition-of-select-aerospace-and-defense-electronics-businesses-of-excelitas.aspx</t>
        </is>
      </c>
      <c r="AA51" s="353" t="inlineStr">
        <is>
          <t>None used</t>
        </is>
      </c>
      <c r="AB51" s="353" t="inlineStr">
        <is>
          <t>Use the carve-out perimeter rather than implying acquisition of the entire Qioptiq group; normalize value to buyer's approximately $710m.</t>
        </is>
      </c>
    </row>
    <row r="52" ht="45" customHeight="1">
      <c r="A52" s="353" t="inlineStr">
        <is>
          <t>EUR-051</t>
        </is>
      </c>
      <c r="B52" s="353" t="inlineStr">
        <is>
          <t>Europe</t>
        </is>
      </c>
      <c r="C52" s="353" t="inlineStr">
        <is>
          <t>United Kingdom</t>
        </is>
      </c>
      <c r="D52" s="353" t="inlineStr">
        <is>
          <t>RC Fornax plc</t>
        </is>
      </c>
      <c r="E52" s="353" t="inlineStr">
        <is>
          <t>Public market investors</t>
        </is>
      </c>
      <c r="F52" s="353" t="inlineStr">
        <is>
          <t>N/A — IPO</t>
        </is>
      </c>
      <c r="G52" s="353" t="inlineStr">
        <is>
          <t>N/A — IPO</t>
        </is>
      </c>
      <c r="H52" s="403" t="n">
        <v>45693</v>
      </c>
      <c r="I52" s="403" t="n">
        <v>45693</v>
      </c>
      <c r="J52" s="404">
        <f>IFERROR(YEAR(I52),IFERROR(VALUE(LEFT(I52,4)),""))</f>
        <v/>
      </c>
      <c r="K52" s="353" t="inlineStr">
        <is>
          <t>IPO</t>
        </is>
      </c>
      <c r="L52" s="353" t="inlineStr">
        <is>
          <t>AIM admission and primary/secondary share offering</t>
        </is>
      </c>
      <c r="M52" s="353" t="inlineStr">
        <is>
          <t>Public listing; 18,924,610 shares offered</t>
        </is>
      </c>
      <c r="N52" s="353" t="inlineStr">
        <is>
          <t>Completed</t>
        </is>
      </c>
      <c r="O52" s="405" t="n">
        <v>6.15</v>
      </c>
      <c r="P52" s="353" t="inlineStr">
        <is>
          <t>GBP</t>
        </is>
      </c>
      <c r="Q52" s="406" t="inlineStr">
        <is>
          <t>Not disclosed</t>
        </is>
      </c>
      <c r="R52" s="353" t="inlineStr">
        <is>
          <t>Gross total fundraising, including GBP5.15m primary and GBP1.0m secondary proceeds</t>
        </is>
      </c>
      <c r="S52" s="353" t="inlineStr">
        <is>
          <t>Services</t>
        </is>
      </c>
      <c r="T52" s="353" t="inlineStr">
        <is>
          <t>Defence Services &amp; Engineering</t>
        </is>
      </c>
      <c r="U52" s="353" t="inlineStr">
        <is>
          <t>Core A&amp;D</t>
        </is>
      </c>
      <c r="V52" s="353" t="inlineStr">
        <is>
          <t>Defence engineering and project-delivery consultancy focused on UK defence programmes.</t>
        </is>
      </c>
      <c r="W52" s="353" t="inlineStr">
        <is>
          <t>RC Fornax plc completed its initial public offering and public-market admission on 2025-02-05. Gross total fundraising, including GBP5.15m primary and GBP1.0m secondary proceeds</t>
        </is>
      </c>
      <c r="X52" s="353" t="inlineStr">
        <is>
          <t>Not independently verified</t>
        </is>
      </c>
      <c r="Y52" s="353" t="inlineStr">
        <is>
          <t>Verified — primary source</t>
        </is>
      </c>
      <c r="Z52" s="353" t="inlineStr">
        <is>
          <t>https://www.londonstockexchange.com/discover/news-and-insights/london-stock-exchange-welcomes-rc-fornax-aim</t>
        </is>
      </c>
      <c r="AA52" s="353" t="inlineStr">
        <is>
          <t>https://www.investegate.co.uk/announcement/rns/rc-fornax-plc--rcfx/first-day-of-dealings-on-aim/8721913</t>
        </is>
      </c>
      <c r="AB52" s="353" t="inlineStr">
        <is>
          <t>Retain; source-native GBP value is preferable to an undocumented USD conversion.</t>
        </is>
      </c>
    </row>
    <row r="53" ht="45" customHeight="1">
      <c r="A53" s="353" t="inlineStr">
        <is>
          <t>EUR-052</t>
        </is>
      </c>
      <c r="B53" s="353" t="inlineStr">
        <is>
          <t>Europe</t>
        </is>
      </c>
      <c r="C53" s="353" t="inlineStr">
        <is>
          <t>Germany</t>
        </is>
      </c>
      <c r="D53" s="353" t="inlineStr">
        <is>
          <t>GMT Aerospace GmbH</t>
        </is>
      </c>
      <c r="E53" s="353" t="inlineStr">
        <is>
          <t>TriMas Corporation</t>
        </is>
      </c>
      <c r="F53" s="353" t="inlineStr">
        <is>
          <t>United States</t>
        </is>
      </c>
      <c r="G53" s="353" t="inlineStr">
        <is>
          <t>Not disclosed</t>
        </is>
      </c>
      <c r="H53" s="403" t="n">
        <v>45705</v>
      </c>
      <c r="I53" s="403" t="n">
        <v>45705</v>
      </c>
      <c r="J53" s="404">
        <f>IFERROR(YEAR(I53),IFERROR(VALUE(LEFT(I53,4)),""))</f>
        <v/>
      </c>
      <c r="K53" s="353" t="inlineStr">
        <is>
          <t>M&amp;A</t>
        </is>
      </c>
      <c r="L53" s="353" t="inlineStr">
        <is>
          <t>Full acquisition</t>
        </is>
      </c>
      <c r="M53" s="353" t="inlineStr">
        <is>
          <t>100%</t>
        </is>
      </c>
      <c r="N53" s="353" t="inlineStr">
        <is>
          <t>Completed</t>
        </is>
      </c>
      <c r="O53" s="405" t="inlineStr">
        <is>
          <t>Not disclosed</t>
        </is>
      </c>
      <c r="P53" s="353" t="inlineStr">
        <is>
          <t>Not disclosed</t>
        </is>
      </c>
      <c r="Q53" s="406" t="inlineStr">
        <is>
          <t>Not disclosed</t>
        </is>
      </c>
      <c r="R53" s="353" t="inlineStr">
        <is>
          <t>Not publicly disclosed</t>
        </is>
      </c>
      <c r="S53" s="353" t="inlineStr">
        <is>
          <t>Hardware</t>
        </is>
      </c>
      <c r="T53" s="353" t="inlineStr">
        <is>
          <t>Aerospace Materials &amp; Components</t>
        </is>
      </c>
      <c r="U53" s="353" t="inlineStr">
        <is>
          <t>Core A&amp;D</t>
        </is>
      </c>
      <c r="V53" s="353" t="inlineStr">
        <is>
          <t>GMT manufactures tie rods and vibration-control systems specifically for commercial and military aerospace platforms.</t>
        </is>
      </c>
      <c r="W53" s="353" t="inlineStr">
        <is>
          <t>TriMas Corporation completed its acquisition of GMT Aerospace GmbH on 2025-02-17. Ownership acquired: 100%. Not publicly disclosed</t>
        </is>
      </c>
      <c r="X53" s="353" t="inlineStr">
        <is>
          <t>Not independently verified</t>
        </is>
      </c>
      <c r="Y53" s="353" t="inlineStr">
        <is>
          <t>Verified — primary source</t>
        </is>
      </c>
      <c r="Z53" s="353" t="inlineStr">
        <is>
          <t>https://trimas.com/news/2025/trimas-completes-acquisition-of-gmt-aerospace/</t>
        </is>
      </c>
      <c r="AA53" s="353" t="inlineStr">
        <is>
          <t>None used</t>
        </is>
      </c>
      <c r="AB53" s="353" t="inlineStr">
        <is>
          <t>Confirmed omission from the original Europe 2025 section.</t>
        </is>
      </c>
    </row>
    <row r="54" ht="45" customHeight="1">
      <c r="A54" s="353" t="inlineStr">
        <is>
          <t>EUR-053</t>
        </is>
      </c>
      <c r="B54" s="353" t="inlineStr">
        <is>
          <t>Europe</t>
        </is>
      </c>
      <c r="C54" s="353" t="inlineStr">
        <is>
          <t>Italy</t>
        </is>
      </c>
      <c r="D54" s="353" t="inlineStr">
        <is>
          <t>PowerFlex S.r.l.</t>
        </is>
      </c>
      <c r="E54" s="353" t="inlineStr">
        <is>
          <t>Mare Group</t>
        </is>
      </c>
      <c r="F54" s="353" t="inlineStr">
        <is>
          <t>Italy</t>
        </is>
      </c>
      <c r="G54" s="353" t="inlineStr">
        <is>
          <t>Not disclosed</t>
        </is>
      </c>
      <c r="H54" s="403" t="n">
        <v>45644</v>
      </c>
      <c r="I54" s="403" t="n">
        <v>45711</v>
      </c>
      <c r="J54" s="404">
        <f>IFERROR(YEAR(I54),IFERROR(VALUE(LEFT(I54,4)),""))</f>
        <v/>
      </c>
      <c r="K54" s="353" t="inlineStr">
        <is>
          <t>M&amp;A</t>
        </is>
      </c>
      <c r="L54" s="353" t="inlineStr">
        <is>
          <t>Full acquisition</t>
        </is>
      </c>
      <c r="M54" s="353" t="inlineStr">
        <is>
          <t>100%</t>
        </is>
      </c>
      <c r="N54" s="353" t="inlineStr">
        <is>
          <t>Completed</t>
        </is>
      </c>
      <c r="O54" s="405" t="n">
        <v>1.15</v>
      </c>
      <c r="P54" s="353" t="inlineStr">
        <is>
          <t>EUR</t>
        </is>
      </c>
      <c r="Q54" s="406" t="inlineStr">
        <is>
          <t>Not disclosed</t>
        </is>
      </c>
      <c r="R54" s="353" t="inlineStr">
        <is>
          <t>Purchase consideration</t>
        </is>
      </c>
      <c r="S54" s="353" t="inlineStr">
        <is>
          <t>Hardware</t>
        </is>
      </c>
      <c r="T54" s="353" t="inlineStr">
        <is>
          <t>Aerospace Platforms &amp; Components</t>
        </is>
      </c>
      <c r="U54" s="353" t="inlineStr">
        <is>
          <t>Core A&amp;D</t>
        </is>
      </c>
      <c r="V54" s="353" t="inlineStr">
        <is>
          <t>PowerFlex designs and manufactures products for defence, avionics, aerospace and naval applications.</t>
        </is>
      </c>
      <c r="W54" s="353" t="inlineStr">
        <is>
          <t>Mare Group completed its acquisition of PowerFlex S.r.l. on 2025-02-23. Ownership acquired: 100%. Purchase consideration</t>
        </is>
      </c>
      <c r="X54" s="353" t="inlineStr">
        <is>
          <t>Not independently verified</t>
        </is>
      </c>
      <c r="Y54" s="353" t="inlineStr">
        <is>
          <t>Verified — primary source</t>
        </is>
      </c>
      <c r="Z54" s="353" t="inlineStr">
        <is>
          <t>https://www.maregroup.it/wp-content/uploads/2025/03/20318_152166_2025_oneinfo.pdf</t>
        </is>
      </c>
      <c r="AA54" s="353" t="inlineStr">
        <is>
          <t>https://www.maregroup.it/en/mare-group-to-acquire-powerflex/</t>
        </is>
      </c>
      <c r="AB54" s="353" t="inlineStr">
        <is>
          <t>Correct completion from 20 February to 23 February 2025.</t>
        </is>
      </c>
    </row>
    <row r="55" ht="45" customHeight="1">
      <c r="A55" s="353" t="inlineStr">
        <is>
          <t>EUR-054</t>
        </is>
      </c>
      <c r="B55" s="353" t="inlineStr">
        <is>
          <t>Europe</t>
        </is>
      </c>
      <c r="C55" s="353" t="inlineStr">
        <is>
          <t>Germany</t>
        </is>
      </c>
      <c r="D55" s="353" t="inlineStr">
        <is>
          <t>roda computer GmbH</t>
        </is>
      </c>
      <c r="E55" s="353" t="inlineStr">
        <is>
          <t>MilDef Group</t>
        </is>
      </c>
      <c r="F55" s="353" t="inlineStr">
        <is>
          <t>Sweden</t>
        </is>
      </c>
      <c r="G55" s="353" t="inlineStr">
        <is>
          <t>Not disclosed</t>
        </is>
      </c>
      <c r="H55" s="403" t="inlineStr">
        <is>
          <t>Not disclosed</t>
        </is>
      </c>
      <c r="I55" s="403" t="n">
        <v>45722</v>
      </c>
      <c r="J55" s="404">
        <f>IFERROR(YEAR(I55),IFERROR(VALUE(LEFT(I55,4)),""))</f>
        <v/>
      </c>
      <c r="K55" s="353" t="inlineStr">
        <is>
          <t>M&amp;A</t>
        </is>
      </c>
      <c r="L55" s="353" t="inlineStr">
        <is>
          <t>Full acquisition</t>
        </is>
      </c>
      <c r="M55" s="353" t="inlineStr">
        <is>
          <t>100%</t>
        </is>
      </c>
      <c r="N55" s="353" t="inlineStr">
        <is>
          <t>Completed</t>
        </is>
      </c>
      <c r="O55" s="405" t="n">
        <v>99.90000000000001</v>
      </c>
      <c r="P55" s="353" t="inlineStr">
        <is>
          <t>EUR</t>
        </is>
      </c>
      <c r="Q55" s="406" t="inlineStr">
        <is>
          <t>Not disclosed</t>
        </is>
      </c>
      <c r="R55" s="353" t="inlineStr">
        <is>
          <t>Total consideration including EUR3.9m contingent payment</t>
        </is>
      </c>
      <c r="S55" s="353" t="inlineStr">
        <is>
          <t>Hardware</t>
        </is>
      </c>
      <c r="T55" s="353" t="inlineStr">
        <is>
          <t>Defence Computing &amp; Rugged Systems</t>
        </is>
      </c>
      <c r="U55" s="353" t="inlineStr">
        <is>
          <t>Core A&amp;D</t>
        </is>
      </c>
      <c r="V55" s="353" t="inlineStr">
        <is>
          <t>roda develops rugged military IT systems and is dedicated to defence customers.</t>
        </is>
      </c>
      <c r="W55" s="353" t="inlineStr">
        <is>
          <t>MilDef Group completed its acquisition of roda computer GmbH on 2025-03-06. Ownership acquired: 100%. Total consideration including EUR3.9m contingent payment</t>
        </is>
      </c>
      <c r="X55" s="353" t="inlineStr">
        <is>
          <t>Not independently verified</t>
        </is>
      </c>
      <c r="Y55" s="353" t="inlineStr">
        <is>
          <t>Verified — primary source</t>
        </is>
      </c>
      <c r="Z55" s="353" t="inlineStr">
        <is>
          <t>https://news.cision.com/mildef-group-ab/r/mildef-successfully-completes-the-acquisition-of-roda-computer-gmbh-and-resolves-on-an-issue-in-kind%2Cc4114017</t>
        </is>
      </c>
      <c r="AA55" s="353" t="inlineStr">
        <is>
          <t>None used</t>
        </is>
      </c>
      <c r="AB55" s="353" t="inlineStr">
        <is>
          <t>Retain; use source-native consideration and disclose its contingent component.</t>
        </is>
      </c>
    </row>
    <row r="56" ht="45" customHeight="1">
      <c r="A56" s="353" t="inlineStr">
        <is>
          <t>EUR-055</t>
        </is>
      </c>
      <c r="B56" s="353" t="inlineStr">
        <is>
          <t>Europe</t>
        </is>
      </c>
      <c r="C56" s="353" t="inlineStr">
        <is>
          <t>France</t>
        </is>
      </c>
      <c r="D56" s="353" t="inlineStr">
        <is>
          <t>Noxant</t>
        </is>
      </c>
      <c r="E56" s="353" t="inlineStr">
        <is>
          <t>Exosens</t>
        </is>
      </c>
      <c r="F56" s="353" t="inlineStr">
        <is>
          <t>France</t>
        </is>
      </c>
      <c r="G56" s="353" t="inlineStr">
        <is>
          <t>Not disclosed</t>
        </is>
      </c>
      <c r="H56" s="403" t="n">
        <v>45729</v>
      </c>
      <c r="I56" s="403" t="n">
        <v>45729</v>
      </c>
      <c r="J56" s="404">
        <f>IFERROR(YEAR(I56),IFERROR(VALUE(LEFT(I56,4)),""))</f>
        <v/>
      </c>
      <c r="K56" s="353" t="inlineStr">
        <is>
          <t>M&amp;A</t>
        </is>
      </c>
      <c r="L56" s="353" t="inlineStr">
        <is>
          <t>Full acquisition</t>
        </is>
      </c>
      <c r="M56" s="353" t="inlineStr">
        <is>
          <t>100%</t>
        </is>
      </c>
      <c r="N56" s="353" t="inlineStr">
        <is>
          <t>Completed</t>
        </is>
      </c>
      <c r="O56" s="405" t="n">
        <v>36.06</v>
      </c>
      <c r="P56" s="353" t="inlineStr">
        <is>
          <t>EUR</t>
        </is>
      </c>
      <c r="Q56" s="406" t="inlineStr">
        <is>
          <t>Not disclosed</t>
        </is>
      </c>
      <c r="R56" s="353" t="inlineStr">
        <is>
          <t>Purchase consideration</t>
        </is>
      </c>
      <c r="S56" s="353" t="inlineStr">
        <is>
          <t>Hardware</t>
        </is>
      </c>
      <c r="T56" s="353" t="inlineStr">
        <is>
          <t>Defence Electronics &amp; Sensors</t>
        </is>
      </c>
      <c r="U56" s="353" t="inlineStr">
        <is>
          <t>Core A&amp;D</t>
        </is>
      </c>
      <c r="V56" s="353" t="inlineStr">
        <is>
          <t>Noxant's cooled infrared cameras are used in surveillance, drones and defence systems; defence end-use is a material stated market.</t>
        </is>
      </c>
      <c r="W56" s="353" t="inlineStr">
        <is>
          <t>Exosens completed its acquisition of Noxant on 2025-03-13. Ownership acquired: 100%. Purchase consideration</t>
        </is>
      </c>
      <c r="X56" s="353" t="inlineStr">
        <is>
          <t>Not independently verified</t>
        </is>
      </c>
      <c r="Y56" s="353" t="inlineStr">
        <is>
          <t>Verified — primary source</t>
        </is>
      </c>
      <c r="Z56" s="353" t="inlineStr">
        <is>
          <t>https://www.exosens.com/news/q1-2025-results</t>
        </is>
      </c>
      <c r="AA56" s="353" t="inlineStr">
        <is>
          <t>None used</t>
        </is>
      </c>
      <c r="AB56" s="353" t="inlineStr">
        <is>
          <t>Retain as a defence-imaging technology acquisition.</t>
        </is>
      </c>
    </row>
    <row r="57" ht="45" customHeight="1">
      <c r="A57" s="353" t="inlineStr">
        <is>
          <t>EUR-056</t>
        </is>
      </c>
      <c r="B57" s="353" t="inlineStr">
        <is>
          <t>Europe</t>
        </is>
      </c>
      <c r="C57" s="353" t="inlineStr">
        <is>
          <t>United Kingdom</t>
        </is>
      </c>
      <c r="D57" s="353" t="inlineStr">
        <is>
          <t>Ultra Maritime Signature Management &amp; Power business</t>
        </is>
      </c>
      <c r="E57" s="353" t="inlineStr">
        <is>
          <t>ESCO Technologies</t>
        </is>
      </c>
      <c r="F57" s="353" t="inlineStr">
        <is>
          <t>United States</t>
        </is>
      </c>
      <c r="G57" s="353" t="inlineStr">
        <is>
          <t>Ultra Maritime</t>
        </is>
      </c>
      <c r="H57" s="403" t="n">
        <v>45772</v>
      </c>
      <c r="I57" s="403" t="n">
        <v>45775</v>
      </c>
      <c r="J57" s="404">
        <f>IFERROR(YEAR(I57),IFERROR(VALUE(LEFT(I57,4)),""))</f>
        <v/>
      </c>
      <c r="K57" s="353" t="inlineStr">
        <is>
          <t>M&amp;A</t>
        </is>
      </c>
      <c r="L57" s="353" t="inlineStr">
        <is>
          <t>Corporate carve-out acquisition</t>
        </is>
      </c>
      <c r="M57" s="353" t="inlineStr">
        <is>
          <t>Operating business acquired</t>
        </is>
      </c>
      <c r="N57" s="353" t="inlineStr">
        <is>
          <t>Completed</t>
        </is>
      </c>
      <c r="O57" s="405" t="n">
        <v>472</v>
      </c>
      <c r="P57" s="353" t="inlineStr">
        <is>
          <t>USD</t>
        </is>
      </c>
      <c r="Q57" s="406" t="n">
        <v>472</v>
      </c>
      <c r="R57" s="353" t="inlineStr">
        <is>
          <t>Net purchase consideration after acquired cash; headline gross price was USD550m</t>
        </is>
      </c>
      <c r="S57" s="353" t="inlineStr">
        <is>
          <t>Hardware</t>
        </is>
      </c>
      <c r="T57" s="353" t="inlineStr">
        <is>
          <t>Naval &amp; Underwater Systems</t>
        </is>
      </c>
      <c r="U57" s="353" t="inlineStr">
        <is>
          <t>Core A&amp;D</t>
        </is>
      </c>
      <c r="V57" s="353" t="inlineStr">
        <is>
          <t>The business supplies signature-management and power technologies for naval defence platforms.</t>
        </is>
      </c>
      <c r="W57" s="353" t="inlineStr">
        <is>
          <t>ESCO Technologies completed its acquisition of Ultra Maritime Signature Management &amp; Power business from Ultra Maritime on 2025-04-25. Ownership acquired: Operating business acquired. Net purchase consideration after acquired cash; headline gross price was USD550m</t>
        </is>
      </c>
      <c r="X57" s="353" t="inlineStr">
        <is>
          <t>Not independently verified</t>
        </is>
      </c>
      <c r="Y57" s="353" t="inlineStr">
        <is>
          <t>Verified — primary source</t>
        </is>
      </c>
      <c r="Z57" s="353" t="inlineStr">
        <is>
          <t>https://investor.escotechnologies.com/news-releases/news-release-details/esco-completes-acquisition-smp</t>
        </is>
      </c>
      <c r="AA57" s="353" t="inlineStr">
        <is>
          <t>https://www.sec.gov/Archives/edgar/data/866706/000141057825001667/ese-20250630x10q.htm</t>
        </is>
      </c>
      <c r="AB57" s="353" t="inlineStr">
        <is>
          <t>Retain; explicitly label USD472m as net consideration, not headline gross price. CORRECTED 2026-08-02: completion date 25 April 2025 replaced with 28 April 2025, the date of ESCO's completion release.</t>
        </is>
      </c>
    </row>
    <row r="58" ht="45" customHeight="1">
      <c r="A58" s="353" t="inlineStr">
        <is>
          <t>EUR-057</t>
        </is>
      </c>
      <c r="B58" s="353" t="inlineStr">
        <is>
          <t>Europe</t>
        </is>
      </c>
      <c r="C58" s="353" t="inlineStr">
        <is>
          <t>Germany</t>
        </is>
      </c>
      <c r="D58" s="353" t="inlineStr">
        <is>
          <t>e.sigma Systems GmbH</t>
        </is>
      </c>
      <c r="E58" s="353" t="inlineStr">
        <is>
          <t>Diehl Defence GmbH &amp; Co. KG</t>
        </is>
      </c>
      <c r="F58" s="353" t="inlineStr">
        <is>
          <t>Germany</t>
        </is>
      </c>
      <c r="G58" s="353" t="inlineStr">
        <is>
          <t>Not disclosed</t>
        </is>
      </c>
      <c r="H58" s="403" t="n">
        <v>45810</v>
      </c>
      <c r="I58" s="403" t="n">
        <v>45810</v>
      </c>
      <c r="J58" s="404">
        <f>IFERROR(YEAR(I58),IFERROR(VALUE(LEFT(I58,4)),""))</f>
        <v/>
      </c>
      <c r="K58" s="353" t="inlineStr">
        <is>
          <t>M&amp;A</t>
        </is>
      </c>
      <c r="L58" s="353" t="inlineStr">
        <is>
          <t>Full acquisition</t>
        </is>
      </c>
      <c r="M58" s="353" t="inlineStr">
        <is>
          <t>100%</t>
        </is>
      </c>
      <c r="N58" s="353" t="inlineStr">
        <is>
          <t>Completed</t>
        </is>
      </c>
      <c r="O58" s="405" t="inlineStr">
        <is>
          <t>Not disclosed</t>
        </is>
      </c>
      <c r="P58" s="353" t="inlineStr">
        <is>
          <t>Not disclosed</t>
        </is>
      </c>
      <c r="Q58" s="406" t="inlineStr">
        <is>
          <t>Not disclosed</t>
        </is>
      </c>
      <c r="R58" s="353" t="inlineStr">
        <is>
          <t>Not publicly disclosed</t>
        </is>
      </c>
      <c r="S58" s="353" t="inlineStr">
        <is>
          <t>Software / Services</t>
        </is>
      </c>
      <c r="T58" s="353" t="inlineStr">
        <is>
          <t>Training &amp; Simulation</t>
        </is>
      </c>
      <c r="U58" s="353" t="inlineStr">
        <is>
          <t>Core A&amp;D</t>
        </is>
      </c>
      <c r="V58" s="353" t="inlineStr">
        <is>
          <t>e.sigma develops military training, simulation, command-and-control and secure voice/AI software.</t>
        </is>
      </c>
      <c r="W58" s="353" t="inlineStr">
        <is>
          <t>Diehl Defence GmbH &amp; Co. KG completed its acquisition of e.sigma Systems GmbH on 2025-06-02. Ownership acquired: 100%. Not publicly disclosed</t>
        </is>
      </c>
      <c r="X58" s="353" t="inlineStr">
        <is>
          <t>Not independently verified</t>
        </is>
      </c>
      <c r="Y58" s="353" t="inlineStr">
        <is>
          <t>Verified — primary source</t>
        </is>
      </c>
      <c r="Z58" s="353" t="inlineStr">
        <is>
          <t>https://new.diehl.com/defence/en/press-media/news/takeover-of-e.sigma-systems-gmbh</t>
        </is>
      </c>
      <c r="AA58" s="353" t="inlineStr">
        <is>
          <t>None used</t>
        </is>
      </c>
      <c r="AB58" s="353" t="inlineStr">
        <is>
          <t>Confirmed omission from the original Europe 2025 section.</t>
        </is>
      </c>
    </row>
    <row r="59" ht="45" customHeight="1">
      <c r="A59" s="353" t="inlineStr">
        <is>
          <t>EUR-058</t>
        </is>
      </c>
      <c r="B59" s="353" t="inlineStr">
        <is>
          <t>Europe</t>
        </is>
      </c>
      <c r="C59" s="353" t="inlineStr">
        <is>
          <t>Finland</t>
        </is>
      </c>
      <c r="D59" s="353" t="inlineStr">
        <is>
          <t>Summa Defence Oy</t>
        </is>
      </c>
      <c r="E59" s="353" t="inlineStr">
        <is>
          <t>Meriaura Group Plc, renamed Summa Defence Oyj</t>
        </is>
      </c>
      <c r="F59" s="353" t="inlineStr">
        <is>
          <t>Finland</t>
        </is>
      </c>
      <c r="G59" s="353" t="inlineStr">
        <is>
          <t>Summa Defence shareholders</t>
        </is>
      </c>
      <c r="H59" s="403" t="n">
        <v>45817</v>
      </c>
      <c r="I59" s="403" t="n">
        <v>45817</v>
      </c>
      <c r="J59" s="404">
        <f>IFERROR(YEAR(I59),IFERROR(VALUE(LEFT(I59,4)),""))</f>
        <v/>
      </c>
      <c r="K59" s="353" t="inlineStr">
        <is>
          <t>M&amp;A</t>
        </is>
      </c>
      <c r="L59" s="353" t="inlineStr">
        <is>
          <t>Share-exchange merger/reverse acquisition</t>
        </is>
      </c>
      <c r="M59" s="353" t="inlineStr">
        <is>
          <t>Control of combined listed company transferred through merger</t>
        </is>
      </c>
      <c r="N59" s="353" t="inlineStr">
        <is>
          <t>Completed</t>
        </is>
      </c>
      <c r="O59" s="405" t="n">
        <v>187.7</v>
      </c>
      <c r="P59" s="353" t="inlineStr">
        <is>
          <t>EUR</t>
        </is>
      </c>
      <c r="Q59" s="406" t="inlineStr">
        <is>
          <t>Not disclosed</t>
        </is>
      </c>
      <c r="R59" s="353" t="inlineStr">
        <is>
          <t>Purchase price recognized for the business combination</t>
        </is>
      </c>
      <c r="S59" s="353" t="inlineStr">
        <is>
          <t>Hardware / Software / Services</t>
        </is>
      </c>
      <c r="T59" s="353" t="inlineStr">
        <is>
          <t>Defence Services &amp; Engineering</t>
        </is>
      </c>
      <c r="U59" s="353" t="inlineStr">
        <is>
          <t>Core A&amp;D</t>
        </is>
      </c>
      <c r="V59" s="353" t="inlineStr">
        <is>
          <t>Summa Defence is a dedicated defence and security technology group.</t>
        </is>
      </c>
      <c r="W59" s="353" t="inlineStr">
        <is>
          <t>Meriaura Group Plc, renamed Summa Defence Oyj completed its acquisition of Summa Defence Oy from Summa Defence shareholders on 2025-06-09. Ownership acquired: Control of combined listed company transferred through merger. Purchase price recognized for the business combination</t>
        </is>
      </c>
      <c r="X59" s="353" t="inlineStr">
        <is>
          <t>Not independently verified</t>
        </is>
      </c>
      <c r="Y59" s="353" t="inlineStr">
        <is>
          <t>Verified — primary source</t>
        </is>
      </c>
      <c r="Z59" s="353" t="inlineStr">
        <is>
          <t>https://news.cision.com/summa-defence-oyj/r/the-merger-of-meriaura-group-plc-and-summa-defence-oy-has-been-completed%2Cc4160816</t>
        </is>
      </c>
      <c r="AA59" s="353" t="inlineStr">
        <is>
          <t>https://view.news.eu.nasdaq.com/view?id=b8a54ea77c3a6a552ae0ac3e7d9c0c4f0&amp;lang=en&amp;src=notices</t>
        </is>
      </c>
      <c r="AB59" s="353" t="inlineStr">
        <is>
          <t>Confirmed omission; classify separately as a completed share-exchange merger/reverse acquisition rather than a conventional IPO.</t>
        </is>
      </c>
    </row>
    <row r="60" ht="45" customHeight="1">
      <c r="A60" s="353" t="inlineStr">
        <is>
          <t>EUR-059</t>
        </is>
      </c>
      <c r="B60" s="353" t="inlineStr">
        <is>
          <t>Europe</t>
        </is>
      </c>
      <c r="C60" s="353" t="inlineStr">
        <is>
          <t>Spain</t>
        </is>
      </c>
      <c r="D60" s="353" t="inlineStr">
        <is>
          <t>Tess-Defence</t>
        </is>
      </c>
      <c r="E60" s="353" t="inlineStr">
        <is>
          <t>Indra Sistemas S.A.</t>
        </is>
      </c>
      <c r="F60" s="353" t="inlineStr">
        <is>
          <t>Spain</t>
        </is>
      </c>
      <c r="G60" s="353" t="inlineStr">
        <is>
          <t>Not disclosed</t>
        </is>
      </c>
      <c r="H60" s="403" t="n">
        <v>45565</v>
      </c>
      <c r="I60" s="403" t="n">
        <v>45821</v>
      </c>
      <c r="J60" s="404">
        <f>IFERROR(YEAR(I60),IFERROR(VALUE(LEFT(I60,4)),""))</f>
        <v/>
      </c>
      <c r="K60" s="353" t="inlineStr">
        <is>
          <t>M&amp;A</t>
        </is>
      </c>
      <c r="L60" s="353" t="inlineStr">
        <is>
          <t>Incremental acquisition producing majority control</t>
        </is>
      </c>
      <c r="M60" s="353" t="inlineStr">
        <is>
          <t>26.34% incremental; post-transaction ownership 51.01%</t>
        </is>
      </c>
      <c r="N60" s="353" t="inlineStr">
        <is>
          <t>Completed</t>
        </is>
      </c>
      <c r="O60" s="405" t="inlineStr">
        <is>
          <t>Not disclosed</t>
        </is>
      </c>
      <c r="P60" s="353" t="inlineStr">
        <is>
          <t>Not disclosed</t>
        </is>
      </c>
      <c r="Q60" s="406" t="inlineStr">
        <is>
          <t>Not disclosed</t>
        </is>
      </c>
      <c r="R60" s="353" t="inlineStr">
        <is>
          <t>No transaction-specific consideration was verified from the cited primary source.</t>
        </is>
      </c>
      <c r="S60" s="353" t="inlineStr">
        <is>
          <t>Hardware / Services</t>
        </is>
      </c>
      <c r="T60" s="353" t="inlineStr">
        <is>
          <t>Land Systems &amp; Military Vehicles</t>
        </is>
      </c>
      <c r="U60" s="353" t="inlineStr">
        <is>
          <t>Core A&amp;D</t>
        </is>
      </c>
      <c r="V60" s="353" t="inlineStr">
        <is>
          <t>TESS Defence is a core Spanish defence land-systems joint venture, but no qualifying 2024 completion occurred.</t>
        </is>
      </c>
      <c r="W60" s="353" t="inlineStr">
        <is>
          <t>Indra Sistemas S.A. completed its acquisition of Tess-Defence on 2025-06-13. Ownership acquired: 26.34% incremental; post-transaction ownership 51.01%. No transaction-specific consideration was verified from the cited primary source.</t>
        </is>
      </c>
      <c r="X60" s="353" t="inlineStr">
        <is>
          <t>Not independently verified</t>
        </is>
      </c>
      <c r="Y60" s="353" t="inlineStr">
        <is>
          <t>Verified — primary source</t>
        </is>
      </c>
      <c r="Z60" s="353" t="inlineStr">
        <is>
          <t>https://www.indragroup.com/en/news/indra-acquires-majority-stake-tess-defence</t>
        </is>
      </c>
      <c r="AA60" s="353" t="inlineStr">
        <is>
          <t>None used</t>
        </is>
      </c>
      <c r="AB60" s="353" t="inlineStr">
        <is>
          <t>Move to 2025: the 2024 entry was an agreement; the 26.34% incremental purchase completed on 13 June 2025 and raised Indra's ownership to 51.01% control. Promoted to the completed population because the transaction legally closed by the 2026-08-02 cutoff.</t>
        </is>
      </c>
    </row>
    <row r="61" ht="45" customHeight="1">
      <c r="A61" s="353" t="inlineStr">
        <is>
          <t>EUR-060</t>
        </is>
      </c>
      <c r="B61" s="353" t="inlineStr">
        <is>
          <t>Europe</t>
        </is>
      </c>
      <c r="C61" s="353" t="inlineStr">
        <is>
          <t>Norway</t>
        </is>
      </c>
      <c r="D61" s="353" t="inlineStr">
        <is>
          <t>Fjord Defence AS</t>
        </is>
      </c>
      <c r="E61" s="353" t="inlineStr">
        <is>
          <t>Aquila Holdings ASA, renamed Fjord Defence Group ASA</t>
        </is>
      </c>
      <c r="F61" s="353" t="inlineStr">
        <is>
          <t>Norway</t>
        </is>
      </c>
      <c r="G61" s="353" t="inlineStr">
        <is>
          <t>Not disclosed</t>
        </is>
      </c>
      <c r="H61" s="403" t="n">
        <v>45828</v>
      </c>
      <c r="I61" s="403" t="n">
        <v>45828</v>
      </c>
      <c r="J61" s="404">
        <f>IFERROR(YEAR(I61),IFERROR(VALUE(LEFT(I61,4)),""))</f>
        <v/>
      </c>
      <c r="K61" s="353" t="inlineStr">
        <is>
          <t>M&amp;A</t>
        </is>
      </c>
      <c r="L61" s="353" t="inlineStr">
        <is>
          <t>Full acquisition/share consideration</t>
        </is>
      </c>
      <c r="M61" s="353" t="inlineStr">
        <is>
          <t>100%</t>
        </is>
      </c>
      <c r="N61" s="353" t="inlineStr">
        <is>
          <t>Completed</t>
        </is>
      </c>
      <c r="O61" s="405" t="n">
        <v>278.79</v>
      </c>
      <c r="P61" s="353" t="inlineStr">
        <is>
          <t>NOK</t>
        </is>
      </c>
      <c r="Q61" s="406" t="inlineStr">
        <is>
          <t>Not disclosed</t>
        </is>
      </c>
      <c r="R61" s="353" t="inlineStr">
        <is>
          <t>Total purchase price recognized at completion; differs from announcement-date enterprise-value estimate</t>
        </is>
      </c>
      <c r="S61" s="353" t="inlineStr">
        <is>
          <t>Hardware / Software / Services</t>
        </is>
      </c>
      <c r="T61" s="353" t="inlineStr">
        <is>
          <t>Ammunition &amp; Weapons</t>
        </is>
      </c>
      <c r="U61" s="353" t="inlineStr">
        <is>
          <t>Core A&amp;D</t>
        </is>
      </c>
      <c r="V61" s="353" t="inlineStr">
        <is>
          <t>Fjord Defence develops weapon-integration systems and defence-platform technology.</t>
        </is>
      </c>
      <c r="W61" s="353" t="inlineStr">
        <is>
          <t>Aquila Holdings ASA, renamed Fjord Defence Group ASA completed its acquisition of Fjord Defence AS on 2025-06-20. Ownership acquired: 100%. Total purchase price recognized at completion; differs from announcement-date enterprise-value estimate</t>
        </is>
      </c>
      <c r="X61" s="353" t="inlineStr">
        <is>
          <t>Not independently verified</t>
        </is>
      </c>
      <c r="Y61" s="353" t="inlineStr">
        <is>
          <t>Verified — primary source</t>
        </is>
      </c>
      <c r="Z61" s="353" t="inlineStr">
        <is>
          <t>https://live.euronext.com/en/products/equities/company-news/2025-06-20-aquila-holdings-successful-completion-fjord-defence</t>
        </is>
      </c>
      <c r="AA61" s="353" t="inlineStr">
        <is>
          <t>https://live.euronext.com/sites/default/files/company_press_releases/attachments_oslo/2026/02/26/666847_2025%20Fjord%20Defence%20Group%20annual%20report.pdf</t>
        </is>
      </c>
      <c r="AB61" s="353" t="inlineStr">
        <is>
          <t>Confirmed omission; label value basis carefully because share-price accounting changed the completion value.</t>
        </is>
      </c>
    </row>
    <row r="62" ht="45" customHeight="1">
      <c r="A62" s="353" t="inlineStr">
        <is>
          <t>EUR-061</t>
        </is>
      </c>
      <c r="B62" s="353" t="inlineStr">
        <is>
          <t>Europe</t>
        </is>
      </c>
      <c r="C62" s="353" t="inlineStr">
        <is>
          <t>United Kingdom</t>
        </is>
      </c>
      <c r="D62" s="353" t="inlineStr">
        <is>
          <t>Slingsby Advanced Composites Ltd.</t>
        </is>
      </c>
      <c r="E62" s="353" t="inlineStr">
        <is>
          <t>Mangohojden AB</t>
        </is>
      </c>
      <c r="F62" s="353" t="inlineStr">
        <is>
          <t>Sweden</t>
        </is>
      </c>
      <c r="G62" s="353" t="inlineStr">
        <is>
          <t>Marshall Group</t>
        </is>
      </c>
      <c r="H62" s="403" t="n">
        <v>45838</v>
      </c>
      <c r="I62" s="403" t="n">
        <v>45838</v>
      </c>
      <c r="J62" s="404">
        <f>IFERROR(YEAR(I62),IFERROR(VALUE(LEFT(I62,4)),""))</f>
        <v/>
      </c>
      <c r="K62" s="353" t="inlineStr">
        <is>
          <t>M&amp;A</t>
        </is>
      </c>
      <c r="L62" s="353" t="inlineStr">
        <is>
          <t>Full acquisition</t>
        </is>
      </c>
      <c r="M62" s="353" t="inlineStr">
        <is>
          <t>100%</t>
        </is>
      </c>
      <c r="N62" s="353" t="inlineStr">
        <is>
          <t>Completed</t>
        </is>
      </c>
      <c r="O62" s="405" t="inlineStr">
        <is>
          <t>Not disclosed</t>
        </is>
      </c>
      <c r="P62" s="353" t="inlineStr">
        <is>
          <t>Not disclosed</t>
        </is>
      </c>
      <c r="Q62" s="406" t="inlineStr">
        <is>
          <t>Not disclosed</t>
        </is>
      </c>
      <c r="R62" s="353" t="inlineStr">
        <is>
          <t>Not publicly disclosed</t>
        </is>
      </c>
      <c r="S62" s="353" t="inlineStr">
        <is>
          <t>Hardware</t>
        </is>
      </c>
      <c r="T62" s="353" t="inlineStr">
        <is>
          <t>Aerospace Materials &amp; Components</t>
        </is>
      </c>
      <c r="U62" s="353" t="inlineStr">
        <is>
          <t>Core A&amp;D</t>
        </is>
      </c>
      <c r="V62" s="353" t="inlineStr">
        <is>
          <t>Slingsby manufactures complex composite structures for land, air and sea defence applications.</t>
        </is>
      </c>
      <c r="W62" s="353" t="inlineStr">
        <is>
          <t>Mangohojden AB completed its acquisition of Slingsby Advanced Composites Ltd. from Marshall Group on 2025-06-30. Ownership acquired: 100%. Not publicly disclosed</t>
        </is>
      </c>
      <c r="X62" s="353" t="inlineStr">
        <is>
          <t>Not independently verified</t>
        </is>
      </c>
      <c r="Y62" s="353" t="inlineStr">
        <is>
          <t>Verified — primary source</t>
        </is>
      </c>
      <c r="Z62" s="353" t="inlineStr">
        <is>
          <t>https://marshallgroup.com/en/news-stories/acquisition-of-slingsby-advanced-composites-by-mangohojden-ab</t>
        </is>
      </c>
      <c r="AA62" s="353" t="inlineStr">
        <is>
          <t>None used</t>
        </is>
      </c>
      <c r="AB62" s="353" t="inlineStr">
        <is>
          <t>Confirmed omission from the original Europe 2025 section.</t>
        </is>
      </c>
    </row>
    <row r="63" ht="45" customHeight="1">
      <c r="A63" s="353" t="inlineStr">
        <is>
          <t>EUR-062</t>
        </is>
      </c>
      <c r="B63" s="353" t="inlineStr">
        <is>
          <t>Europe</t>
        </is>
      </c>
      <c r="C63" s="353" t="inlineStr">
        <is>
          <t>Sweden</t>
        </is>
      </c>
      <c r="D63" s="353" t="inlineStr">
        <is>
          <t>Milso AB</t>
        </is>
      </c>
      <c r="E63" s="353" t="inlineStr">
        <is>
          <t>Knowit AB</t>
        </is>
      </c>
      <c r="F63" s="353" t="inlineStr">
        <is>
          <t>Sweden</t>
        </is>
      </c>
      <c r="G63" s="353" t="inlineStr">
        <is>
          <t>Not disclosed</t>
        </is>
      </c>
      <c r="H63" s="403" t="n">
        <v>45839</v>
      </c>
      <c r="I63" s="403" t="n">
        <v>45839</v>
      </c>
      <c r="J63" s="404">
        <f>IFERROR(YEAR(I63),IFERROR(VALUE(LEFT(I63,4)),""))</f>
        <v/>
      </c>
      <c r="K63" s="353" t="inlineStr">
        <is>
          <t>M&amp;A</t>
        </is>
      </c>
      <c r="L63" s="353" t="inlineStr">
        <is>
          <t>Full acquisition</t>
        </is>
      </c>
      <c r="M63" s="353" t="inlineStr">
        <is>
          <t>100%</t>
        </is>
      </c>
      <c r="N63" s="353" t="inlineStr">
        <is>
          <t>Completed</t>
        </is>
      </c>
      <c r="O63" s="405" t="n">
        <v>47</v>
      </c>
      <c r="P63" s="353" t="inlineStr">
        <is>
          <t>SEK</t>
        </is>
      </c>
      <c r="Q63" s="406" t="inlineStr">
        <is>
          <t>Not disclosed</t>
        </is>
      </c>
      <c r="R63" s="353" t="inlineStr">
        <is>
          <t>Purchase consideration</t>
        </is>
      </c>
      <c r="S63" s="353" t="inlineStr">
        <is>
          <t>Services</t>
        </is>
      </c>
      <c r="T63" s="353" t="inlineStr">
        <is>
          <t>Defence Services &amp; Engineering</t>
        </is>
      </c>
      <c r="U63" s="353" t="inlineStr">
        <is>
          <t>Core A&amp;D</t>
        </is>
      </c>
      <c r="V63" s="353" t="inlineStr">
        <is>
          <t>Milso is a defence-focused technology, management and IT consultancy.</t>
        </is>
      </c>
      <c r="W63" s="353" t="inlineStr">
        <is>
          <t>Knowit AB completed its acquisition of Milso AB on 2025-07-01. Ownership acquired: 100%. Purchase consideration</t>
        </is>
      </c>
      <c r="X63" s="353" t="inlineStr">
        <is>
          <t>Not independently verified</t>
        </is>
      </c>
      <c r="Y63" s="353" t="inlineStr">
        <is>
          <t>Verified — primary source</t>
        </is>
      </c>
      <c r="Z63" s="353" t="inlineStr">
        <is>
          <t>https://www.knowit.eu/news-press/knowit-acquires-consulting-firm-milso-and-further-strengthens-its-position-in-the-defense-sector/</t>
        </is>
      </c>
      <c r="AA63" s="353" t="inlineStr">
        <is>
          <t>https://www.knowit.eu/globalassets/investor-relations/reports/english/2025/ar2025-eng-a4.pdf</t>
        </is>
      </c>
      <c r="AB63" s="353" t="inlineStr">
        <is>
          <t>Retain as a completed defence-technology services acquisition.</t>
        </is>
      </c>
    </row>
    <row r="64" ht="45" customHeight="1">
      <c r="A64" s="353" t="inlineStr">
        <is>
          <t>EUR-063</t>
        </is>
      </c>
      <c r="B64" s="353" t="inlineStr">
        <is>
          <t>Europe</t>
        </is>
      </c>
      <c r="C64" s="353" t="inlineStr">
        <is>
          <t>Spain</t>
        </is>
      </c>
      <c r="D64" s="353" t="inlineStr">
        <is>
          <t>Nightvision Lasers Spain S.L.</t>
        </is>
      </c>
      <c r="E64" s="353" t="inlineStr">
        <is>
          <t>Exosens</t>
        </is>
      </c>
      <c r="F64" s="353" t="inlineStr">
        <is>
          <t>France</t>
        </is>
      </c>
      <c r="G64" s="353" t="inlineStr">
        <is>
          <t>Not disclosed</t>
        </is>
      </c>
      <c r="H64" s="403" t="n">
        <v>45854</v>
      </c>
      <c r="I64" s="403" t="n">
        <v>45853</v>
      </c>
      <c r="J64" s="404">
        <f>IFERROR(YEAR(I64),IFERROR(VALUE(LEFT(I64,4)),""))</f>
        <v/>
      </c>
      <c r="K64" s="353" t="inlineStr">
        <is>
          <t>M&amp;A</t>
        </is>
      </c>
      <c r="L64" s="353" t="inlineStr">
        <is>
          <t>Majority control acquisition</t>
        </is>
      </c>
      <c r="M64" s="353" t="inlineStr">
        <is>
          <t>75%</t>
        </is>
      </c>
      <c r="N64" s="353" t="inlineStr">
        <is>
          <t>Completed</t>
        </is>
      </c>
      <c r="O64" s="405" t="n">
        <v>6.4</v>
      </c>
      <c r="P64" s="353" t="inlineStr">
        <is>
          <t>EUR</t>
        </is>
      </c>
      <c r="Q64" s="406" t="inlineStr">
        <is>
          <t>Not disclosed</t>
        </is>
      </c>
      <c r="R64" s="353" t="inlineStr">
        <is>
          <t>Consideration for 75% stake</t>
        </is>
      </c>
      <c r="S64" s="353" t="inlineStr">
        <is>
          <t>Hardware</t>
        </is>
      </c>
      <c r="T64" s="353" t="inlineStr">
        <is>
          <t>Defence Electronics &amp; Sensors</t>
        </is>
      </c>
      <c r="U64" s="353" t="inlineStr">
        <is>
          <t>Core A&amp;D</t>
        </is>
      </c>
      <c r="V64" s="353" t="inlineStr">
        <is>
          <t>NVLS develops laser and night-vision technologies for defence applications.</t>
        </is>
      </c>
      <c r="W64" s="353" t="inlineStr">
        <is>
          <t>Exosens completed its acquisition of Nightvision Lasers Spain S.L. on 2025-07-15. Ownership acquired: 75%. Consideration for 75% stake</t>
        </is>
      </c>
      <c r="X64" s="353" t="inlineStr">
        <is>
          <t>Not independently verified</t>
        </is>
      </c>
      <c r="Y64" s="353" t="inlineStr">
        <is>
          <t>Verified — primary source</t>
        </is>
      </c>
      <c r="Z64" s="353" t="inlineStr">
        <is>
          <t>https://ldar.exosens.com/system/files/2025-09/Exosens%20RFS%20EN%202025_06.pdf</t>
        </is>
      </c>
      <c r="AA64" s="353" t="inlineStr">
        <is>
          <t>https://www.exosens.com/news/exosens-acquisition-nvls</t>
        </is>
      </c>
      <c r="AB64" s="353" t="inlineStr">
        <is>
          <t>Correct from full acquisition/16 July to 75% majority acquisition closed 15 July.</t>
        </is>
      </c>
    </row>
    <row r="65" ht="45" customHeight="1">
      <c r="A65" s="353" t="inlineStr">
        <is>
          <t>EUR-064</t>
        </is>
      </c>
      <c r="B65" s="353" t="inlineStr">
        <is>
          <t>Europe</t>
        </is>
      </c>
      <c r="C65" s="353" t="inlineStr">
        <is>
          <t>United Kingdom</t>
        </is>
      </c>
      <c r="D65" s="353" t="inlineStr">
        <is>
          <t>Beadlight Ltd.</t>
        </is>
      </c>
      <c r="E65" s="353" t="inlineStr">
        <is>
          <t>Loar Holdings Inc.</t>
        </is>
      </c>
      <c r="F65" s="353" t="inlineStr">
        <is>
          <t>United States</t>
        </is>
      </c>
      <c r="G65" s="353" t="inlineStr">
        <is>
          <t>Original BTC</t>
        </is>
      </c>
      <c r="H65" s="403" t="n">
        <v>45866</v>
      </c>
      <c r="I65" s="403" t="n">
        <v>45866</v>
      </c>
      <c r="J65" s="404">
        <f>IFERROR(YEAR(I65),IFERROR(VALUE(LEFT(I65,4)),""))</f>
        <v/>
      </c>
      <c r="K65" s="353" t="inlineStr">
        <is>
          <t>M&amp;A</t>
        </is>
      </c>
      <c r="L65" s="353" t="inlineStr">
        <is>
          <t>Corporate divestiture</t>
        </is>
      </c>
      <c r="M65" s="353" t="inlineStr">
        <is>
          <t>100%</t>
        </is>
      </c>
      <c r="N65" s="353" t="inlineStr">
        <is>
          <t>Completed</t>
        </is>
      </c>
      <c r="O65" s="405" t="n">
        <v>24.6</v>
      </c>
      <c r="P65" s="353" t="inlineStr">
        <is>
          <t>GBP</t>
        </is>
      </c>
      <c r="Q65" s="406" t="inlineStr">
        <is>
          <t>Not disclosed</t>
        </is>
      </c>
      <c r="R65" s="353" t="inlineStr">
        <is>
          <t>Purchase consideration</t>
        </is>
      </c>
      <c r="S65" s="353" t="inlineStr">
        <is>
          <t>Hardware</t>
        </is>
      </c>
      <c r="T65" s="353" t="inlineStr">
        <is>
          <t>Aerospace Platforms &amp; Components</t>
        </is>
      </c>
      <c r="U65" s="353" t="inlineStr">
        <is>
          <t>Core A&amp;D</t>
        </is>
      </c>
      <c r="V65" s="353" t="inlineStr">
        <is>
          <t>Beadlight designs and manufactures LED lighting products for aircraft interiors.</t>
        </is>
      </c>
      <c r="W65" s="353" t="inlineStr">
        <is>
          <t>Loar Holdings Inc. completed its acquisition of Beadlight Ltd. from Original BTC on 2025-07-28. Ownership acquired: 100%. Purchase consideration</t>
        </is>
      </c>
      <c r="X65" s="353" t="inlineStr">
        <is>
          <t>Not independently verified</t>
        </is>
      </c>
      <c r="Y65" s="353" t="inlineStr">
        <is>
          <t>Verified — primary source</t>
        </is>
      </c>
      <c r="Z65" s="353" t="inlineStr">
        <is>
          <t>https://ir.loargroup.com/news-events/press-releases/detail/30/loar-holdings-inc-reports-q2-2025-record-results-and-upward-revision-to-2025-outlook-and-announces-the-acquisition-of-beadlight-ltd</t>
        </is>
      </c>
      <c r="AA65" s="353" t="inlineStr">
        <is>
          <t>None used</t>
        </is>
      </c>
      <c r="AB65" s="353" t="inlineStr">
        <is>
          <t>Retain as a commercial-aerospace technology acquisition.</t>
        </is>
      </c>
    </row>
    <row r="66" ht="45" customHeight="1">
      <c r="A66" s="353" t="inlineStr">
        <is>
          <t>EUR-065</t>
        </is>
      </c>
      <c r="B66" s="353" t="inlineStr">
        <is>
          <t>Europe</t>
        </is>
      </c>
      <c r="C66" s="353" t="inlineStr">
        <is>
          <t>Spain</t>
        </is>
      </c>
      <c r="D66" s="353" t="inlineStr">
        <is>
          <t>Málaga Aerospace, Defense &amp; Electronics Systems S.A. (MADES)</t>
        </is>
      </c>
      <c r="E66" s="353" t="inlineStr">
        <is>
          <t>Cicor Technologies Ltd.</t>
        </is>
      </c>
      <c r="F66" s="353" t="inlineStr">
        <is>
          <t>Switzerland</t>
        </is>
      </c>
      <c r="G66" s="353" t="inlineStr">
        <is>
          <t>Not disclosed</t>
        </is>
      </c>
      <c r="H66" s="403" t="inlineStr">
        <is>
          <t>Not disclosed</t>
        </is>
      </c>
      <c r="I66" s="403" t="n">
        <v>45870</v>
      </c>
      <c r="J66" s="404">
        <f>IFERROR(YEAR(I66),IFERROR(VALUE(LEFT(I66,4)),""))</f>
        <v/>
      </c>
      <c r="K66" s="353" t="inlineStr">
        <is>
          <t>M&amp;A</t>
        </is>
      </c>
      <c r="L66" s="353" t="inlineStr">
        <is>
          <t>Full acquisition</t>
        </is>
      </c>
      <c r="M66" s="353" t="inlineStr">
        <is>
          <t>100%</t>
        </is>
      </c>
      <c r="N66" s="353" t="inlineStr">
        <is>
          <t>Completed</t>
        </is>
      </c>
      <c r="O66" s="405" t="n">
        <v>32</v>
      </c>
      <c r="P66" s="353" t="inlineStr">
        <is>
          <t>EUR</t>
        </is>
      </c>
      <c r="Q66" s="406" t="inlineStr">
        <is>
          <t>Not disclosed</t>
        </is>
      </c>
      <c r="R66" s="353" t="inlineStr">
        <is>
          <t>Purchase consideration</t>
        </is>
      </c>
      <c r="S66" s="353" t="inlineStr">
        <is>
          <t>Hardware</t>
        </is>
      </c>
      <c r="T66" s="353" t="inlineStr">
        <is>
          <t>Defence Electronics &amp; Sensors</t>
        </is>
      </c>
      <c r="U66" s="353" t="inlineStr">
        <is>
          <t>Core A&amp;D</t>
        </is>
      </c>
      <c r="V66" s="353" t="inlineStr">
        <is>
          <t>MADES manufactures electronics primarily for aerospace and defence customers.</t>
        </is>
      </c>
      <c r="W66" s="353" t="inlineStr">
        <is>
          <t>Cicor Technologies Ltd. completed its acquisition of Málaga Aerospace, Defense &amp; Electronics Systems S.A. (MADES) on 2025-08-01. Ownership acquired: 100%. Purchase consideration</t>
        </is>
      </c>
      <c r="X66" s="353" t="inlineStr">
        <is>
          <t>Not independently verified</t>
        </is>
      </c>
      <c r="Y66" s="353" t="inlineStr">
        <is>
          <t>Verified — primary source</t>
        </is>
      </c>
      <c r="Z66" s="353" t="inlineStr">
        <is>
          <t>https://www.cicor.com/en/news/article/cicor-completes-acquisition-of-mades-strengthens-ad-market-leadership-and-sees-no-material-impact-from-us-tariffs/</t>
        </is>
      </c>
      <c r="AA66" s="353" t="inlineStr">
        <is>
          <t>https://report.cicor.com/ar25/category/notes-group_en</t>
        </is>
      </c>
      <c r="AB66" s="353" t="inlineStr">
        <is>
          <t>Confirmed omission from the original Europe 2025 section.</t>
        </is>
      </c>
    </row>
    <row r="67" ht="45" customHeight="1">
      <c r="A67" s="353" t="inlineStr">
        <is>
          <t>EUR-066</t>
        </is>
      </c>
      <c r="B67" s="353" t="inlineStr">
        <is>
          <t>Europe</t>
        </is>
      </c>
      <c r="C67" s="353" t="inlineStr">
        <is>
          <t>Belgium</t>
        </is>
      </c>
      <c r="D67" s="353" t="inlineStr">
        <is>
          <t>ILIAS Solutions N.V.</t>
        </is>
      </c>
      <c r="E67" s="353" t="inlineStr">
        <is>
          <t>Patria Oyj</t>
        </is>
      </c>
      <c r="F67" s="353" t="inlineStr">
        <is>
          <t>Finland</t>
        </is>
      </c>
      <c r="G67" s="353" t="inlineStr">
        <is>
          <t>Not disclosed</t>
        </is>
      </c>
      <c r="H67" s="403" t="inlineStr">
        <is>
          <t>Not disclosed</t>
        </is>
      </c>
      <c r="I67" s="403" t="n">
        <v>45901</v>
      </c>
      <c r="J67" s="404">
        <f>IFERROR(YEAR(I67),IFERROR(VALUE(LEFT(I67,4)),""))</f>
        <v/>
      </c>
      <c r="K67" s="353" t="inlineStr">
        <is>
          <t>M&amp;A</t>
        </is>
      </c>
      <c r="L67" s="353" t="inlineStr">
        <is>
          <t>Full acquisition</t>
        </is>
      </c>
      <c r="M67" s="353" t="inlineStr">
        <is>
          <t>100%</t>
        </is>
      </c>
      <c r="N67" s="353" t="inlineStr">
        <is>
          <t>Completed</t>
        </is>
      </c>
      <c r="O67" s="405" t="inlineStr">
        <is>
          <t>Not disclosed</t>
        </is>
      </c>
      <c r="P67" s="353" t="inlineStr">
        <is>
          <t>Not disclosed</t>
        </is>
      </c>
      <c r="Q67" s="406" t="inlineStr">
        <is>
          <t>Not disclosed</t>
        </is>
      </c>
      <c r="R67" s="353" t="inlineStr">
        <is>
          <t>Not publicly disclosed</t>
        </is>
      </c>
      <c r="S67" s="353" t="inlineStr">
        <is>
          <t>Software / Services</t>
        </is>
      </c>
      <c r="T67" s="353" t="inlineStr">
        <is>
          <t>Cyber &amp; Digital Defence</t>
        </is>
      </c>
      <c r="U67" s="353" t="inlineStr">
        <is>
          <t>Core A&amp;D</t>
        </is>
      </c>
      <c r="V67" s="353" t="inlineStr">
        <is>
          <t>ILIAS develops integrated digital resource-management software specifically for armed forces.</t>
        </is>
      </c>
      <c r="W67" s="353" t="inlineStr">
        <is>
          <t>Patria Oyj completed its acquisition of ILIAS Solutions N.V. on 2025-09-01. Ownership acquired: 100%. Not publicly disclosed</t>
        </is>
      </c>
      <c r="X67" s="353" t="inlineStr">
        <is>
          <t>Not independently verified</t>
        </is>
      </c>
      <c r="Y67" s="353" t="inlineStr">
        <is>
          <t>Verified — primary source</t>
        </is>
      </c>
      <c r="Z67" s="353" t="inlineStr">
        <is>
          <t>https://www.patriagroup.com/newsroom/news/2025/patria-has-completed-the-acquisition-of-ilias-solutions</t>
        </is>
      </c>
      <c r="AA67" s="353" t="inlineStr">
        <is>
          <t>None used</t>
        </is>
      </c>
      <c r="AB67" s="353" t="inlineStr">
        <is>
          <t>Confirmed omission from the original Europe 2025 section.</t>
        </is>
      </c>
    </row>
    <row r="68" ht="45" customHeight="1">
      <c r="A68" s="353" t="inlineStr">
        <is>
          <t>EUR-067</t>
        </is>
      </c>
      <c r="B68" s="353" t="inlineStr">
        <is>
          <t>Europe</t>
        </is>
      </c>
      <c r="C68" s="353" t="inlineStr">
        <is>
          <t>France</t>
        </is>
      </c>
      <c r="D68" s="353" t="inlineStr">
        <is>
          <t>Sofisport</t>
        </is>
      </c>
      <c r="E68" s="353" t="inlineStr">
        <is>
          <t>FN Browning Group</t>
        </is>
      </c>
      <c r="F68" s="353" t="inlineStr">
        <is>
          <t>Belgium</t>
        </is>
      </c>
      <c r="G68" s="353" t="inlineStr">
        <is>
          <t>Not disclosed</t>
        </is>
      </c>
      <c r="H68" s="403" t="n">
        <v>45930</v>
      </c>
      <c r="I68" s="403" t="n">
        <v>45930</v>
      </c>
      <c r="J68" s="404">
        <f>IFERROR(YEAR(I68),IFERROR(VALUE(LEFT(I68,4)),""))</f>
        <v/>
      </c>
      <c r="K68" s="353" t="inlineStr">
        <is>
          <t>M&amp;A</t>
        </is>
      </c>
      <c r="L68" s="353" t="inlineStr">
        <is>
          <t>Full acquisition</t>
        </is>
      </c>
      <c r="M68" s="353" t="inlineStr">
        <is>
          <t>100%</t>
        </is>
      </c>
      <c r="N68" s="353" t="inlineStr">
        <is>
          <t>Completed</t>
        </is>
      </c>
      <c r="O68" s="405" t="inlineStr">
        <is>
          <t>Not disclosed</t>
        </is>
      </c>
      <c r="P68" s="353" t="inlineStr">
        <is>
          <t>Not disclosed</t>
        </is>
      </c>
      <c r="Q68" s="406" t="inlineStr">
        <is>
          <t>Not disclosed</t>
        </is>
      </c>
      <c r="R68" s="353" t="inlineStr">
        <is>
          <t>Not publicly disclosed</t>
        </is>
      </c>
      <c r="S68" s="353" t="inlineStr">
        <is>
          <t>Hardware</t>
        </is>
      </c>
      <c r="T68" s="353" t="inlineStr">
        <is>
          <t>Ammunition &amp; Weapons</t>
        </is>
      </c>
      <c r="U68" s="353" t="inlineStr">
        <is>
          <t>Core A&amp;D</t>
        </is>
      </c>
      <c r="V68" s="353" t="inlineStr">
        <is>
          <t>Sofisport manufactures small-calibre ammunition and ammunition components for defence/security and sporting markets.</t>
        </is>
      </c>
      <c r="W68" s="353" t="inlineStr">
        <is>
          <t>FN Browning Group completed its acquisition of Sofisport on 2025-09-30. Ownership acquired: 100%. Not publicly disclosed</t>
        </is>
      </c>
      <c r="X68" s="353" t="inlineStr">
        <is>
          <t>Not independently verified</t>
        </is>
      </c>
      <c r="Y68" s="353" t="inlineStr">
        <is>
          <t>Verified — primary source</t>
        </is>
      </c>
      <c r="Z68" s="353" t="inlineStr">
        <is>
          <t>https://fnherstal.com/en/news/fn-browning-group-announces-the-completion-of-its-acquisition-of-sofisport/</t>
        </is>
      </c>
      <c r="AA68" s="353" t="inlineStr">
        <is>
          <t>None used</t>
        </is>
      </c>
      <c r="AB68" s="353" t="inlineStr">
        <is>
          <t>Confirmed omission under the strict defence-ammunition category.</t>
        </is>
      </c>
    </row>
    <row r="69" ht="45" customHeight="1">
      <c r="A69" s="353" t="inlineStr">
        <is>
          <t>EUR-068</t>
        </is>
      </c>
      <c r="B69" s="353" t="inlineStr">
        <is>
          <t>Europe</t>
        </is>
      </c>
      <c r="C69" s="353" t="inlineStr">
        <is>
          <t>Finland</t>
        </is>
      </c>
      <c r="D69" s="353" t="inlineStr">
        <is>
          <t>Milectria Group</t>
        </is>
      </c>
      <c r="E69" s="353" t="inlineStr">
        <is>
          <t>HANZA AB</t>
        </is>
      </c>
      <c r="F69" s="353" t="inlineStr">
        <is>
          <t>Sweden</t>
        </is>
      </c>
      <c r="G69" s="353" t="inlineStr">
        <is>
          <t>Not disclosed</t>
        </is>
      </c>
      <c r="H69" s="403" t="n">
        <v>45931</v>
      </c>
      <c r="I69" s="403" t="n">
        <v>45931</v>
      </c>
      <c r="J69" s="404">
        <f>IFERROR(YEAR(I69),IFERROR(VALUE(LEFT(I69,4)),""))</f>
        <v/>
      </c>
      <c r="K69" s="353" t="inlineStr">
        <is>
          <t>M&amp;A</t>
        </is>
      </c>
      <c r="L69" s="353" t="inlineStr">
        <is>
          <t>Full acquisition</t>
        </is>
      </c>
      <c r="M69" s="353" t="inlineStr">
        <is>
          <t>100%</t>
        </is>
      </c>
      <c r="N69" s="353" t="inlineStr">
        <is>
          <t>Completed</t>
        </is>
      </c>
      <c r="O69" s="405" t="n">
        <v>190</v>
      </c>
      <c r="P69" s="353" t="inlineStr">
        <is>
          <t>SEK</t>
        </is>
      </c>
      <c r="Q69" s="406" t="inlineStr">
        <is>
          <t>Not disclosed</t>
        </is>
      </c>
      <c r="R69" s="353" t="inlineStr">
        <is>
          <t>Completion consideration of EUR 17.1m, stated by HANZA as approximately SEK 190m; contingent earn-out of up to EUR 18m if turnover more than doubles over 2025-2027.</t>
        </is>
      </c>
      <c r="S69" s="353" t="inlineStr">
        <is>
          <t>Hardware / Services</t>
        </is>
      </c>
      <c r="T69" s="353" t="inlineStr">
        <is>
          <t>Power, Propulsion &amp; Energy</t>
        </is>
      </c>
      <c r="U69" s="353" t="inlineStr">
        <is>
          <t>Core A&amp;D</t>
        </is>
      </c>
      <c r="V69" s="353" t="inlineStr">
        <is>
          <t>Milectria manufactures electrical systems specifically for military platforms and defence customers.</t>
        </is>
      </c>
      <c r="W69" s="353" t="inlineStr">
        <is>
          <t>HANZA AB completed its acquisition of Milectria Group on 2025-10-01. Ownership acquired: 100%. Initial consideration; additional contingent payment up to SEK77m</t>
        </is>
      </c>
      <c r="X69" s="353" t="inlineStr">
        <is>
          <t>Not independently verified</t>
        </is>
      </c>
      <c r="Y69" s="353" t="inlineStr">
        <is>
          <t>Verified — primary source</t>
        </is>
      </c>
      <c r="Z69" s="353" t="inlineStr">
        <is>
          <t>https://hanza.com/investor/pressreleases/hanza-completes-acquisition-and-expands-capacity-for-the-defense-industry/</t>
        </is>
      </c>
      <c r="AA69" s="353" t="inlineStr">
        <is>
          <t>https://evertiq.com/news/2025-10-01-hanza-completes-acquisition-of-milectria</t>
        </is>
      </c>
      <c r="AB69" s="353" t="inlineStr">
        <is>
          <t>Retain; separate initial and contingent consideration. CORRECTED 2026-08-02: native value was SEK 266m with a SEK 77m earn-out; HANZA's completion release and headline state EUR 17.1m (~SEK 190m) with an earn-out of up to EUR 18m.</t>
        </is>
      </c>
    </row>
    <row r="70" ht="45" customHeight="1">
      <c r="A70" s="353" t="inlineStr">
        <is>
          <t>EUR-069</t>
        </is>
      </c>
      <c r="B70" s="353" t="inlineStr">
        <is>
          <t>Europe</t>
        </is>
      </c>
      <c r="C70" s="353" t="inlineStr">
        <is>
          <t>France</t>
        </is>
      </c>
      <c r="D70" s="353" t="inlineStr">
        <is>
          <t>Paul Boyé Technologies</t>
        </is>
      </c>
      <c r="E70" s="353" t="inlineStr">
        <is>
          <t>NFM Group</t>
        </is>
      </c>
      <c r="F70" s="353" t="inlineStr">
        <is>
          <t>Norway</t>
        </is>
      </c>
      <c r="G70" s="353" t="inlineStr">
        <is>
          <t>Not disclosed</t>
        </is>
      </c>
      <c r="H70" s="403" t="n">
        <v>45938</v>
      </c>
      <c r="I70" s="403" t="n">
        <v>45938</v>
      </c>
      <c r="J70" s="404">
        <f>IFERROR(YEAR(I70),IFERROR(VALUE(LEFT(I70,4)),""))</f>
        <v/>
      </c>
      <c r="K70" s="353" t="inlineStr">
        <is>
          <t>M&amp;A</t>
        </is>
      </c>
      <c r="L70" s="353" t="inlineStr">
        <is>
          <t>Control acquisition</t>
        </is>
      </c>
      <c r="M70" s="353" t="inlineStr">
        <is>
          <t>Control acquired; percentage not publicly disclosed</t>
        </is>
      </c>
      <c r="N70" s="353" t="inlineStr">
        <is>
          <t>Completed</t>
        </is>
      </c>
      <c r="O70" s="405" t="inlineStr">
        <is>
          <t>Not disclosed</t>
        </is>
      </c>
      <c r="P70" s="353" t="inlineStr">
        <is>
          <t>Not disclosed</t>
        </is>
      </c>
      <c r="Q70" s="406" t="inlineStr">
        <is>
          <t>Not disclosed</t>
        </is>
      </c>
      <c r="R70" s="353" t="inlineStr">
        <is>
          <t>Not publicly disclosed</t>
        </is>
      </c>
      <c r="S70" s="353" t="inlineStr">
        <is>
          <t>Hardware</t>
        </is>
      </c>
      <c r="T70" s="353" t="inlineStr">
        <is>
          <t>Land Systems &amp; Military Vehicles</t>
        </is>
      </c>
      <c r="U70" s="353" t="inlineStr">
        <is>
          <t>Core A&amp;D</t>
        </is>
      </c>
      <c r="V70" s="353" t="inlineStr">
        <is>
          <t>Paul Boyé develops and manufactures protective and combat equipment for military and security customers.</t>
        </is>
      </c>
      <c r="W70" s="353" t="inlineStr">
        <is>
          <t>NFM Group completed its acquisition of Paul Boyé Technologies on 2025-10-08. Ownership acquired: Control acquired; percentage not publicly disclosed. Not publicly disclosed</t>
        </is>
      </c>
      <c r="X70" s="353" t="inlineStr">
        <is>
          <t>Not independently verified</t>
        </is>
      </c>
      <c r="Y70" s="353" t="inlineStr">
        <is>
          <t>Verified — primary source</t>
        </is>
      </c>
      <c r="Z70" s="353" t="inlineStr">
        <is>
          <t>https://www.paul-boye.fr/</t>
        </is>
      </c>
      <c r="AA70" s="353" t="inlineStr">
        <is>
          <t>None used</t>
        </is>
      </c>
      <c r="AB70" s="353" t="inlineStr">
        <is>
          <t>Confirmed omission; ownership percentage and consideration were not publicly disclosed in the cited company notice.</t>
        </is>
      </c>
    </row>
    <row r="71" ht="45" customHeight="1">
      <c r="A71" s="353" t="inlineStr">
        <is>
          <t>EUR-070</t>
        </is>
      </c>
      <c r="B71" s="353" t="inlineStr">
        <is>
          <t>Europe</t>
        </is>
      </c>
      <c r="C71" s="353" t="inlineStr">
        <is>
          <t>Germany</t>
        </is>
      </c>
      <c r="D71" s="353" t="inlineStr">
        <is>
          <t>TKMS AG &amp; Co. KGaA</t>
        </is>
      </c>
      <c r="E71" s="353" t="inlineStr">
        <is>
          <t>Frankfurt Stock Exchange (Prime Standard) — admission to trading</t>
        </is>
      </c>
      <c r="F71" s="353" t="inlineStr">
        <is>
          <t>N/A — listing</t>
        </is>
      </c>
      <c r="G71" s="353" t="inlineStr">
        <is>
          <t>thyssenkrupp AG (49% distributed to its shareholders; 51% retained)</t>
        </is>
      </c>
      <c r="H71" s="403" t="n">
        <v>45882</v>
      </c>
      <c r="I71" s="403" t="n">
        <v>45950</v>
      </c>
      <c r="J71" s="404">
        <f>IFERROR(YEAR(I71),IFERROR(VALUE(LEFT(I71,4)),""))</f>
        <v/>
      </c>
      <c r="K71" s="353" t="inlineStr">
        <is>
          <t>IPO</t>
        </is>
      </c>
      <c r="L71" s="353" t="inlineStr">
        <is>
          <t>Spin-off admission to trading (no public offering; no proceeds raised)</t>
        </is>
      </c>
      <c r="M71" s="353" t="inlineStr">
        <is>
          <t>49% of shares distributed to thyssenkrupp shareholders; thyssenkrupp retained 51%</t>
        </is>
      </c>
      <c r="N71" s="353" t="inlineStr">
        <is>
          <t>Completed</t>
        </is>
      </c>
      <c r="O71" s="405" t="inlineStr">
        <is>
          <t>Not applicable</t>
        </is>
      </c>
      <c r="P71" s="353" t="inlineStr">
        <is>
          <t>Not applicable</t>
        </is>
      </c>
      <c r="Q71" s="406" t="inlineStr">
        <is>
          <t>Not applicable</t>
        </is>
      </c>
      <c r="R71" s="353" t="inlineStr">
        <is>
          <t>No public offering and no proceeds were raised. Shares were distributed to thyssenkrupp shareholders at a ratio of 1:20. Market capitalisation reached approximately EUR 6.8bn on the debut day.</t>
        </is>
      </c>
      <c r="S71" s="353" t="inlineStr">
        <is>
          <t>Hardware / Services</t>
        </is>
      </c>
      <c r="T71" s="353" t="inlineStr">
        <is>
          <t>Naval &amp; Underwater Systems</t>
        </is>
      </c>
      <c r="U71" s="353" t="inlineStr">
        <is>
          <t>Core A&amp;D</t>
        </is>
      </c>
      <c r="V71" s="353" t="inlineStr">
        <is>
          <t>Submarines, frigates and maritime defence systems. TKMS is one of Europe’s largest pure-play naval defence companies, with an order backlog of approximately EUR 18.6bn at listing.</t>
        </is>
      </c>
      <c r="W71" s="353" t="inlineStr">
        <is>
          <t>TKMS AG &amp; Co. KGaA was admitted to trading in the Prime Standard of the Frankfurt Stock Exchange on 2025-10-20 following the spin-off approved by thyssenkrupp shareholders on 2025-08-13. Shares opened at EUR 60 and reached as high as EUR 107, valuing the company at up to approximately EUR 6.8bn.</t>
        </is>
      </c>
      <c r="X71" s="353" t="inlineStr">
        <is>
          <t>https://www.tkmsgroup.com</t>
        </is>
      </c>
      <c r="Y71" s="353" t="inlineStr">
        <is>
          <t>Verified — primary source</t>
        </is>
      </c>
      <c r="Z71" s="353" t="inlineStr">
        <is>
          <t>https://www.tkmsgroup.com/news/article/tkms-lists-on-the-frankfurt-stock-exchange-successful-market-debut-for-maritime-defense-provider</t>
        </is>
      </c>
      <c r="AA71" s="353" t="inlineStr">
        <is>
          <t>https://www.thyssenkrupp.com/en/newsroom/press-releases/pressdetailpage/thyssenkrupp-ag-announces-planned-date-for-stock-market-listing-of-tkms-308582</t>
        </is>
      </c>
      <c r="AB71" s="353" t="inlineStr">
        <is>
          <t>ADDED 2026-08-02: absent from the original workbook and from the audit log. This is the largest European pure-play naval defence listing of the review period. NOTE ON SCOPE: it is a spin-off admission, not a public offering, so it does not meet the workbook’s strict "Completed IPO" definition. It is included and explicitly flagged in Deal Structure so it can be filtered out if the strict offering test is preferred.</t>
        </is>
      </c>
    </row>
    <row r="72" ht="45" customHeight="1">
      <c r="A72" s="353" t="inlineStr">
        <is>
          <t>EUR-071</t>
        </is>
      </c>
      <c r="B72" s="353" t="inlineStr">
        <is>
          <t>Europe</t>
        </is>
      </c>
      <c r="C72" s="353" t="inlineStr">
        <is>
          <t>United Kingdom</t>
        </is>
      </c>
      <c r="D72" s="353" t="inlineStr">
        <is>
          <t>Nasmyth Group Ltd.</t>
        </is>
      </c>
      <c r="E72" s="353" t="inlineStr">
        <is>
          <t>Sigma Advanced Systems UK Ltd.</t>
        </is>
      </c>
      <c r="F72" s="353" t="inlineStr">
        <is>
          <t>United Kingdom</t>
        </is>
      </c>
      <c r="G72" s="353" t="inlineStr">
        <is>
          <t>Not disclosed</t>
        </is>
      </c>
      <c r="H72" s="403" t="n">
        <v>45964</v>
      </c>
      <c r="I72" s="403" t="n">
        <v>45962</v>
      </c>
      <c r="J72" s="404">
        <f>IFERROR(YEAR(I72),IFERROR(VALUE(LEFT(I72,4)),""))</f>
        <v/>
      </c>
      <c r="K72" s="353" t="inlineStr">
        <is>
          <t>M&amp;A</t>
        </is>
      </c>
      <c r="L72" s="353" t="inlineStr">
        <is>
          <t>Full acquisition</t>
        </is>
      </c>
      <c r="M72" s="353" t="inlineStr">
        <is>
          <t>100%</t>
        </is>
      </c>
      <c r="N72" s="353" t="inlineStr">
        <is>
          <t>Completed</t>
        </is>
      </c>
      <c r="O72" s="405" t="n">
        <v>17.8</v>
      </c>
      <c r="P72" s="353" t="inlineStr">
        <is>
          <t>GBP</t>
        </is>
      </c>
      <c r="Q72" s="406" t="inlineStr">
        <is>
          <t>Not disclosed</t>
        </is>
      </c>
      <c r="R72" s="353" t="inlineStr">
        <is>
          <t>Purchase consideration</t>
        </is>
      </c>
      <c r="S72" s="353" t="inlineStr">
        <is>
          <t>Hardware</t>
        </is>
      </c>
      <c r="T72" s="353" t="inlineStr">
        <is>
          <t>Aerospace Materials &amp; Components</t>
        </is>
      </c>
      <c r="U72" s="353" t="inlineStr">
        <is>
          <t>Core A&amp;D</t>
        </is>
      </c>
      <c r="V72" s="353" t="inlineStr">
        <is>
          <t>Nasmyth manufactures precision components and assemblies for aerospace and defence platforms.</t>
        </is>
      </c>
      <c r="W72" s="353" t="inlineStr">
        <is>
          <t>Sigma Advanced Systems UK Ltd. completed its acquisition of Nasmyth Group Ltd. on 2025-11-01. Ownership acquired: 100%. Purchase consideration</t>
        </is>
      </c>
      <c r="X72" s="353" t="inlineStr">
        <is>
          <t>Not independently verified</t>
        </is>
      </c>
      <c r="Y72" s="353" t="inlineStr">
        <is>
          <t>Verified — primary source</t>
        </is>
      </c>
      <c r="Z72" s="353" t="inlineStr">
        <is>
          <t>https://sigmaadvsys.com/investors/announcements/Outcome-of-BM-14022026.pdf</t>
        </is>
      </c>
      <c r="AA72" s="353" t="inlineStr">
        <is>
          <t>https://www.adsgroup.org.uk/knowledge/industry-member-news/sigma-advanced-systems-acquires-nasmyth/</t>
        </is>
      </c>
      <c r="AB72" s="353" t="inlineStr">
        <is>
          <t>Use the effective control date of 1 November; 3 November was the public announcement.</t>
        </is>
      </c>
    </row>
    <row r="73" ht="45" customHeight="1">
      <c r="A73" s="353" t="inlineStr">
        <is>
          <t>EUR-072</t>
        </is>
      </c>
      <c r="B73" s="353" t="inlineStr">
        <is>
          <t>Europe</t>
        </is>
      </c>
      <c r="C73" s="353" t="inlineStr">
        <is>
          <t>Latvia</t>
        </is>
      </c>
      <c r="D73" s="353" t="inlineStr">
        <is>
          <t>Ammunity SIA</t>
        </is>
      </c>
      <c r="E73" s="353" t="inlineStr">
        <is>
          <t>Scandinavian Astor Group AB</t>
        </is>
      </c>
      <c r="F73" s="353" t="inlineStr">
        <is>
          <t>Sweden</t>
        </is>
      </c>
      <c r="G73" s="353" t="inlineStr">
        <is>
          <t>Not disclosed</t>
        </is>
      </c>
      <c r="H73" s="403" t="n">
        <v>45964</v>
      </c>
      <c r="I73" s="403" t="n">
        <v>45964</v>
      </c>
      <c r="J73" s="404">
        <f>IFERROR(YEAR(I73),IFERROR(VALUE(LEFT(I73,4)),""))</f>
        <v/>
      </c>
      <c r="K73" s="353" t="inlineStr">
        <is>
          <t>M&amp;A</t>
        </is>
      </c>
      <c r="L73" s="353" t="inlineStr">
        <is>
          <t>Full acquisition</t>
        </is>
      </c>
      <c r="M73" s="353" t="inlineStr">
        <is>
          <t>100%</t>
        </is>
      </c>
      <c r="N73" s="353" t="inlineStr">
        <is>
          <t>Completed</t>
        </is>
      </c>
      <c r="O73" s="405" t="n">
        <v>3</v>
      </c>
      <c r="P73" s="353" t="inlineStr">
        <is>
          <t>EUR</t>
        </is>
      </c>
      <c r="Q73" s="406" t="inlineStr">
        <is>
          <t>Not disclosed</t>
        </is>
      </c>
      <c r="R73" s="353" t="inlineStr">
        <is>
          <t>Cash purchase price; SEK93.8m was the cash- and debt-free valuation</t>
        </is>
      </c>
      <c r="S73" s="353" t="inlineStr">
        <is>
          <t>Hardware</t>
        </is>
      </c>
      <c r="T73" s="353" t="inlineStr">
        <is>
          <t>Ammunition &amp; Weapons</t>
        </is>
      </c>
      <c r="U73" s="353" t="inlineStr">
        <is>
          <t>Core A&amp;D</t>
        </is>
      </c>
      <c r="V73" s="353" t="inlineStr">
        <is>
          <t>Ammunity is an ammunition manufacturer serving defence customers.</t>
        </is>
      </c>
      <c r="W73" s="353" t="inlineStr">
        <is>
          <t>Scandinavian Astor Group AB completed its acquisition of Ammunity SIA on 2025-11-03. Ownership acquired: 100%. Cash purchase price; SEK93.8m was the cash- and debt-free valuation</t>
        </is>
      </c>
      <c r="X73" s="353" t="inlineStr">
        <is>
          <t>Not independently verified</t>
        </is>
      </c>
      <c r="Y73" s="353" t="inlineStr">
        <is>
          <t>Verified — primary source</t>
        </is>
      </c>
      <c r="Z73" s="353" t="inlineStr">
        <is>
          <t>https://astorgroup.se/mfn_news/astor-group-has-completed-the-acquisition-of-latvian-ammunition-manufacturer-ammunity/</t>
        </is>
      </c>
      <c r="AA73" s="353" t="inlineStr">
        <is>
          <t>None used</t>
        </is>
      </c>
      <c r="AB73" s="353" t="inlineStr">
        <is>
          <t>Replace USD9.87m as transaction consideration with the disclosed EUR3m cash purchase price and distinguish valuation.</t>
        </is>
      </c>
    </row>
    <row r="74" ht="45" customHeight="1">
      <c r="A74" s="353" t="inlineStr">
        <is>
          <t>EUR-073</t>
        </is>
      </c>
      <c r="B74" s="353" t="inlineStr">
        <is>
          <t>Europe</t>
        </is>
      </c>
      <c r="C74" s="353" t="inlineStr">
        <is>
          <t>Italy</t>
        </is>
      </c>
      <c r="D74" s="353" t="inlineStr">
        <is>
          <t>Rack Peruzzi S.r.l.</t>
        </is>
      </c>
      <c r="E74" s="353" t="inlineStr">
        <is>
          <t>Mare Group</t>
        </is>
      </c>
      <c r="F74" s="353" t="inlineStr">
        <is>
          <t>Italy</t>
        </is>
      </c>
      <c r="G74" s="353" t="inlineStr">
        <is>
          <t>Not disclosed</t>
        </is>
      </c>
      <c r="H74" s="403" t="n">
        <v>45980</v>
      </c>
      <c r="I74" s="403" t="n">
        <v>45980</v>
      </c>
      <c r="J74" s="404">
        <f>IFERROR(YEAR(I74),IFERROR(VALUE(LEFT(I74,4)),""))</f>
        <v/>
      </c>
      <c r="K74" s="353" t="inlineStr">
        <is>
          <t>M&amp;A</t>
        </is>
      </c>
      <c r="L74" s="353" t="inlineStr">
        <is>
          <t>Control acquisition</t>
        </is>
      </c>
      <c r="M74" s="353" t="inlineStr">
        <is>
          <t>Control acquired; percentage not publicly disclosed</t>
        </is>
      </c>
      <c r="N74" s="353" t="inlineStr">
        <is>
          <t>Completed</t>
        </is>
      </c>
      <c r="O74" s="405" t="inlineStr">
        <is>
          <t>Not disclosed</t>
        </is>
      </c>
      <c r="P74" s="353" t="inlineStr">
        <is>
          <t>Not disclosed</t>
        </is>
      </c>
      <c r="Q74" s="406" t="inlineStr">
        <is>
          <t>Not disclosed</t>
        </is>
      </c>
      <c r="R74" s="353" t="inlineStr">
        <is>
          <t>Not publicly disclosed</t>
        </is>
      </c>
      <c r="S74" s="353" t="inlineStr">
        <is>
          <t>Hardware / Services</t>
        </is>
      </c>
      <c r="T74" s="353" t="inlineStr">
        <is>
          <t>Defence Computing &amp; Rugged Systems</t>
        </is>
      </c>
      <c r="U74" s="353" t="inlineStr">
        <is>
          <t>Core A&amp;D</t>
        </is>
      </c>
      <c r="V74" s="353" t="inlineStr">
        <is>
          <t>Rack Peruzzi provides secure racks, systems integration and engineering for aerospace and defence programmes.</t>
        </is>
      </c>
      <c r="W74" s="353" t="inlineStr">
        <is>
          <t>Mare Group completed its acquisition of Rack Peruzzi S.r.l. on 2025-11-19. Ownership acquired: Control acquired; percentage not publicly disclosed. Not publicly disclosed</t>
        </is>
      </c>
      <c r="X74" s="353" t="inlineStr">
        <is>
          <t>Not independently verified</t>
        </is>
      </c>
      <c r="Y74" s="353" t="inlineStr">
        <is>
          <t>Verified — primary source</t>
        </is>
      </c>
      <c r="Z74" s="353" t="inlineStr">
        <is>
          <t>https://www.maregroup.it/en/mare-group-acquires-rack-peruzzi-and-strengthens-its-aerospace-defense-hub/</t>
        </is>
      </c>
      <c r="AA74" s="353" t="inlineStr">
        <is>
          <t>None used</t>
        </is>
      </c>
      <c r="AB74" s="353" t="inlineStr">
        <is>
          <t>Confirmed omission; retain without inventing an ownership percentage or consideration.</t>
        </is>
      </c>
    </row>
    <row r="75" ht="45" customHeight="1">
      <c r="A75" s="353" t="inlineStr">
        <is>
          <t>EUR-074</t>
        </is>
      </c>
      <c r="B75" s="353" t="inlineStr">
        <is>
          <t>Europe</t>
        </is>
      </c>
      <c r="C75" s="353" t="inlineStr">
        <is>
          <t>United Kingdom</t>
        </is>
      </c>
      <c r="D75" s="353" t="inlineStr">
        <is>
          <t>Marshall Land Systems Ltd.</t>
        </is>
      </c>
      <c r="E75" s="353" t="inlineStr">
        <is>
          <t>Flowing River Capital</t>
        </is>
      </c>
      <c r="F75" s="353" t="inlineStr">
        <is>
          <t>United Kingdom</t>
        </is>
      </c>
      <c r="G75" s="353" t="inlineStr">
        <is>
          <t>Marshall Group</t>
        </is>
      </c>
      <c r="H75" s="403" t="n">
        <v>45985</v>
      </c>
      <c r="I75" s="403" t="n">
        <v>45985</v>
      </c>
      <c r="J75" s="404">
        <f>IFERROR(YEAR(I75),IFERROR(VALUE(LEFT(I75,4)),""))</f>
        <v/>
      </c>
      <c r="K75" s="353" t="inlineStr">
        <is>
          <t>M&amp;A</t>
        </is>
      </c>
      <c r="L75" s="353" t="inlineStr">
        <is>
          <t>Full acquisition</t>
        </is>
      </c>
      <c r="M75" s="353" t="inlineStr">
        <is>
          <t>100%</t>
        </is>
      </c>
      <c r="N75" s="353" t="inlineStr">
        <is>
          <t>Completed</t>
        </is>
      </c>
      <c r="O75" s="405" t="inlineStr">
        <is>
          <t>Not disclosed</t>
        </is>
      </c>
      <c r="P75" s="353" t="inlineStr">
        <is>
          <t>Not disclosed</t>
        </is>
      </c>
      <c r="Q75" s="406" t="inlineStr">
        <is>
          <t>Not disclosed</t>
        </is>
      </c>
      <c r="R75" s="353" t="inlineStr">
        <is>
          <t>Not publicly disclosed</t>
        </is>
      </c>
      <c r="S75" s="353" t="inlineStr">
        <is>
          <t>Hardware / Services</t>
        </is>
      </c>
      <c r="T75" s="353" t="inlineStr">
        <is>
          <t>Land Systems &amp; Military Vehicles</t>
        </is>
      </c>
      <c r="U75" s="353" t="inlineStr">
        <is>
          <t>Core A&amp;D</t>
        </is>
      </c>
      <c r="V75" s="353" t="inlineStr">
        <is>
          <t>Marshall Land Systems develops deployable military infrastructure and vehicle-integration systems.</t>
        </is>
      </c>
      <c r="W75" s="353" t="inlineStr">
        <is>
          <t>Flowing River Capital completed its acquisition of Marshall Land Systems Ltd. from Marshall Group on 2025-11-24. Ownership acquired: 100%. Not publicly disclosed</t>
        </is>
      </c>
      <c r="X75" s="353" t="inlineStr">
        <is>
          <t>Not independently verified</t>
        </is>
      </c>
      <c r="Y75" s="353" t="inlineStr">
        <is>
          <t>Verified — primary source</t>
        </is>
      </c>
      <c r="Z75" s="353" t="inlineStr">
        <is>
          <t>https://marshallgroup.com/en/news-stories/acquisition-of-marshall-land-systems-by-flowing-river-capital</t>
        </is>
      </c>
      <c r="AA75" s="353" t="inlineStr">
        <is>
          <t>None used</t>
        </is>
      </c>
      <c r="AB75" s="353" t="inlineStr">
        <is>
          <t>Confirmed omission from the original Europe 2025 section.</t>
        </is>
      </c>
    </row>
    <row r="76" ht="45" customHeight="1">
      <c r="A76" s="353" t="inlineStr">
        <is>
          <t>EUR-075</t>
        </is>
      </c>
      <c r="B76" s="353" t="inlineStr">
        <is>
          <t>Europe</t>
        </is>
      </c>
      <c r="C76" s="353" t="inlineStr">
        <is>
          <t>United Kingdom</t>
        </is>
      </c>
      <c r="D76" s="353" t="inlineStr">
        <is>
          <t>MARSS interceptor-drone business</t>
        </is>
      </c>
      <c r="E76" s="353" t="inlineStr">
        <is>
          <t>Electro Optic Systems Holdings Ltd.</t>
        </is>
      </c>
      <c r="F76" s="353" t="inlineStr">
        <is>
          <t>Australia</t>
        </is>
      </c>
      <c r="G76" s="353" t="inlineStr">
        <is>
          <t>MARSS Group</t>
        </is>
      </c>
      <c r="H76" s="403" t="n">
        <v>45980</v>
      </c>
      <c r="I76" s="403" t="n">
        <v>45987</v>
      </c>
      <c r="J76" s="404">
        <f>IFERROR(YEAR(I76),IFERROR(VALUE(LEFT(I76,4)),""))</f>
        <v/>
      </c>
      <c r="K76" s="353" t="inlineStr">
        <is>
          <t>M&amp;A</t>
        </is>
      </c>
      <c r="L76" s="353" t="inlineStr">
        <is>
          <t>Identifiable operating-business acquisition</t>
        </is>
      </c>
      <c r="M76" s="353" t="inlineStr">
        <is>
          <t>Interceptor-drone business and associated capability</t>
        </is>
      </c>
      <c r="N76" s="353" t="inlineStr">
        <is>
          <t>Completed</t>
        </is>
      </c>
      <c r="O76" s="405" t="n">
        <v>5.5</v>
      </c>
      <c r="P76" s="353" t="inlineStr">
        <is>
          <t>EUR</t>
        </is>
      </c>
      <c r="Q76" s="406" t="inlineStr">
        <is>
          <t>Not disclosed</t>
        </is>
      </c>
      <c r="R76" s="353" t="inlineStr">
        <is>
          <t>Purchase consideration</t>
        </is>
      </c>
      <c r="S76" s="353" t="inlineStr">
        <is>
          <t>Hardware</t>
        </is>
      </c>
      <c r="T76" s="353" t="inlineStr">
        <is>
          <t>UAVs &amp; Autonomous Systems</t>
        </is>
      </c>
      <c r="U76" s="353" t="inlineStr">
        <is>
          <t>Core A&amp;D</t>
        </is>
      </c>
      <c r="V76" s="353" t="inlineStr">
        <is>
          <t>The acquired business develops counter-UAS interceptor-drone technology.</t>
        </is>
      </c>
      <c r="W76" s="353" t="inlineStr">
        <is>
          <t>Electro Optic Systems Holdings Ltd. completed its acquisition of MARSS interceptor-drone business from MARSS Group on 2025-11-26. Ownership acquired: Interceptor-drone business and associated capability. Purchase consideration</t>
        </is>
      </c>
      <c r="X76" s="353" t="inlineStr">
        <is>
          <t>Not independently verified</t>
        </is>
      </c>
      <c r="Y76" s="353" t="inlineStr">
        <is>
          <t>Verified — primary source</t>
        </is>
      </c>
      <c r="Z76" s="353" t="inlineStr">
        <is>
          <t>https://eos-aus.com/news/acquisition-of-new-interceptor-capability/</t>
        </is>
      </c>
      <c r="AA76" s="353" t="inlineStr">
        <is>
          <t>https://investorpa.com/announcement-pdf/20260417/282187.pdf</t>
        </is>
      </c>
      <c r="AB76" s="353" t="inlineStr">
        <is>
          <t>Retain; distinguish the 19 November agreement from 26 November completion.</t>
        </is>
      </c>
    </row>
    <row r="77" ht="45" customHeight="1">
      <c r="A77" s="353" t="inlineStr">
        <is>
          <t>EUR-076</t>
        </is>
      </c>
      <c r="B77" s="353" t="inlineStr">
        <is>
          <t>Europe</t>
        </is>
      </c>
      <c r="C77" s="353" t="inlineStr">
        <is>
          <t>United Kingdom</t>
        </is>
      </c>
      <c r="D77" s="353" t="inlineStr">
        <is>
          <t>Operational Solutions Ltd. (OSL Technology)</t>
        </is>
      </c>
      <c r="E77" s="353" t="inlineStr">
        <is>
          <t>Terma A/S</t>
        </is>
      </c>
      <c r="F77" s="353" t="inlineStr">
        <is>
          <t>Denmark</t>
        </is>
      </c>
      <c r="G77" s="353" t="inlineStr">
        <is>
          <t>Not disclosed</t>
        </is>
      </c>
      <c r="H77" s="403" t="n">
        <v>45988</v>
      </c>
      <c r="I77" s="403" t="n">
        <v>45988</v>
      </c>
      <c r="J77" s="404">
        <f>IFERROR(YEAR(I77),IFERROR(VALUE(LEFT(I77,4)),""))</f>
        <v/>
      </c>
      <c r="K77" s="353" t="inlineStr">
        <is>
          <t>M&amp;A</t>
        </is>
      </c>
      <c r="L77" s="353" t="inlineStr">
        <is>
          <t>Full acquisition</t>
        </is>
      </c>
      <c r="M77" s="353" t="inlineStr">
        <is>
          <t>100%</t>
        </is>
      </c>
      <c r="N77" s="353" t="inlineStr">
        <is>
          <t>Completed</t>
        </is>
      </c>
      <c r="O77" s="405" t="inlineStr">
        <is>
          <t>Not disclosed</t>
        </is>
      </c>
      <c r="P77" s="353" t="inlineStr">
        <is>
          <t>Not disclosed</t>
        </is>
      </c>
      <c r="Q77" s="406" t="inlineStr">
        <is>
          <t>Not disclosed</t>
        </is>
      </c>
      <c r="R77" s="353" t="inlineStr">
        <is>
          <t>Not publicly disclosed</t>
        </is>
      </c>
      <c r="S77" s="353" t="inlineStr">
        <is>
          <t>Software / Services</t>
        </is>
      </c>
      <c r="T77" s="353" t="inlineStr">
        <is>
          <t>UAVs &amp; Autonomous Systems</t>
        </is>
      </c>
      <c r="U77" s="353" t="inlineStr">
        <is>
          <t>Core A&amp;D</t>
        </is>
      </c>
      <c r="V77" s="353" t="inlineStr">
        <is>
          <t>OSL develops counter-UAS command, sensor-fusion and AI-enabled protection technology.</t>
        </is>
      </c>
      <c r="W77" s="353" t="inlineStr">
        <is>
          <t>Terma A/S completed its acquisition of Operational Solutions Ltd. (OSL Technology) on 2025-11-27. Ownership acquired: 100%. Not publicly disclosed</t>
        </is>
      </c>
      <c r="X77" s="353" t="inlineStr">
        <is>
          <t>Not independently verified</t>
        </is>
      </c>
      <c r="Y77" s="353" t="inlineStr">
        <is>
          <t>Verified — primary source</t>
        </is>
      </c>
      <c r="Z77" s="353" t="inlineStr">
        <is>
          <t>https://www.terma.com/news-events/news/news-archive/2025/terma-acquires-osl-technology-powering-a-market-leading-counter-uas-and-critical-infrastructure-protection-capability/</t>
        </is>
      </c>
      <c r="AA77" s="353" t="inlineStr">
        <is>
          <t>None used</t>
        </is>
      </c>
      <c r="AB77" s="353" t="inlineStr">
        <is>
          <t>Confirmed omission from the original Europe 2025 section.</t>
        </is>
      </c>
    </row>
    <row r="78" ht="45" customHeight="1">
      <c r="A78" s="353" t="inlineStr">
        <is>
          <t>EUR-077</t>
        </is>
      </c>
      <c r="B78" s="353" t="inlineStr">
        <is>
          <t>Europe</t>
        </is>
      </c>
      <c r="C78" s="353" t="inlineStr">
        <is>
          <t>United Kingdom</t>
        </is>
      </c>
      <c r="D78" s="353" t="inlineStr">
        <is>
          <t>Spirit AeroSystems Belfast and Prestwick operations</t>
        </is>
      </c>
      <c r="E78" s="353" t="inlineStr">
        <is>
          <t>Airbus SE</t>
        </is>
      </c>
      <c r="F78" s="353" t="inlineStr">
        <is>
          <t>Netherlands</t>
        </is>
      </c>
      <c r="G78" s="353" t="inlineStr">
        <is>
          <t>Spirit AeroSystems Holdings, Inc.</t>
        </is>
      </c>
      <c r="H78" s="403" t="n">
        <v>45775</v>
      </c>
      <c r="I78" s="403" t="n">
        <v>45999</v>
      </c>
      <c r="J78" s="404">
        <f>IFERROR(YEAR(I78),IFERROR(VALUE(LEFT(I78,4)),""))</f>
        <v/>
      </c>
      <c r="K78" s="353" t="inlineStr">
        <is>
          <t>M&amp;A</t>
        </is>
      </c>
      <c r="L78" s="353" t="inlineStr">
        <is>
          <t>Carve-out</t>
        </is>
      </c>
      <c r="M78" s="353" t="inlineStr">
        <is>
          <t>100% of the acquired European sites</t>
        </is>
      </c>
      <c r="N78" s="353" t="inlineStr">
        <is>
          <t>Completed</t>
        </is>
      </c>
      <c r="O78" s="405" t="inlineStr">
        <is>
          <t>Not disclosed</t>
        </is>
      </c>
      <c r="P78" s="353" t="inlineStr">
        <is>
          <t>Not disclosed</t>
        </is>
      </c>
      <c r="Q78" s="406" t="inlineStr">
        <is>
          <t>Not disclosed</t>
        </is>
      </c>
      <c r="R78" s="353" t="inlineStr">
        <is>
          <t>No purchase price was paid by Airbus. Airbus received compensation of USD 439m from Spirit AeroSystems, subject to purchase price adjustments and customary post-closing review.</t>
        </is>
      </c>
      <c r="S78" s="353" t="inlineStr">
        <is>
          <t>Hardware</t>
        </is>
      </c>
      <c r="T78" s="353" t="inlineStr">
        <is>
          <t>Aerospace Platforms &amp; Components</t>
        </is>
      </c>
      <c r="U78" s="353" t="inlineStr">
        <is>
          <t>Core A&amp;D</t>
        </is>
      </c>
      <c r="V78" s="353" t="inlineStr">
        <is>
          <t>Aerostructures. Belfast produces A220 wings and mid-fuselage sections; Prestwick produces wing components for the A320 and A350. Both sites work exclusively on Airbus commercial aircraft programmes.</t>
        </is>
      </c>
      <c r="W78" s="353" t="inlineStr">
        <is>
          <t>Airbus completed the acquisition of Spirit AeroSystems’ Belfast (A220 wings and mid-fuselage) and Prestwick (A320/A350 wing components) operations on 2025-12-08, alongside the Kinston, North Carolina site. Over 4,000 employees transferred across the acquired sites. Airbus received compensation of USD 439m.</t>
        </is>
      </c>
      <c r="X78" s="353" t="inlineStr">
        <is>
          <t>https://www.airbus.com</t>
        </is>
      </c>
      <c r="Y78" s="353" t="inlineStr">
        <is>
          <t>Verified — primary source</t>
        </is>
      </c>
      <c r="Z78" s="353" t="inlineStr">
        <is>
          <t>https://www.airbus.com/en/newsroom/press-releases/2025-12-airbus-completes-acquisition-of-spirit-aerosystems-sites</t>
        </is>
      </c>
      <c r="AA78" s="353" t="inlineStr">
        <is>
          <t>https://www.airbus.com/en/newsroom/press-releases/2025-04-airbus-signs-definitive-agreement-with-spirit-aerosystems</t>
        </is>
      </c>
      <c r="AB78" s="353" t="inlineStr">
        <is>
          <t>ADDED 2026-08-02: absent from the original workbook and from the audit log. Passes the strict tests — UK operating sites, aerostructures as sole business, carve-out of an identifiable operating business completed inside the window. Only the European sites are recorded; the Kinston, NC site is out of scope.</t>
        </is>
      </c>
    </row>
    <row r="79" ht="45" customHeight="1">
      <c r="A79" s="353" t="inlineStr">
        <is>
          <t>EUR-078</t>
        </is>
      </c>
      <c r="B79" s="353" t="inlineStr">
        <is>
          <t>Europe</t>
        </is>
      </c>
      <c r="C79" s="353" t="inlineStr">
        <is>
          <t>Sweden</t>
        </is>
      </c>
      <c r="D79" s="353" t="inlineStr">
        <is>
          <t>Argo Defence Group AB</t>
        </is>
      </c>
      <c r="E79" s="353" t="inlineStr">
        <is>
          <t>Public market investors</t>
        </is>
      </c>
      <c r="F79" s="353" t="inlineStr">
        <is>
          <t>N/A — IPO</t>
        </is>
      </c>
      <c r="G79" s="353" t="inlineStr">
        <is>
          <t>N/A — IPO</t>
        </is>
      </c>
      <c r="H79" s="403" t="n">
        <v>46007</v>
      </c>
      <c r="I79" s="403" t="n">
        <v>46007</v>
      </c>
      <c r="J79" s="404">
        <f>IFERROR(YEAR(I79),IFERROR(VALUE(LEFT(I79,4)),""))</f>
        <v/>
      </c>
      <c r="K79" s="353" t="inlineStr">
        <is>
          <t>IPO</t>
        </is>
      </c>
      <c r="L79" s="353" t="inlineStr">
        <is>
          <t>NGM admission and primary share offering</t>
        </is>
      </c>
      <c r="M79" s="353" t="inlineStr">
        <is>
          <t>Public listing; 4,117,647 shares offered</t>
        </is>
      </c>
      <c r="N79" s="353" t="inlineStr">
        <is>
          <t>Completed</t>
        </is>
      </c>
      <c r="O79" s="405" t="n">
        <v>70</v>
      </c>
      <c r="P79" s="353" t="inlineStr">
        <is>
          <t>SEK</t>
        </is>
      </c>
      <c r="Q79" s="406" t="inlineStr">
        <is>
          <t>Not disclosed</t>
        </is>
      </c>
      <c r="R79" s="353" t="inlineStr">
        <is>
          <t>Gross offering proceeds</t>
        </is>
      </c>
      <c r="S79" s="353" t="inlineStr">
        <is>
          <t>Hardware</t>
        </is>
      </c>
      <c r="T79" s="353" t="inlineStr">
        <is>
          <t>Ammunition &amp; Weapons</t>
        </is>
      </c>
      <c r="U79" s="353" t="inlineStr">
        <is>
          <t>Core A&amp;D</t>
        </is>
      </c>
      <c r="V79" s="353" t="inlineStr">
        <is>
          <t>Argo is a defence-industry group focused on defence products, technology and services.</t>
        </is>
      </c>
      <c r="W79" s="353" t="inlineStr">
        <is>
          <t>Argo Defence Group AB completed its initial public offering and public-market admission on 2025-12-16. Gross offering proceeds</t>
        </is>
      </c>
      <c r="X79" s="353" t="inlineStr">
        <is>
          <t>Not independently verified</t>
        </is>
      </c>
      <c r="Y79" s="353" t="inlineStr">
        <is>
          <t>Verified — primary source</t>
        </is>
      </c>
      <c r="Z79" s="353" t="inlineStr">
        <is>
          <t>https://news.cision.com/ngm-market-notice/r/25-120-argo-defence-group-ab-approved-for-listing-at-ngm%2Cc4281296</t>
        </is>
      </c>
      <c r="AA79" s="353" t="inlineStr">
        <is>
          <t>https://argodefence.se/wp-content/uploads/2025/12/Argo-Defence-Group-AB-publ-Information-memorandum-1.pdf</t>
        </is>
      </c>
      <c r="AB79" s="353" t="inlineStr">
        <is>
          <t>Retain; use source-native SEK proceeds.</t>
        </is>
      </c>
    </row>
    <row r="80" ht="45" customHeight="1">
      <c r="A80" s="353" t="inlineStr">
        <is>
          <t>EUR-079</t>
        </is>
      </c>
      <c r="B80" s="353" t="inlineStr">
        <is>
          <t>Europe</t>
        </is>
      </c>
      <c r="C80" s="353" t="inlineStr">
        <is>
          <t>France</t>
        </is>
      </c>
      <c r="D80" s="353" t="inlineStr">
        <is>
          <t>LMB Fans &amp; Motors</t>
        </is>
      </c>
      <c r="E80" s="353" t="inlineStr">
        <is>
          <t>Loar Holdings Inc.</t>
        </is>
      </c>
      <c r="F80" s="353" t="inlineStr">
        <is>
          <t>United States</t>
        </is>
      </c>
      <c r="G80" s="353" t="inlineStr">
        <is>
          <t>Not disclosed</t>
        </is>
      </c>
      <c r="H80" s="403" t="n">
        <v>46017</v>
      </c>
      <c r="I80" s="403" t="n">
        <v>46014</v>
      </c>
      <c r="J80" s="404">
        <f>IFERROR(YEAR(I80),IFERROR(VALUE(LEFT(I80,4)),""))</f>
        <v/>
      </c>
      <c r="K80" s="353" t="inlineStr">
        <is>
          <t>M&amp;A</t>
        </is>
      </c>
      <c r="L80" s="353" t="inlineStr">
        <is>
          <t>Full acquisition</t>
        </is>
      </c>
      <c r="M80" s="353" t="inlineStr">
        <is>
          <t>100%</t>
        </is>
      </c>
      <c r="N80" s="353" t="inlineStr">
        <is>
          <t>Completed</t>
        </is>
      </c>
      <c r="O80" s="405" t="n">
        <v>367</v>
      </c>
      <c r="P80" s="353" t="inlineStr">
        <is>
          <t>EUR</t>
        </is>
      </c>
      <c r="Q80" s="406" t="inlineStr">
        <is>
          <t>Not disclosed</t>
        </is>
      </c>
      <c r="R80" s="353" t="inlineStr">
        <is>
          <t>Cash consideration plus assumed debt</t>
        </is>
      </c>
      <c r="S80" s="353" t="inlineStr">
        <is>
          <t>Hardware</t>
        </is>
      </c>
      <c r="T80" s="353" t="inlineStr">
        <is>
          <t>Power, Propulsion &amp; Energy</t>
        </is>
      </c>
      <c r="U80" s="353" t="inlineStr">
        <is>
          <t>Core A&amp;D</t>
        </is>
      </c>
      <c r="V80" s="353" t="inlineStr">
        <is>
          <t>LMB designs and manufactures fans and motors for civil and military aircraft.</t>
        </is>
      </c>
      <c r="W80" s="353" t="inlineStr">
        <is>
          <t>Loar Holdings Inc. completed its acquisition of LMB Fans &amp; Motors on 2025-12-23. Ownership acquired: 100%. Cash consideration plus assumed debt</t>
        </is>
      </c>
      <c r="X80" s="353" t="inlineStr">
        <is>
          <t>Not independently verified</t>
        </is>
      </c>
      <c r="Y80" s="353" t="inlineStr">
        <is>
          <t>Verified — primary source</t>
        </is>
      </c>
      <c r="Z80" s="353" t="inlineStr">
        <is>
          <t>https://ir.loargroup.com/sec-filings/all-sec-filings/content/0001193125-25-332267/ck0002000178-20251223.htm</t>
        </is>
      </c>
      <c r="AA80" s="353" t="inlineStr">
        <is>
          <t>https://ir.loargroup.com/sec-filings/all-sec-filings/content/0001193125-25-332267/ck0002000178-ex99.htm</t>
        </is>
      </c>
      <c r="AB80" s="353" t="inlineStr">
        <is>
          <t>Correct completion from the 26 December press date to 23 December 2025.</t>
        </is>
      </c>
    </row>
    <row r="81" ht="45" customHeight="1">
      <c r="A81" s="353" t="inlineStr">
        <is>
          <t>EUR-080</t>
        </is>
      </c>
      <c r="B81" s="353" t="inlineStr">
        <is>
          <t>Europe</t>
        </is>
      </c>
      <c r="C81" s="353" t="inlineStr">
        <is>
          <t>Spain</t>
        </is>
      </c>
      <c r="D81" s="353" t="inlineStr">
        <is>
          <t>Hispasat S.A.</t>
        </is>
      </c>
      <c r="E81" s="353" t="inlineStr">
        <is>
          <t>Indra Sistemas S.A.</t>
        </is>
      </c>
      <c r="F81" s="353" t="inlineStr">
        <is>
          <t>Spain</t>
        </is>
      </c>
      <c r="G81" s="353" t="inlineStr">
        <is>
          <t>Redeia Corporación S.A.</t>
        </is>
      </c>
      <c r="H81" s="403" t="inlineStr">
        <is>
          <t>Not disclosed</t>
        </is>
      </c>
      <c r="I81" s="403" t="n">
        <v>46021</v>
      </c>
      <c r="J81" s="404">
        <f>IFERROR(YEAR(I81),IFERROR(VALUE(LEFT(I81,4)),""))</f>
        <v/>
      </c>
      <c r="K81" s="353" t="inlineStr">
        <is>
          <t>M&amp;A</t>
        </is>
      </c>
      <c r="L81" s="353" t="inlineStr">
        <is>
          <t>Majority control acquisition</t>
        </is>
      </c>
      <c r="M81" s="353" t="inlineStr">
        <is>
          <t>89.68%</t>
        </is>
      </c>
      <c r="N81" s="353" t="inlineStr">
        <is>
          <t>Completed</t>
        </is>
      </c>
      <c r="O81" s="405" t="n">
        <v>725</v>
      </c>
      <c r="P81" s="353" t="inlineStr">
        <is>
          <t>EUR</t>
        </is>
      </c>
      <c r="Q81" s="406" t="inlineStr">
        <is>
          <t>Not disclosed</t>
        </is>
      </c>
      <c r="R81" s="353" t="inlineStr">
        <is>
          <t>Purchase consideration for 89.68% stake</t>
        </is>
      </c>
      <c r="S81" s="353" t="inlineStr">
        <is>
          <t>Services</t>
        </is>
      </c>
      <c r="T81" s="353" t="inlineStr">
        <is>
          <t>Space &amp; Satellite Systems</t>
        </is>
      </c>
      <c r="U81" s="353" t="inlineStr">
        <is>
          <t>Core A&amp;D</t>
        </is>
      </c>
      <c r="V81" s="353" t="inlineStr">
        <is>
          <t>Hispasat is a European satellite operator and secure space-communications company, including strategic government/defence capabilities.</t>
        </is>
      </c>
      <c r="W81" s="353" t="inlineStr">
        <is>
          <t>Indra Sistemas S.A. completed its acquisition of Hispasat S.A. from Redeia Corporación S.A. on 2025-12-30. Ownership acquired: 89.68%. Purchase consideration for 89.68% stake</t>
        </is>
      </c>
      <c r="X81" s="353" t="inlineStr">
        <is>
          <t>Not independently verified</t>
        </is>
      </c>
      <c r="Y81" s="353" t="inlineStr">
        <is>
          <t>Verified — primary source</t>
        </is>
      </c>
      <c r="Z81" s="353" t="inlineStr">
        <is>
          <t>https://www.indragroup.com/es/noticias/indra-group-se-convierte-en-referente-europeo-en-espacio-cierra-la-adquisicion-del-8968-de-hispasat-y-alcanza-una-participacion-mayoritaria-en-hisdesat</t>
        </is>
      </c>
      <c r="AA81" s="353" t="inlineStr">
        <is>
          <t>https://www.indragroup.com/en/news/indra-group-extraordinary-general-shareholders-meeting-approves-the-purchase-of-the-8968-of-hispasat</t>
        </is>
      </c>
      <c r="AB81" s="353" t="inlineStr">
        <is>
          <t>Confirmed omission from the original Europe 2025 section.</t>
        </is>
      </c>
    </row>
    <row r="82" ht="45" customHeight="1">
      <c r="A82" s="353" t="inlineStr">
        <is>
          <t>EUR-081</t>
        </is>
      </c>
      <c r="B82" s="353" t="inlineStr">
        <is>
          <t>Europe</t>
        </is>
      </c>
      <c r="C82" s="353" t="inlineStr">
        <is>
          <t>Sweden</t>
        </is>
      </c>
      <c r="D82" s="353" t="inlineStr">
        <is>
          <t>Granit Teknikbyrå</t>
        </is>
      </c>
      <c r="E82" s="353" t="inlineStr">
        <is>
          <t>EmbeddedArt Group</t>
        </is>
      </c>
      <c r="F82" s="353" t="inlineStr">
        <is>
          <t>Sweden</t>
        </is>
      </c>
      <c r="G82" s="353" t="inlineStr">
        <is>
          <t>Not disclosed</t>
        </is>
      </c>
      <c r="H82" s="403" t="inlineStr">
        <is>
          <t>Not disclosed</t>
        </is>
      </c>
      <c r="I82" s="403" t="n">
        <v>46023</v>
      </c>
      <c r="J82" s="404">
        <f>IFERROR(YEAR(I82),IFERROR(VALUE(LEFT(I82,4)),""))</f>
        <v/>
      </c>
      <c r="K82" s="353" t="inlineStr">
        <is>
          <t>M&amp;A</t>
        </is>
      </c>
      <c r="L82" s="353" t="inlineStr">
        <is>
          <t>Full Acquisition</t>
        </is>
      </c>
      <c r="M82" s="353" t="inlineStr">
        <is>
          <t>100%</t>
        </is>
      </c>
      <c r="N82" s="353" t="inlineStr">
        <is>
          <t>Completed</t>
        </is>
      </c>
      <c r="O82" s="405" t="n">
        <v>33</v>
      </c>
      <c r="P82" s="353" t="inlineStr">
        <is>
          <t>SEK</t>
        </is>
      </c>
      <c r="Q82" s="406" t="inlineStr">
        <is>
          <t>Not disclosed</t>
        </is>
      </c>
      <c r="R82" s="353" t="inlineStr">
        <is>
          <t>Purchase price, comprising cash and shares</t>
        </is>
      </c>
      <c r="S82" s="353" t="inlineStr">
        <is>
          <t>Services</t>
        </is>
      </c>
      <c r="T82" s="353" t="inlineStr">
        <is>
          <t>Defence Services &amp; Engineering</t>
        </is>
      </c>
      <c r="U82" s="353" t="inlineStr">
        <is>
          <t>Core A&amp;D</t>
        </is>
      </c>
      <c r="V82" s="353" t="inlineStr">
        <is>
          <t>Defence Services &amp; Engineering. Provider of technical consultancy and support services catering to the defense sector. The company offers services in integrated logistics support (ILS), system-safety analysis, CE-marking, technical documentation and lifecycle support for technical systems.</t>
        </is>
      </c>
      <c r="W82" s="353" t="inlineStr">
        <is>
          <t>EmbeddedArt Group completed its acquisition of Granit Teknikbyrå on 2026-01-01. Ownership acquired: 100%. Purchase price, comprising cash and shares</t>
        </is>
      </c>
      <c r="X82" s="353" t="inlineStr">
        <is>
          <t>Not independently verified</t>
        </is>
      </c>
      <c r="Y82" s="353" t="inlineStr">
        <is>
          <t>Verified — primary source</t>
        </is>
      </c>
      <c r="Z82" s="353" t="inlineStr">
        <is>
          <t>https://www.embeddedart.se/nyheter</t>
        </is>
      </c>
      <c r="AA82" s="353" t="inlineStr">
        <is>
          <t>None used</t>
        </is>
      </c>
      <c r="AB82" s="353" t="inlineStr">
        <is>
          <t>Retain under strict scope; completed transaction and primary A&amp;D focus are supported by the cited source.</t>
        </is>
      </c>
    </row>
    <row r="83" ht="45" customHeight="1">
      <c r="A83" s="353" t="inlineStr">
        <is>
          <t>EUR-082</t>
        </is>
      </c>
      <c r="B83" s="353" t="inlineStr">
        <is>
          <t>Europe</t>
        </is>
      </c>
      <c r="C83" s="353" t="inlineStr">
        <is>
          <t>Switzerland</t>
        </is>
      </c>
      <c r="D83" s="353" t="inlineStr">
        <is>
          <t>Daedalean AG</t>
        </is>
      </c>
      <c r="E83" s="353" t="inlineStr">
        <is>
          <t>Destinus Group</t>
        </is>
      </c>
      <c r="F83" s="353" t="inlineStr">
        <is>
          <t>Netherlands</t>
        </is>
      </c>
      <c r="G83" s="353" t="inlineStr">
        <is>
          <t>Daedalean shareholders</t>
        </is>
      </c>
      <c r="H83" s="403" t="inlineStr">
        <is>
          <t>Not disclosed</t>
        </is>
      </c>
      <c r="I83" s="403" t="n">
        <v>46027</v>
      </c>
      <c r="J83" s="404">
        <f>IFERROR(YEAR(I83),IFERROR(VALUE(LEFT(I83,4)),""))</f>
        <v/>
      </c>
      <c r="K83" s="353" t="inlineStr">
        <is>
          <t>M&amp;A</t>
        </is>
      </c>
      <c r="L83" s="353" t="inlineStr">
        <is>
          <t>Full Acquisition</t>
        </is>
      </c>
      <c r="M83" s="353" t="inlineStr">
        <is>
          <t>100%</t>
        </is>
      </c>
      <c r="N83" s="353" t="inlineStr">
        <is>
          <t>Completed</t>
        </is>
      </c>
      <c r="O83" s="405" t="n">
        <v>180</v>
      </c>
      <c r="P83" s="353" t="inlineStr">
        <is>
          <t>CHF</t>
        </is>
      </c>
      <c r="Q83" s="406" t="n">
        <v>225</v>
      </c>
      <c r="R83" s="353" t="inlineStr">
        <is>
          <t>Transaction value; issuer stated approximately USD 225m</t>
        </is>
      </c>
      <c r="S83" s="353" t="inlineStr">
        <is>
          <t>Hardware / Software</t>
        </is>
      </c>
      <c r="T83" s="353" t="inlineStr">
        <is>
          <t>UAVs &amp; Autonomous Systems</t>
        </is>
      </c>
      <c r="U83" s="353" t="inlineStr">
        <is>
          <t>Core A&amp;D</t>
        </is>
      </c>
      <c r="V83" s="353" t="inlineStr">
        <is>
          <t>Avionics / Autonomous Flight. Develops certifiable AI avionics, computer-vision and autonomous-flight systems for defense and civil aircraft.</t>
        </is>
      </c>
      <c r="W83" s="353" t="inlineStr">
        <is>
          <t>Destinus Group completed its acquisition of Daedalean AG from Daedalean shareholders on 2026-01-05. Ownership acquired: 100%. Transaction value; issuer stated approximately USD 225m</t>
        </is>
      </c>
      <c r="X83" s="353" t="inlineStr">
        <is>
          <t>Not independently verified</t>
        </is>
      </c>
      <c r="Y83" s="353" t="inlineStr">
        <is>
          <t>Verified — primary source</t>
        </is>
      </c>
      <c r="Z83" s="353" t="inlineStr">
        <is>
          <t>https://www.prnewswire.com/news-releases/destinus-completes-acquisition-of-daedalean-accelerating-next-generation-ai-for-defense-and-civil-aviation-302652183.html</t>
        </is>
      </c>
      <c r="AA83" s="353" t="inlineStr">
        <is>
          <t>None used</t>
        </is>
      </c>
      <c r="AB83" s="353" t="inlineStr">
        <is>
          <t>Retain under strict scope; completed transaction and primary aerospace-technology focus are supported by the cited source.</t>
        </is>
      </c>
    </row>
    <row r="84" ht="45" customHeight="1">
      <c r="A84" s="353" t="inlineStr">
        <is>
          <t>EUR-083</t>
        </is>
      </c>
      <c r="B84" s="353" t="inlineStr">
        <is>
          <t>Europe</t>
        </is>
      </c>
      <c r="C84" s="353" t="inlineStr">
        <is>
          <t>Germany</t>
        </is>
      </c>
      <c r="D84" s="353" t="inlineStr">
        <is>
          <t>Kappa Optronics</t>
        </is>
      </c>
      <c r="E84" s="353" t="inlineStr">
        <is>
          <t>THEON International</t>
        </is>
      </c>
      <c r="F84" s="353" t="inlineStr">
        <is>
          <t>Cyprus</t>
        </is>
      </c>
      <c r="G84" s="353" t="inlineStr">
        <is>
          <t>Not disclosed</t>
        </is>
      </c>
      <c r="H84" s="403" t="inlineStr">
        <is>
          <t>Not disclosed</t>
        </is>
      </c>
      <c r="I84" s="403" t="n">
        <v>46036</v>
      </c>
      <c r="J84" s="404">
        <f>IFERROR(YEAR(I84),IFERROR(VALUE(LEFT(I84,4)),""))</f>
        <v/>
      </c>
      <c r="K84" s="353" t="inlineStr">
        <is>
          <t>M&amp;A</t>
        </is>
      </c>
      <c r="L84" s="353" t="inlineStr">
        <is>
          <t>Full Acquisition</t>
        </is>
      </c>
      <c r="M84" s="353" t="inlineStr">
        <is>
          <t>100%</t>
        </is>
      </c>
      <c r="N84" s="353" t="inlineStr">
        <is>
          <t>Completed</t>
        </is>
      </c>
      <c r="O84" s="405" t="n">
        <v>69.90000000000001</v>
      </c>
      <c r="P84" s="353" t="inlineStr">
        <is>
          <t>EUR</t>
        </is>
      </c>
      <c r="Q84" s="406" t="inlineStr">
        <is>
          <t>Not disclosed</t>
        </is>
      </c>
      <c r="R84" s="353" t="inlineStr">
        <is>
          <t>Cash purchase price</t>
        </is>
      </c>
      <c r="S84" s="353" t="inlineStr">
        <is>
          <t>Hardware / Software</t>
        </is>
      </c>
      <c r="T84" s="353" t="inlineStr">
        <is>
          <t>Defence Electronics &amp; Sensors</t>
        </is>
      </c>
      <c r="U84" s="353" t="inlineStr">
        <is>
          <t>Core A&amp;D</t>
        </is>
      </c>
      <c r="V84" s="353" t="inlineStr">
        <is>
          <t>Defence Electronics &amp; Sensors. Manufacturer of rugged industrial cameras, appliances and electronics intended for industrial, defense, aviation, microscopy, traffic and x-ray sectors. The company's optronics platform engineers and manufactures cameras following specific customer needs, including interfaces, programming, circuitry, software and housing, enabling its clients to use them for diverse imaging.</t>
        </is>
      </c>
      <c r="W84" s="353" t="inlineStr">
        <is>
          <t>THEON International completed its acquisition of Kappa Optronics on 2026-01-14. Ownership acquired: 100%. Cash purchase price</t>
        </is>
      </c>
      <c r="X84" s="353" t="inlineStr">
        <is>
          <t>Not independently verified</t>
        </is>
      </c>
      <c r="Y84" s="353" t="inlineStr">
        <is>
          <t>Verified — primary source</t>
        </is>
      </c>
      <c r="Z84" s="353" t="inlineStr">
        <is>
          <t>https://theon.com/en/news/2026/theon-corporate-updates-january-2026</t>
        </is>
      </c>
      <c r="AA84" s="353" t="inlineStr">
        <is>
          <t>None used</t>
        </is>
      </c>
      <c r="AB84" s="353" t="inlineStr">
        <is>
          <t>Retain under strict scope; completed transaction and primary A&amp;D focus are supported by the cited source.</t>
        </is>
      </c>
    </row>
    <row r="85" ht="45" customHeight="1">
      <c r="A85" s="353" t="inlineStr">
        <is>
          <t>EUR-084</t>
        </is>
      </c>
      <c r="B85" s="353" t="inlineStr">
        <is>
          <t>Europe</t>
        </is>
      </c>
      <c r="C85" s="353" t="inlineStr">
        <is>
          <t>United Kingdom</t>
        </is>
      </c>
      <c r="D85" s="353" t="inlineStr">
        <is>
          <t>UAV Tactical Systems Ltd (UTACS)</t>
        </is>
      </c>
      <c r="E85" s="353" t="inlineStr">
        <is>
          <t>Elbit Systems UK</t>
        </is>
      </c>
      <c r="F85" s="353" t="inlineStr">
        <is>
          <t>United Kingdom</t>
        </is>
      </c>
      <c r="G85" s="353" t="inlineStr">
        <is>
          <t>Thales UK</t>
        </is>
      </c>
      <c r="H85" s="403" t="inlineStr">
        <is>
          <t>Not disclosed</t>
        </is>
      </c>
      <c r="I85" s="403" t="n">
        <v>46044</v>
      </c>
      <c r="J85" s="404">
        <f>IFERROR(YEAR(I85),IFERROR(VALUE(LEFT(I85,4)),""))</f>
        <v/>
      </c>
      <c r="K85" s="353" t="inlineStr">
        <is>
          <t>M&amp;A</t>
        </is>
      </c>
      <c r="L85" s="353" t="inlineStr">
        <is>
          <t>Corporate Divestiture / Full Acquisition</t>
        </is>
      </c>
      <c r="M85" s="353" t="inlineStr">
        <is>
          <t>100%</t>
        </is>
      </c>
      <c r="N85" s="353" t="inlineStr">
        <is>
          <t>Completed</t>
        </is>
      </c>
      <c r="O85" s="405" t="inlineStr">
        <is>
          <t>Not disclosed</t>
        </is>
      </c>
      <c r="P85" s="353" t="inlineStr">
        <is>
          <t>Not disclosed</t>
        </is>
      </c>
      <c r="Q85" s="406" t="inlineStr">
        <is>
          <t>Not disclosed</t>
        </is>
      </c>
      <c r="R85" s="353" t="inlineStr">
        <is>
          <t>No transaction-specific consideration was verified from the cited primary source.</t>
        </is>
      </c>
      <c r="S85" s="353" t="inlineStr">
        <is>
          <t>Hardware / Software</t>
        </is>
      </c>
      <c r="T85" s="353" t="inlineStr">
        <is>
          <t>UAVs &amp; Autonomous Systems</t>
        </is>
      </c>
      <c r="U85" s="353" t="inlineStr">
        <is>
          <t>Core A&amp;D</t>
        </is>
      </c>
      <c r="V85" s="353" t="inlineStr">
        <is>
          <t>Unmanned Aircraft Systems. Designs, manufactures and supports tactical unmanned aircraft systems used for intelligence, surveillance and reconnaissance missions.</t>
        </is>
      </c>
      <c r="W85" s="353" t="inlineStr">
        <is>
          <t>Elbit Systems UK completed its acquisition of UAV Tactical Systems Ltd (UTACS) from Thales UK on 2026-01-22. Ownership acquired: 100%. No transaction-specific consideration was verified from the cited primary source.</t>
        </is>
      </c>
      <c r="X85" s="353" t="inlineStr">
        <is>
          <t>Not independently verified</t>
        </is>
      </c>
      <c r="Y85" s="353" t="inlineStr">
        <is>
          <t>Verified — primary source</t>
        </is>
      </c>
      <c r="Z85" s="353" t="inlineStr">
        <is>
          <t>https://www.elbitsystems.com/news/elbit-systems-expands-europe-full-acquisition-utacs</t>
        </is>
      </c>
      <c r="AA85" s="353" t="inlineStr">
        <is>
          <t>None used</t>
        </is>
      </c>
      <c r="AB85" s="353" t="inlineStr">
        <is>
          <t>Retain under strict scope; completed transaction and primary defence-UAS focus are supported by the cited source.</t>
        </is>
      </c>
    </row>
    <row r="86" ht="45" customHeight="1">
      <c r="A86" s="353" t="inlineStr">
        <is>
          <t>EUR-085</t>
        </is>
      </c>
      <c r="B86" s="353" t="inlineStr">
        <is>
          <t>Europe</t>
        </is>
      </c>
      <c r="C86" s="353" t="inlineStr">
        <is>
          <t>United Kingdom</t>
        </is>
      </c>
      <c r="D86" s="353" t="inlineStr">
        <is>
          <t>Burcas Limited</t>
        </is>
      </c>
      <c r="E86" s="353" t="inlineStr">
        <is>
          <t>Wright Industries</t>
        </is>
      </c>
      <c r="F86" s="353" t="inlineStr">
        <is>
          <t>United Kingdom</t>
        </is>
      </c>
      <c r="G86" s="353" t="inlineStr">
        <is>
          <t>Burcas shareholders</t>
        </is>
      </c>
      <c r="H86" s="403" t="inlineStr">
        <is>
          <t>Not disclosed</t>
        </is>
      </c>
      <c r="I86" s="403" t="n">
        <v>46045</v>
      </c>
      <c r="J86" s="404">
        <f>IFERROR(YEAR(I86),IFERROR(VALUE(LEFT(I86,4)),""))</f>
        <v/>
      </c>
      <c r="K86" s="353" t="inlineStr">
        <is>
          <t>M&amp;A</t>
        </is>
      </c>
      <c r="L86" s="353" t="inlineStr">
        <is>
          <t>Full acquisition</t>
        </is>
      </c>
      <c r="M86" s="353" t="inlineStr">
        <is>
          <t>100%</t>
        </is>
      </c>
      <c r="N86" s="353" t="inlineStr">
        <is>
          <t>Completed</t>
        </is>
      </c>
      <c r="O86" s="405" t="inlineStr">
        <is>
          <t>Not disclosed</t>
        </is>
      </c>
      <c r="P86" s="353" t="inlineStr">
        <is>
          <t>Not disclosed</t>
        </is>
      </c>
      <c r="Q86" s="406" t="inlineStr">
        <is>
          <t>Not disclosed</t>
        </is>
      </c>
      <c r="R86" s="353" t="inlineStr">
        <is>
          <t>No transaction-specific consideration was verified from the cited primary source.</t>
        </is>
      </c>
      <c r="S86" s="353" t="inlineStr">
        <is>
          <t>Hardware</t>
        </is>
      </c>
      <c r="T86" s="353" t="inlineStr">
        <is>
          <t>Aerospace Materials &amp; Components</t>
        </is>
      </c>
      <c r="U86" s="353" t="inlineStr">
        <is>
          <t>Core A&amp;D</t>
        </is>
      </c>
      <c r="V86" s="353" t="inlineStr">
        <is>
          <t>Precision Aerospace &amp; Defence Engineering. Precision engineering and complex component manufacturing for aerospace, defence and other demanding sectors.</t>
        </is>
      </c>
      <c r="W86" s="353" t="inlineStr">
        <is>
          <t>Wright Industries completed its acquisition of Burcas Limited from Burcas shareholders on 2026-01-23. Ownership acquired: 100%. No transaction-specific consideration was verified from the cited primary source.</t>
        </is>
      </c>
      <c r="X86" s="353" t="inlineStr">
        <is>
          <t>Not independently verified</t>
        </is>
      </c>
      <c r="Y86" s="353" t="inlineStr">
        <is>
          <t>Verified — primary source</t>
        </is>
      </c>
      <c r="Z86" s="353" t="inlineStr">
        <is>
          <t>https://www.wrightindustries.co.uk/about/news/burcas-ltd-acquisition/</t>
        </is>
      </c>
      <c r="AA86" s="353" t="inlineStr">
        <is>
          <t>None used</t>
        </is>
      </c>
      <c r="AB86" s="353" t="inlineStr">
        <is>
          <t>Retain under strict scope; completed transaction and primary A&amp;D focus are supported by the cited source.</t>
        </is>
      </c>
    </row>
    <row r="87" ht="45" customHeight="1">
      <c r="A87" s="353" t="inlineStr">
        <is>
          <t>EUR-086</t>
        </is>
      </c>
      <c r="B87" s="353" t="inlineStr">
        <is>
          <t>Europe</t>
        </is>
      </c>
      <c r="C87" s="353" t="inlineStr">
        <is>
          <t>Czech Republic</t>
        </is>
      </c>
      <c r="D87" s="353" t="inlineStr">
        <is>
          <t>Czechoslovak Group / CSG (AMS: CSG)</t>
        </is>
      </c>
      <c r="E87" s="353" t="inlineStr">
        <is>
          <t>Public market investors</t>
        </is>
      </c>
      <c r="F87" s="353" t="inlineStr">
        <is>
          <t>Public markets</t>
        </is>
      </c>
      <c r="G87" s="353" t="inlineStr">
        <is>
          <t>Issuer / selling shareholders</t>
        </is>
      </c>
      <c r="H87" s="403" t="inlineStr">
        <is>
          <t>Not disclosed</t>
        </is>
      </c>
      <c r="I87" s="403" t="n">
        <v>46045</v>
      </c>
      <c r="J87" s="404">
        <f>IFERROR(YEAR(I87),IFERROR(VALUE(LEFT(I87,4)),""))</f>
        <v/>
      </c>
      <c r="K87" s="353" t="inlineStr">
        <is>
          <t>IPO</t>
        </is>
      </c>
      <c r="L87" s="353" t="inlineStr">
        <is>
          <t>IPO</t>
        </is>
      </c>
      <c r="M87" s="353" t="inlineStr">
        <is>
          <t>IPO — public offering</t>
        </is>
      </c>
      <c r="N87" s="353" t="inlineStr">
        <is>
          <t>Completed</t>
        </is>
      </c>
      <c r="O87" s="405" t="n">
        <v>3800</v>
      </c>
      <c r="P87" s="353" t="inlineStr">
        <is>
          <t>EUR</t>
        </is>
      </c>
      <c r="Q87" s="406" t="inlineStr">
        <is>
          <t>Not disclosed</t>
        </is>
      </c>
      <c r="R87" s="353" t="inlineStr">
        <is>
          <t>IPO gross offer proceeds; separate EUR 25bn market capitalization</t>
        </is>
      </c>
      <c r="S87" s="353" t="inlineStr">
        <is>
          <t>Hardware</t>
        </is>
      </c>
      <c r="T87" s="353" t="inlineStr">
        <is>
          <t>Ammunition &amp; Weapons</t>
        </is>
      </c>
      <c r="U87" s="353" t="inlineStr">
        <is>
          <t>Core A&amp;D</t>
        </is>
      </c>
      <c r="V87" s="353" t="inlineStr">
        <is>
          <t>Ammunition &amp; Weapons. CSG NV is a defence group in terms of medium, large- and small-calibre ammunition sales based in Prague, Czech Republic, operating in Europe, the United States and in other regions including Asia Pacific. The company's business is divided into two segments: CSG Defence Systems and CSG Ammo.</t>
        </is>
      </c>
      <c r="W87" s="353" t="inlineStr">
        <is>
          <t>Czechoslovak Group / CSG (AMS: CSG) completed its initial public offering and public-market admission on 2026-01-23. IPO gross offer proceeds; separate EUR 25bn market capitalization</t>
        </is>
      </c>
      <c r="X87" s="353" t="inlineStr">
        <is>
          <t>Not independently verified</t>
        </is>
      </c>
      <c r="Y87" s="353" t="inlineStr">
        <is>
          <t>Verified — primary source</t>
        </is>
      </c>
      <c r="Z87" s="353" t="inlineStr">
        <is>
          <t>https://www.euronext.com/en/about/media/euronext-press-releases/czechoslovak-group-lists-euronext-0</t>
        </is>
      </c>
      <c r="AA87" s="353" t="inlineStr">
        <is>
          <t>None used</t>
        </is>
      </c>
      <c r="AB87" s="353" t="inlineStr">
        <is>
          <t>Retain under strict scope; completed transaction and primary A&amp;D focus are supported by the cited source.</t>
        </is>
      </c>
    </row>
    <row r="88" ht="45" customHeight="1">
      <c r="A88" s="353" t="inlineStr">
        <is>
          <t>EUR-087</t>
        </is>
      </c>
      <c r="B88" s="353" t="inlineStr">
        <is>
          <t>Europe</t>
        </is>
      </c>
      <c r="C88" s="353" t="inlineStr">
        <is>
          <t>United Kingdom</t>
        </is>
      </c>
      <c r="D88" s="353" t="inlineStr">
        <is>
          <t>Ultra PCS</t>
        </is>
      </c>
      <c r="E88" s="353" t="inlineStr">
        <is>
          <t>Eaton</t>
        </is>
      </c>
      <c r="F88" s="353" t="inlineStr">
        <is>
          <t>United States</t>
        </is>
      </c>
      <c r="G88" s="353" t="inlineStr">
        <is>
          <t>Ultra Electronics</t>
        </is>
      </c>
      <c r="H88" s="403" t="inlineStr">
        <is>
          <t>Not disclosed</t>
        </is>
      </c>
      <c r="I88" s="403" t="n">
        <v>46045</v>
      </c>
      <c r="J88" s="404">
        <f>IFERROR(YEAR(I88),IFERROR(VALUE(LEFT(I88,4)),""))</f>
        <v/>
      </c>
      <c r="K88" s="353" t="inlineStr">
        <is>
          <t>M&amp;A</t>
        </is>
      </c>
      <c r="L88" s="353" t="inlineStr">
        <is>
          <t>Corporate divestiture / full company acquisition</t>
        </is>
      </c>
      <c r="M88" s="353" t="inlineStr">
        <is>
          <t>100% of Ultra PCS</t>
        </is>
      </c>
      <c r="N88" s="353" t="inlineStr">
        <is>
          <t>Completed</t>
        </is>
      </c>
      <c r="O88" s="405" t="n">
        <v>1550</v>
      </c>
      <c r="P88" s="353" t="inlineStr">
        <is>
          <t>USD</t>
        </is>
      </c>
      <c r="Q88" s="406" t="n">
        <v>1550</v>
      </c>
      <c r="R88" s="353" t="inlineStr">
        <is>
          <t>Gross purchase price; approximately USD 1.53bn net cash consideration</t>
        </is>
      </c>
      <c r="S88" s="353" t="inlineStr">
        <is>
          <t>Hardware / Software</t>
        </is>
      </c>
      <c r="T88" s="353" t="inlineStr">
        <is>
          <t>Aerospace Platforms &amp; Components</t>
        </is>
      </c>
      <c r="U88" s="353" t="inlineStr">
        <is>
          <t>Core A&amp;D</t>
        </is>
      </c>
      <c r="V88" s="353" t="inlineStr">
        <is>
          <t>Avionics &amp; Flight Systems. Manufacturer of compact on-board gas compressors catering to the defense industry worldwide. The company offers data processing, store ejections, position sensing, electrical ice protection, motor and power control, propellor balance monitoring system and dynamic harnessing, enabling clients to solve mission-critical challenges in the air and on the ground.</t>
        </is>
      </c>
      <c r="W88" s="353" t="inlineStr">
        <is>
          <t>Eaton completed its acquisition of Ultra PCS from Ultra Electronics on 2026-01-23. Ownership acquired: 100% of Ultra PCS. Gross purchase price; approximately USD 1.53bn net cash consideration</t>
        </is>
      </c>
      <c r="X88" s="353" t="inlineStr">
        <is>
          <t>Not independently verified</t>
        </is>
      </c>
      <c r="Y88" s="353" t="inlineStr">
        <is>
          <t>Verified — primary source</t>
        </is>
      </c>
      <c r="Z88" s="353" t="inlineStr">
        <is>
          <t>https://www.eaton.com/us/en-us/company/news-insights/news-releases/2026/eaton-completes-acquisition-of-ultra-pcs-limited.html</t>
        </is>
      </c>
      <c r="AA88" s="353" t="inlineStr">
        <is>
          <t>None used</t>
        </is>
      </c>
      <c r="AB88" s="353" t="inlineStr">
        <is>
          <t>Replace value label: USD 1.55bn gross purchase price versus approximately USD 1.53bn net cash consideration.</t>
        </is>
      </c>
    </row>
    <row r="89" ht="45" customHeight="1">
      <c r="A89" s="353" t="inlineStr">
        <is>
          <t>EUR-088</t>
        </is>
      </c>
      <c r="B89" s="353" t="inlineStr">
        <is>
          <t>Europe</t>
        </is>
      </c>
      <c r="C89" s="353" t="inlineStr">
        <is>
          <t>United Kingdom</t>
        </is>
      </c>
      <c r="D89" s="353" t="inlineStr">
        <is>
          <t>Newbow Aerospace</t>
        </is>
      </c>
      <c r="E89" s="353" t="inlineStr">
        <is>
          <t>HAKI Safety</t>
        </is>
      </c>
      <c r="F89" s="353" t="inlineStr">
        <is>
          <t>Sweden</t>
        </is>
      </c>
      <c r="G89" s="353" t="inlineStr">
        <is>
          <t>Tibia Konsult</t>
        </is>
      </c>
      <c r="H89" s="403" t="inlineStr">
        <is>
          <t>Not disclosed</t>
        </is>
      </c>
      <c r="I89" s="403" t="n">
        <v>46050</v>
      </c>
      <c r="J89" s="404">
        <f>IFERROR(YEAR(I89),IFERROR(VALUE(LEFT(I89,4)),""))</f>
        <v/>
      </c>
      <c r="K89" s="353" t="inlineStr">
        <is>
          <t>M&amp;A</t>
        </is>
      </c>
      <c r="L89" s="353" t="inlineStr">
        <is>
          <t>Full Acquisition</t>
        </is>
      </c>
      <c r="M89" s="353" t="inlineStr">
        <is>
          <t>100%</t>
        </is>
      </c>
      <c r="N89" s="353" t="inlineStr">
        <is>
          <t>Completed</t>
        </is>
      </c>
      <c r="O89" s="405" t="inlineStr">
        <is>
          <t>Not disclosed</t>
        </is>
      </c>
      <c r="P89" s="353" t="inlineStr">
        <is>
          <t>Not disclosed</t>
        </is>
      </c>
      <c r="Q89" s="406" t="inlineStr">
        <is>
          <t>Not disclosed</t>
        </is>
      </c>
      <c r="R89" s="353" t="inlineStr">
        <is>
          <t>No transaction-specific consideration was verified from the cited primary source.</t>
        </is>
      </c>
      <c r="S89" s="353" t="inlineStr">
        <is>
          <t>Hardware / Services</t>
        </is>
      </c>
      <c r="T89" s="353" t="inlineStr">
        <is>
          <t>Aerospace Platforms &amp; Components</t>
        </is>
      </c>
      <c r="U89" s="353" t="inlineStr">
        <is>
          <t>Core A&amp;D</t>
        </is>
      </c>
      <c r="V89" s="353" t="inlineStr">
        <is>
          <t>Aerospace Services &amp; MRO. Manufacturer of aircraft ground support equipment intended to serve commercial airlines, maintenance service centers, and defense aviation markets. The company offers a range of products, including nitrogen service carts, oxygen service carts, wheel &amp; brake change trailers, wheel &amp; brake change dollys, wheel &amp; tire storage, digital tire inflation tools, and other equipment.</t>
        </is>
      </c>
      <c r="W89" s="353" t="inlineStr">
        <is>
          <t>HAKI Safety completed its acquisition of Newbow Aerospace from Tibia Konsult on 2026-01-28. Ownership acquired: 100%. No transaction-specific consideration was verified from the cited primary source.</t>
        </is>
      </c>
      <c r="X89" s="353" t="inlineStr">
        <is>
          <t>Not independently verified</t>
        </is>
      </c>
      <c r="Y89" s="353" t="inlineStr">
        <is>
          <t>Verified — primary source</t>
        </is>
      </c>
      <c r="Z89" s="353" t="inlineStr">
        <is>
          <t>https://view.news.eu.nasdaq.com/view?id=b52bd85cbe0fdc74bcb2978b056536768&amp;lang=en&amp;src=micro</t>
        </is>
      </c>
      <c r="AA89" s="353" t="inlineStr">
        <is>
          <t>None used</t>
        </is>
      </c>
      <c r="AB89" s="353" t="inlineStr">
        <is>
          <t>Retain under strict scope; completed transaction and primary A&amp;D focus are supported by the cited source.</t>
        </is>
      </c>
    </row>
    <row r="90" ht="45" customHeight="1">
      <c r="A90" s="353" t="inlineStr">
        <is>
          <t>EUR-089</t>
        </is>
      </c>
      <c r="B90" s="353" t="inlineStr">
        <is>
          <t>Europe</t>
        </is>
      </c>
      <c r="C90" s="353" t="inlineStr">
        <is>
          <t>Germany</t>
        </is>
      </c>
      <c r="D90" s="353" t="inlineStr">
        <is>
          <t>Hacker Motor GmbH</t>
        </is>
      </c>
      <c r="E90" s="353" t="inlineStr">
        <is>
          <t>Quantum Systems</t>
        </is>
      </c>
      <c r="F90" s="353" t="inlineStr">
        <is>
          <t>Germany</t>
        </is>
      </c>
      <c r="G90" s="353" t="inlineStr">
        <is>
          <t>Hacker Motor shareholders</t>
        </is>
      </c>
      <c r="H90" s="403" t="inlineStr">
        <is>
          <t>Not disclosed</t>
        </is>
      </c>
      <c r="I90" s="403" t="n">
        <v>46057</v>
      </c>
      <c r="J90" s="404">
        <f>IFERROR(YEAR(I90),IFERROR(VALUE(LEFT(I90,4)),""))</f>
        <v/>
      </c>
      <c r="K90" s="353" t="inlineStr">
        <is>
          <t>M&amp;A</t>
        </is>
      </c>
      <c r="L90" s="353" t="inlineStr">
        <is>
          <t>Full Acquisition</t>
        </is>
      </c>
      <c r="M90" s="353" t="inlineStr">
        <is>
          <t>100%</t>
        </is>
      </c>
      <c r="N90" s="353" t="inlineStr">
        <is>
          <t>Completed</t>
        </is>
      </c>
      <c r="O90" s="405" t="inlineStr">
        <is>
          <t>Not disclosed</t>
        </is>
      </c>
      <c r="P90" s="353" t="inlineStr">
        <is>
          <t>Not disclosed</t>
        </is>
      </c>
      <c r="Q90" s="406" t="inlineStr">
        <is>
          <t>Not disclosed</t>
        </is>
      </c>
      <c r="R90" s="353" t="inlineStr">
        <is>
          <t>No transaction-specific consideration was verified from the cited primary source.</t>
        </is>
      </c>
      <c r="S90" s="353" t="inlineStr">
        <is>
          <t>Hardware</t>
        </is>
      </c>
      <c r="T90" s="353" t="inlineStr">
        <is>
          <t>Power, Propulsion &amp; Energy</t>
        </is>
      </c>
      <c r="U90" s="353" t="inlineStr">
        <is>
          <t>Core A&amp;D</t>
        </is>
      </c>
      <c r="V90" s="353" t="inlineStr">
        <is>
          <t>UAV Propulsion. Develops and manufactures high-performance electric motors, controllers and propulsion systems used in unmanned aircraft and advanced mobility applications.</t>
        </is>
      </c>
      <c r="W90" s="353" t="inlineStr">
        <is>
          <t>Quantum Systems completed its acquisition of Hacker Motor GmbH from Hacker Motor shareholders on 2026-02-04. Ownership acquired: 100%. No transaction-specific consideration was verified from the cited primary source.</t>
        </is>
      </c>
      <c r="X90" s="353" t="inlineStr">
        <is>
          <t>Not independently verified</t>
        </is>
      </c>
      <c r="Y90" s="353" t="inlineStr">
        <is>
          <t>Verified — primary source</t>
        </is>
      </c>
      <c r="Z90" s="353" t="inlineStr">
        <is>
          <t>https://quantum-systems.com/news/quantum-systems-acquires-hacker-motor/</t>
        </is>
      </c>
      <c r="AA90" s="353" t="inlineStr">
        <is>
          <t>None used</t>
        </is>
      </c>
      <c r="AB90" s="353" t="inlineStr">
        <is>
          <t>Retain under strict scope; completed transaction and primary A&amp;D focus are supported by the cited source.</t>
        </is>
      </c>
    </row>
    <row r="91" ht="45" customHeight="1">
      <c r="A91" s="353" t="inlineStr">
        <is>
          <t>EUR-090</t>
        </is>
      </c>
      <c r="B91" s="353" t="inlineStr">
        <is>
          <t>Europe</t>
        </is>
      </c>
      <c r="C91" s="353" t="inlineStr">
        <is>
          <t>United Kingdom</t>
        </is>
      </c>
      <c r="D91" s="353" t="inlineStr">
        <is>
          <t>PRP Optoelectronics</t>
        </is>
      </c>
      <c r="E91" s="353" t="inlineStr">
        <is>
          <t>SDI Group</t>
        </is>
      </c>
      <c r="F91" s="353" t="inlineStr">
        <is>
          <t>United Kingdom</t>
        </is>
      </c>
      <c r="G91" s="353" t="inlineStr">
        <is>
          <t>Not disclosed</t>
        </is>
      </c>
      <c r="H91" s="403" t="inlineStr">
        <is>
          <t>Not disclosed</t>
        </is>
      </c>
      <c r="I91" s="403" t="n">
        <v>46066</v>
      </c>
      <c r="J91" s="404">
        <f>IFERROR(YEAR(I91),IFERROR(VALUE(LEFT(I91,4)),""))</f>
        <v/>
      </c>
      <c r="K91" s="353" t="inlineStr">
        <is>
          <t>M&amp;A</t>
        </is>
      </c>
      <c r="L91" s="353" t="inlineStr">
        <is>
          <t>Full Acquisition</t>
        </is>
      </c>
      <c r="M91" s="353" t="inlineStr">
        <is>
          <t>100%</t>
        </is>
      </c>
      <c r="N91" s="353" t="inlineStr">
        <is>
          <t>Completed</t>
        </is>
      </c>
      <c r="O91" s="405" t="n">
        <v>9.300000000000001</v>
      </c>
      <c r="P91" s="353" t="inlineStr">
        <is>
          <t>GBP</t>
        </is>
      </c>
      <c r="Q91" s="406" t="inlineStr">
        <is>
          <t>Not disclosed</t>
        </is>
      </c>
      <c r="R91" s="353" t="inlineStr">
        <is>
          <t>Acquisition consideration</t>
        </is>
      </c>
      <c r="S91" s="353" t="inlineStr">
        <is>
          <t>Hardware</t>
        </is>
      </c>
      <c r="T91" s="353" t="inlineStr">
        <is>
          <t>Defence Electronics &amp; Sensors</t>
        </is>
      </c>
      <c r="U91" s="353" t="inlineStr">
        <is>
          <t>Core A&amp;D</t>
        </is>
      </c>
      <c r="V91" s="353" t="inlineStr">
        <is>
          <t>Defence Electronics &amp; Sensors. Manufacturer of optoelectronic technology components intended to serve aviation and aerospace, defence and security, industrial printing and imaging industry. The company offers custom micro light-emitting diodes, monolithic and hybrid light-emitting diode arrays, light-emitting diode light engines, avionic and military displays, printing and ultraviolet light-emitting diode systems, plus full in-house design, manufacturing, testing, and original equipment manufacturer system integration services.</t>
        </is>
      </c>
      <c r="W91" s="353" t="inlineStr">
        <is>
          <t>SDI Group completed its acquisition of PRP Optoelectronics on 2026-02-13. Ownership acquired: 100%. Acquisition consideration</t>
        </is>
      </c>
      <c r="X91" s="353" t="inlineStr">
        <is>
          <t>Not independently verified</t>
        </is>
      </c>
      <c r="Y91" s="353" t="inlineStr">
        <is>
          <t>Verified — primary source</t>
        </is>
      </c>
      <c r="Z91" s="353" t="inlineStr">
        <is>
          <t>https://www.londonstockexchange.com/news-article/SDI/acquisition-of-prp-optoelectronics/17459636</t>
        </is>
      </c>
      <c r="AA91" s="353" t="inlineStr">
        <is>
          <t>None used</t>
        </is>
      </c>
      <c r="AB91" s="353" t="inlineStr">
        <is>
          <t>Retain under strict scope; completed transaction and primary A&amp;D focus are supported by the cited source.</t>
        </is>
      </c>
    </row>
    <row r="92" ht="45" customHeight="1">
      <c r="A92" s="353" t="inlineStr">
        <is>
          <t>EUR-091</t>
        </is>
      </c>
      <c r="B92" s="353" t="inlineStr">
        <is>
          <t>Europe</t>
        </is>
      </c>
      <c r="C92" s="353" t="inlineStr">
        <is>
          <t>Denmark</t>
        </is>
      </c>
      <c r="D92" s="353" t="inlineStr">
        <is>
          <t>Scanfiber Composites</t>
        </is>
      </c>
      <c r="E92" s="353" t="inlineStr">
        <is>
          <t>Fjord Defence Group</t>
        </is>
      </c>
      <c r="F92" s="353" t="inlineStr">
        <is>
          <t>Norway</t>
        </is>
      </c>
      <c r="G92" s="353" t="inlineStr">
        <is>
          <t>Not disclosed</t>
        </is>
      </c>
      <c r="H92" s="403" t="inlineStr">
        <is>
          <t>Not disclosed</t>
        </is>
      </c>
      <c r="I92" s="403" t="n">
        <v>46078</v>
      </c>
      <c r="J92" s="404">
        <f>IFERROR(YEAR(I92),IFERROR(VALUE(LEFT(I92,4)),""))</f>
        <v/>
      </c>
      <c r="K92" s="353" t="inlineStr">
        <is>
          <t>M&amp;A</t>
        </is>
      </c>
      <c r="L92" s="353" t="inlineStr">
        <is>
          <t>Full company acquisition</t>
        </is>
      </c>
      <c r="M92" s="353" t="inlineStr">
        <is>
          <t>100%</t>
        </is>
      </c>
      <c r="N92" s="353" t="inlineStr">
        <is>
          <t>Completed</t>
        </is>
      </c>
      <c r="O92" s="405" t="n">
        <v>405.6</v>
      </c>
      <c r="P92" s="353" t="inlineStr">
        <is>
          <t>NOK</t>
        </is>
      </c>
      <c r="Q92" s="406" t="inlineStr">
        <is>
          <t>Not disclosed</t>
        </is>
      </c>
      <c r="R92" s="353" t="inlineStr">
        <is>
          <t>Total consideration at completion</t>
        </is>
      </c>
      <c r="S92" s="353" t="inlineStr">
        <is>
          <t>Hardware</t>
        </is>
      </c>
      <c r="T92" s="353" t="inlineStr">
        <is>
          <t>Land Systems &amp; Military Vehicles</t>
        </is>
      </c>
      <c r="U92" s="353" t="inlineStr">
        <is>
          <t>Core A&amp;D</t>
        </is>
      </c>
      <c r="V92" s="353" t="inlineStr">
        <is>
          <t>Industrial Supply Chain &amp; Manufacturing. Manufacturer of armoured clothing catering to the military and civilian industry. The company's products include ballistic panels, add-on armour, spall-liner, ballistic blankets, seat protection, spall-liners for vehicles, building protection panels, vehicle armour, and personal-protection ballistic bags thereby providing the military with ballistic protection.</t>
        </is>
      </c>
      <c r="W92" s="353" t="inlineStr">
        <is>
          <t>Fjord Defence Group completed its acquisition of Scanfiber Composites on 2026-02-25. Ownership acquired: 100%. Total consideration at completion</t>
        </is>
      </c>
      <c r="X92" s="353" t="inlineStr">
        <is>
          <t>Not independently verified</t>
        </is>
      </c>
      <c r="Y92" s="353" t="inlineStr">
        <is>
          <t>Verified — primary source</t>
        </is>
      </c>
      <c r="Z92" s="353" t="inlineStr">
        <is>
          <t>https://mfn.se/ob/a/fjord-defence-group/fjord-defence-group-asa-successful-completion-of-acquisition-of-scanfiber-composites-a-s-e058dcdd.iframe</t>
        </is>
      </c>
      <c r="AA92" s="353" t="inlineStr">
        <is>
          <t>None used</t>
        </is>
      </c>
      <c r="AB92" s="353" t="inlineStr">
        <is>
          <t>Replace original date: completion was 25 February 2026, not 1 January.</t>
        </is>
      </c>
    </row>
    <row r="93" ht="45" customHeight="1">
      <c r="A93" s="353" t="inlineStr">
        <is>
          <t>EUR-092</t>
        </is>
      </c>
      <c r="B93" s="353" t="inlineStr">
        <is>
          <t>Europe</t>
        </is>
      </c>
      <c r="C93" s="353" t="inlineStr">
        <is>
          <t>Sweden</t>
        </is>
      </c>
      <c r="D93" s="353" t="inlineStr">
        <is>
          <t>Wireless P2p Technologies</t>
        </is>
      </c>
      <c r="E93" s="353" t="inlineStr">
        <is>
          <t>Evallic</t>
        </is>
      </c>
      <c r="F93" s="353" t="inlineStr">
        <is>
          <t>Sweden</t>
        </is>
      </c>
      <c r="G93" s="353" t="inlineStr">
        <is>
          <t>Not disclosed</t>
        </is>
      </c>
      <c r="H93" s="403" t="inlineStr">
        <is>
          <t>Not disclosed</t>
        </is>
      </c>
      <c r="I93" s="403" t="n">
        <v>46078</v>
      </c>
      <c r="J93" s="404">
        <f>IFERROR(YEAR(I93),IFERROR(VALUE(LEFT(I93,4)),""))</f>
        <v/>
      </c>
      <c r="K93" s="353" t="inlineStr">
        <is>
          <t>M&amp;A</t>
        </is>
      </c>
      <c r="L93" s="353" t="inlineStr">
        <is>
          <t>Company acquisition; percentage undisclosed</t>
        </is>
      </c>
      <c r="M93" s="353" t="inlineStr">
        <is>
          <t>Not disclosed; acquirer describes a company acquisition</t>
        </is>
      </c>
      <c r="N93" s="353" t="inlineStr">
        <is>
          <t>Completed</t>
        </is>
      </c>
      <c r="O93" s="405" t="inlineStr">
        <is>
          <t>Not disclosed</t>
        </is>
      </c>
      <c r="P93" s="353" t="inlineStr">
        <is>
          <t>Not disclosed</t>
        </is>
      </c>
      <c r="Q93" s="406" t="inlineStr">
        <is>
          <t>Not disclosed</t>
        </is>
      </c>
      <c r="R93" s="353" t="inlineStr">
        <is>
          <t>No transaction-specific consideration was verified from the cited primary source.</t>
        </is>
      </c>
      <c r="S93" s="353" t="inlineStr">
        <is>
          <t>Hardware / Software</t>
        </is>
      </c>
      <c r="T93" s="353" t="inlineStr">
        <is>
          <t>Air Traffic Management &amp; Communications</t>
        </is>
      </c>
      <c r="U93" s="353" t="inlineStr">
        <is>
          <t>Core A&amp;D</t>
        </is>
      </c>
      <c r="V93" s="353" t="inlineStr">
        <is>
          <t>Secure Communications &amp; Connectivity. Developer of wireless communication technology and networking systems intended to serve defence, aerospace, and unmanned platforms. The company offers peer-to-peer wireless communication protocols and software, mobile ad-hoc networking technologies, software-defined radio platforms, tools, and libraries for decentralized connectivity, support for resilient communications without fixed infrastructure.</t>
        </is>
      </c>
      <c r="W93" s="353" t="inlineStr">
        <is>
          <t>Evallic completed its acquisition of Wireless P2p Technologies on 2026-02-25. Ownership acquired: Not disclosed; acquirer describes a company acquisition. No transaction-specific consideration was verified from the cited primary source.</t>
        </is>
      </c>
      <c r="X93" s="353" t="inlineStr">
        <is>
          <t>Not independently verified</t>
        </is>
      </c>
      <c r="Y93" s="353" t="inlineStr">
        <is>
          <t>Verified — primary source</t>
        </is>
      </c>
      <c r="Z93" s="353" t="inlineStr">
        <is>
          <t>https://evallic.com/news/evallic-welcomes-wireless-p2p-technologies-a-technology-leader-in-tactical-communication-and-electronic-warfare/</t>
        </is>
      </c>
      <c r="AA93" s="353" t="inlineStr">
        <is>
          <t>None used</t>
        </is>
      </c>
      <c r="AB93" s="353" t="inlineStr">
        <is>
          <t>Replace value and ownership claims: terms and percentage were not disclosed by the primary source.</t>
        </is>
      </c>
    </row>
    <row r="94" ht="45" customHeight="1">
      <c r="A94" s="353" t="inlineStr">
        <is>
          <t>EUR-093</t>
        </is>
      </c>
      <c r="B94" s="353" t="inlineStr">
        <is>
          <t>Europe</t>
        </is>
      </c>
      <c r="C94" s="353" t="inlineStr">
        <is>
          <t>Luxembourg</t>
        </is>
      </c>
      <c r="D94" s="353" t="inlineStr">
        <is>
          <t>LMO Luxembourg Operations</t>
        </is>
      </c>
      <c r="E94" s="353" t="inlineStr">
        <is>
          <t>Infinite Orbits</t>
        </is>
      </c>
      <c r="F94" s="353" t="inlineStr">
        <is>
          <t>France</t>
        </is>
      </c>
      <c r="G94" s="353" t="inlineStr">
        <is>
          <t>LMO shareholders</t>
        </is>
      </c>
      <c r="H94" s="403" t="inlineStr">
        <is>
          <t>Not disclosed</t>
        </is>
      </c>
      <c r="I94" s="403" t="n">
        <v>46079</v>
      </c>
      <c r="J94" s="404">
        <f>IFERROR(YEAR(I94),IFERROR(VALUE(LEFT(I94,4)),""))</f>
        <v/>
      </c>
      <c r="K94" s="353" t="inlineStr">
        <is>
          <t>M&amp;A</t>
        </is>
      </c>
      <c r="L94" s="353" t="inlineStr">
        <is>
          <t>Acquisition of identifiable Luxembourg space-technology operations</t>
        </is>
      </c>
      <c r="M94" s="353" t="inlineStr">
        <is>
          <t>100% of specified Luxembourg operations</t>
        </is>
      </c>
      <c r="N94" s="353" t="inlineStr">
        <is>
          <t>Completed</t>
        </is>
      </c>
      <c r="O94" s="405" t="inlineStr">
        <is>
          <t>Not disclosed</t>
        </is>
      </c>
      <c r="P94" s="353" t="inlineStr">
        <is>
          <t>Not disclosed</t>
        </is>
      </c>
      <c r="Q94" s="406" t="inlineStr">
        <is>
          <t>Not disclosed</t>
        </is>
      </c>
      <c r="R94" s="353" t="inlineStr">
        <is>
          <t>No transaction-specific consideration was verified from the cited primary source.</t>
        </is>
      </c>
      <c r="S94" s="353" t="inlineStr">
        <is>
          <t>Software / Services</t>
        </is>
      </c>
      <c r="T94" s="353" t="inlineStr">
        <is>
          <t>Space &amp; Satellite Systems</t>
        </is>
      </c>
      <c r="U94" s="353" t="inlineStr">
        <is>
          <t>Core A&amp;D</t>
        </is>
      </c>
      <c r="V94" s="353" t="inlineStr">
        <is>
          <t>Space-technology operations involving orbital/space capabilities; treated as an identifiable operating business rather than isolated equipment.</t>
        </is>
      </c>
      <c r="W94" s="353" t="inlineStr">
        <is>
          <t>Infinite Orbits completed its acquisition of LMO Luxembourg Operations from LMO shareholders on 2026-02-26. Ownership acquired: 100% of specified Luxembourg operations. No transaction-specific consideration was verified from the cited primary source.</t>
        </is>
      </c>
      <c r="X94" s="353" t="inlineStr">
        <is>
          <t>Not independently verified</t>
        </is>
      </c>
      <c r="Y94" s="353" t="inlineStr">
        <is>
          <t>Verified — primary source</t>
        </is>
      </c>
      <c r="Z94" s="353" t="inlineStr">
        <is>
          <t>https://www.infiniteorbits.io/post/infinite-orbits-expands-into-luxembourg</t>
        </is>
      </c>
      <c r="AA94" s="353" t="inlineStr">
        <is>
          <t>None used</t>
        </is>
      </c>
      <c r="AB94" s="353" t="inlineStr">
        <is>
          <t>Retain under strict scope; completed transaction and primary A&amp;D focus are supported by the cited source.</t>
        </is>
      </c>
    </row>
    <row r="95" ht="45" customHeight="1">
      <c r="A95" s="353" t="inlineStr">
        <is>
          <t>EUR-094</t>
        </is>
      </c>
      <c r="B95" s="353" t="inlineStr">
        <is>
          <t>Europe</t>
        </is>
      </c>
      <c r="C95" s="353" t="inlineStr">
        <is>
          <t>Austria</t>
        </is>
      </c>
      <c r="D95" s="353" t="inlineStr">
        <is>
          <t>Hirtenberger Defence Systems group</t>
        </is>
      </c>
      <c r="E95" s="353" t="inlineStr">
        <is>
          <t>4iG Space and Defence Technologies Zrt.</t>
        </is>
      </c>
      <c r="F95" s="353" t="inlineStr">
        <is>
          <t>Hungary</t>
        </is>
      </c>
      <c r="G95" s="353" t="inlineStr">
        <is>
          <t>N7 Holding</t>
        </is>
      </c>
      <c r="H95" s="403" t="n">
        <v>45936</v>
      </c>
      <c r="I95" s="403" t="n">
        <v>46080</v>
      </c>
      <c r="J95" s="404">
        <f>IFERROR(YEAR(I95),IFERROR(VALUE(LEFT(I95,4)),""))</f>
        <v/>
      </c>
      <c r="K95" s="353" t="inlineStr">
        <is>
          <t>M&amp;A</t>
        </is>
      </c>
      <c r="L95" s="353" t="inlineStr">
        <is>
          <t>100% share acquisition of an identifiable operating defence group</t>
        </is>
      </c>
      <c r="M95" s="353" t="inlineStr">
        <is>
          <t>100%</t>
        </is>
      </c>
      <c r="N95" s="353" t="inlineStr">
        <is>
          <t>Completed</t>
        </is>
      </c>
      <c r="O95" s="405" t="inlineStr">
        <is>
          <t>Not disclosed</t>
        </is>
      </c>
      <c r="P95" s="353" t="inlineStr">
        <is>
          <t>Not disclosed</t>
        </is>
      </c>
      <c r="Q95" s="406" t="inlineStr">
        <is>
          <t>Not disclosed</t>
        </is>
      </c>
      <c r="R95" s="353" t="inlineStr">
        <is>
          <t>Transaction-specific consideration not separately disclosed; the announced HUF 72.1bn net-present-value figure covered a broader three-agreement package.</t>
        </is>
      </c>
      <c r="S95" s="353" t="inlineStr">
        <is>
          <t>Hardware / Software</t>
        </is>
      </c>
      <c r="T95" s="353" t="inlineStr">
        <is>
          <t>Ammunition &amp; Weapons</t>
        </is>
      </c>
      <c r="U95" s="353" t="inlineStr">
        <is>
          <t>Core A&amp;D</t>
        </is>
      </c>
      <c r="V95" s="353" t="inlineStr">
        <is>
          <t>The official filing identifies Hirtenberger as an Austrian-headquartered defence group producing mortars, ammunition and digital fire-control and aiming systems.</t>
        </is>
      </c>
      <c r="W95" s="353" t="inlineStr">
        <is>
          <t>4iG Space and Defence Technologies Zrt. completed its acquisition of Hirtenberger Defence Systems group from N7 Holding on 2026-02-27. Ownership acquired: 100%. Transaction-specific consideration not separately disclosed; the announced HUF 72.1bn net-present-value figure covered a broader three-agreement package.</t>
        </is>
      </c>
      <c r="X95" s="353" t="inlineStr">
        <is>
          <t>Not independently verified</t>
        </is>
      </c>
      <c r="Y95" s="353" t="inlineStr">
        <is>
          <t>Verified — primary source</t>
        </is>
      </c>
      <c r="Z95" s="353" t="inlineStr">
        <is>
          <t>https://www.bet.hu/newkibdata/129406957/20260227_RT_SDT_N7_zaras_EN.pdf</t>
        </is>
      </c>
      <c r="AA95" s="353" t="inlineStr">
        <is>
          <t>https://www.4ig.hu/hungarian-state-4ig-defence-industry-cooperation-agreement-signing</t>
        </is>
      </c>
      <c r="AB95" s="353" t="inlineStr">
        <is>
          <t>Added after resolving the official multi-company closing filing. The 100% acquisition completed on 27 February 2026; the related VAB vehicle was not added because it conveyed only an indirect minority interest in Rheinmetall Hungary rather than control of an operating target.</t>
        </is>
      </c>
    </row>
    <row r="96" ht="45" customHeight="1">
      <c r="A96" s="353" t="inlineStr">
        <is>
          <t>EUR-095</t>
        </is>
      </c>
      <c r="B96" s="353" t="inlineStr">
        <is>
          <t>Europe</t>
        </is>
      </c>
      <c r="C96" s="353" t="inlineStr">
        <is>
          <t>Hungary</t>
        </is>
      </c>
      <c r="D96" s="353" t="inlineStr">
        <is>
          <t>N7 Defence Zrt.</t>
        </is>
      </c>
      <c r="E96" s="353" t="inlineStr">
        <is>
          <t>4iG Space and Defence Technologies Zrt.</t>
        </is>
      </c>
      <c r="F96" s="353" t="inlineStr">
        <is>
          <t>Hungary</t>
        </is>
      </c>
      <c r="G96" s="353" t="inlineStr">
        <is>
          <t>Hungarian State</t>
        </is>
      </c>
      <c r="H96" s="403" t="n">
        <v>45936</v>
      </c>
      <c r="I96" s="403" t="n">
        <v>46080</v>
      </c>
      <c r="J96" s="404">
        <f>IFERROR(YEAR(I96),IFERROR(VALUE(LEFT(I96,4)),""))</f>
        <v/>
      </c>
      <c r="K96" s="353" t="inlineStr">
        <is>
          <t>M&amp;A</t>
        </is>
      </c>
      <c r="L96" s="353" t="inlineStr">
        <is>
          <t>Majority control acquisition</t>
        </is>
      </c>
      <c r="M96" s="353" t="inlineStr">
        <is>
          <t>75% plus one share</t>
        </is>
      </c>
      <c r="N96" s="353" t="inlineStr">
        <is>
          <t>Completed</t>
        </is>
      </c>
      <c r="O96" s="405" t="inlineStr">
        <is>
          <t>Not disclosed</t>
        </is>
      </c>
      <c r="P96" s="353" t="inlineStr">
        <is>
          <t>Not disclosed</t>
        </is>
      </c>
      <c r="Q96" s="406" t="inlineStr">
        <is>
          <t>Not disclosed</t>
        </is>
      </c>
      <c r="R96" s="353" t="inlineStr">
        <is>
          <t>Public HUF82.8bn figure was an adviser-estimated value endpoint, not verified transaction consideration</t>
        </is>
      </c>
      <c r="S96" s="353" t="inlineStr">
        <is>
          <t>Hardware / Services</t>
        </is>
      </c>
      <c r="T96" s="353" t="inlineStr">
        <is>
          <t>Ammunition &amp; Weapons</t>
        </is>
      </c>
      <c r="U96" s="353" t="inlineStr">
        <is>
          <t>Core A&amp;D</t>
        </is>
      </c>
      <c r="V96" s="353" t="inlineStr">
        <is>
          <t>N7 is a core Hungarian defence-industry holding, but the majority acquisition closed in 2026.</t>
        </is>
      </c>
      <c r="W96" s="353" t="inlineStr">
        <is>
          <t>4iG Space and Defence Technologies Zrt. completed its acquisition of N7 Defence Zrt. from Hungarian State on 2026-02-27. Ownership acquired: 75% plus one share. Public HUF82.8bn figure was an adviser-estimated value endpoint, not verified transaction consideration</t>
        </is>
      </c>
      <c r="X96" s="353" t="inlineStr">
        <is>
          <t>Not independently verified</t>
        </is>
      </c>
      <c r="Y96" s="353" t="inlineStr">
        <is>
          <t>Verified — primary source</t>
        </is>
      </c>
      <c r="Z96" s="353" t="inlineStr">
        <is>
          <t>https://www.bet.hu/newkibdata/129406957/20260227_RT_SDT_N7_zaras_EN.pdf</t>
        </is>
      </c>
      <c r="AA96" s="353" t="inlineStr">
        <is>
          <t>https://www.4ig.hu/hungarian-state-4ig-defence-industry-cooperation-agreement-signing</t>
        </is>
      </c>
      <c r="AB96" s="353" t="inlineStr">
        <is>
          <t>Move out of 2025; correct ownership and remove the unsupported consideration figure. Promoted to the completed population because the transaction legally closed by the 2026-08-02 cutoff.</t>
        </is>
      </c>
    </row>
    <row r="97" ht="45" customHeight="1">
      <c r="A97" s="353" t="inlineStr">
        <is>
          <t>EUR-096</t>
        </is>
      </c>
      <c r="B97" s="353" t="inlineStr">
        <is>
          <t>Europe</t>
        </is>
      </c>
      <c r="C97" s="353" t="inlineStr">
        <is>
          <t>Germany</t>
        </is>
      </c>
      <c r="D97" s="353" t="inlineStr">
        <is>
          <t>Naval Vessels Lürssen (NVL)</t>
        </is>
      </c>
      <c r="E97" s="353" t="inlineStr">
        <is>
          <t>Rheinmetall</t>
        </is>
      </c>
      <c r="F97" s="353" t="inlineStr">
        <is>
          <t>Germany</t>
        </is>
      </c>
      <c r="G97" s="353" t="inlineStr">
        <is>
          <t>Lürssen Group</t>
        </is>
      </c>
      <c r="H97" s="403" t="inlineStr">
        <is>
          <t>Not disclosed</t>
        </is>
      </c>
      <c r="I97" s="403" t="n">
        <v>46082</v>
      </c>
      <c r="J97" s="404">
        <f>IFERROR(YEAR(I97),IFERROR(VALUE(LEFT(I97,4)),""))</f>
        <v/>
      </c>
      <c r="K97" s="353" t="inlineStr">
        <is>
          <t>M&amp;A</t>
        </is>
      </c>
      <c r="L97" s="353" t="inlineStr">
        <is>
          <t>Full Acquisition</t>
        </is>
      </c>
      <c r="M97" s="353" t="inlineStr">
        <is>
          <t>100%</t>
        </is>
      </c>
      <c r="N97" s="353" t="inlineStr">
        <is>
          <t>Completed</t>
        </is>
      </c>
      <c r="O97" s="405" t="inlineStr">
        <is>
          <t>Not disclosed</t>
        </is>
      </c>
      <c r="P97" s="353" t="inlineStr">
        <is>
          <t>Not disclosed</t>
        </is>
      </c>
      <c r="Q97" s="406" t="inlineStr">
        <is>
          <t>Not disclosed</t>
        </is>
      </c>
      <c r="R97" s="353" t="inlineStr">
        <is>
          <t>No transaction-specific consideration was verified from the cited primary source.</t>
        </is>
      </c>
      <c r="S97" s="353" t="inlineStr">
        <is>
          <t>Hardware / Services</t>
        </is>
      </c>
      <c r="T97" s="353" t="inlineStr">
        <is>
          <t>Naval &amp; Underwater Systems</t>
        </is>
      </c>
      <c r="U97" s="353" t="inlineStr">
        <is>
          <t>Core A&amp;D</t>
        </is>
      </c>
      <c r="V97" s="353" t="inlineStr">
        <is>
          <t>Naval Platforms / Shipbuilding. Designs, builds and supports naval vessels and maritime-defense platforms for the German Navy and international customers.</t>
        </is>
      </c>
      <c r="W97" s="353" t="inlineStr">
        <is>
          <t>Rheinmetall completed its acquisition of Naval Vessels Lürssen (NVL) from Lürssen Group on 2026-03-01. Ownership acquired: 100%. No transaction-specific consideration was verified from the cited primary source.</t>
        </is>
      </c>
      <c r="X97" s="353" t="inlineStr">
        <is>
          <t>Not independently verified</t>
        </is>
      </c>
      <c r="Y97" s="353" t="inlineStr">
        <is>
          <t>Verified — primary source</t>
        </is>
      </c>
      <c r="Z97" s="353" t="inlineStr">
        <is>
          <t>https://www.rheinmetall.com/en/media/news-watch/news/2026/03/2026-03-02-rheinmetall-takes-over-nvl</t>
        </is>
      </c>
      <c r="AA97" s="353" t="inlineStr">
        <is>
          <t>None used</t>
        </is>
      </c>
      <c r="AB97" s="353" t="inlineStr">
        <is>
          <t>Retain under strict scope; completed transaction and primary A&amp;D focus are supported by the cited source.</t>
        </is>
      </c>
    </row>
    <row r="98" ht="45" customHeight="1">
      <c r="A98" s="353" t="inlineStr">
        <is>
          <t>EUR-097</t>
        </is>
      </c>
      <c r="B98" s="353" t="inlineStr">
        <is>
          <t>Europe</t>
        </is>
      </c>
      <c r="C98" s="353" t="inlineStr">
        <is>
          <t>United Kingdom</t>
        </is>
      </c>
      <c r="D98" s="353" t="inlineStr">
        <is>
          <t>Forged Solutions Group, Inc.</t>
        </is>
      </c>
      <c r="E98" s="353" t="inlineStr">
        <is>
          <t>J.F. Lehman &amp; Company affiliates</t>
        </is>
      </c>
      <c r="F98" s="353" t="inlineStr">
        <is>
          <t>United States</t>
        </is>
      </c>
      <c r="G98" s="353" t="inlineStr">
        <is>
          <t>Arlington Capital Partners</t>
        </is>
      </c>
      <c r="H98" s="403" t="inlineStr">
        <is>
          <t>Not disclosed</t>
        </is>
      </c>
      <c r="I98" s="403" t="n">
        <v>46083</v>
      </c>
      <c r="J98" s="404">
        <f>IFERROR(YEAR(I98),IFERROR(VALUE(LEFT(I98,4)),""))</f>
        <v/>
      </c>
      <c r="K98" s="353" t="inlineStr">
        <is>
          <t>M&amp;A</t>
        </is>
      </c>
      <c r="L98" s="353" t="inlineStr">
        <is>
          <t>Private-equity acquisition</t>
        </is>
      </c>
      <c r="M98" s="353" t="inlineStr">
        <is>
          <t>100%</t>
        </is>
      </c>
      <c r="N98" s="353" t="inlineStr">
        <is>
          <t>Completed</t>
        </is>
      </c>
      <c r="O98" s="405" t="inlineStr">
        <is>
          <t>Not disclosed</t>
        </is>
      </c>
      <c r="P98" s="353" t="inlineStr">
        <is>
          <t>Not disclosed</t>
        </is>
      </c>
      <c r="Q98" s="406" t="inlineStr">
        <is>
          <t>Not disclosed</t>
        </is>
      </c>
      <c r="R98" s="353" t="inlineStr">
        <is>
          <t>No transaction-specific consideration was verified from the cited primary source.</t>
        </is>
      </c>
      <c r="S98" s="353" t="inlineStr">
        <is>
          <t>Hardware</t>
        </is>
      </c>
      <c r="T98" s="353" t="inlineStr">
        <is>
          <t>Aerospace Materials &amp; Components</t>
        </is>
      </c>
      <c r="U98" s="353" t="inlineStr">
        <is>
          <t>Core A&amp;D</t>
        </is>
      </c>
      <c r="V98" s="353" t="inlineStr">
        <is>
          <t>Aerospace &amp; Defence Forgings. Manufacturer of high-integrity forgings and components for aircraft engines, defence and space platforms.</t>
        </is>
      </c>
      <c r="W98" s="353" t="inlineStr">
        <is>
          <t>J.F. Lehman &amp; Company affiliates completed its acquisition of Forged Solutions Group, Inc. from Arlington Capital Partners on 2026-03-02. Ownership acquired: 100%. No transaction-specific consideration was verified from the cited primary source.</t>
        </is>
      </c>
      <c r="X98" s="353" t="inlineStr">
        <is>
          <t>Not independently verified</t>
        </is>
      </c>
      <c r="Y98" s="353" t="inlineStr">
        <is>
          <t>Verified — primary source</t>
        </is>
      </c>
      <c r="Z98" s="353" t="inlineStr">
        <is>
          <t>https://www.jflco.com/news-article/189/jf-lehmancompany-completes-acquisition-of-forged-solutions-group</t>
        </is>
      </c>
      <c r="AA98" s="353" t="inlineStr">
        <is>
          <t>None used</t>
        </is>
      </c>
      <c r="AB98" s="353" t="inlineStr">
        <is>
          <t>Retain under strict scope; completed transaction and primary A&amp;D focus are supported by the cited source.</t>
        </is>
      </c>
    </row>
    <row r="99" ht="45" customHeight="1">
      <c r="A99" s="353" t="inlineStr">
        <is>
          <t>EUR-098</t>
        </is>
      </c>
      <c r="B99" s="353" t="inlineStr">
        <is>
          <t>Europe</t>
        </is>
      </c>
      <c r="C99" s="353" t="inlineStr">
        <is>
          <t>Sweden</t>
        </is>
      </c>
      <c r="D99" s="353" t="inlineStr">
        <is>
          <t>Poseidon Diving Group AB</t>
        </is>
      </c>
      <c r="E99" s="353" t="inlineStr">
        <is>
          <t>Argo Defence Group AB</t>
        </is>
      </c>
      <c r="F99" s="353" t="inlineStr">
        <is>
          <t>Sweden</t>
        </is>
      </c>
      <c r="G99" s="353" t="inlineStr">
        <is>
          <t>Poseidon shareholders</t>
        </is>
      </c>
      <c r="H99" s="403" t="inlineStr">
        <is>
          <t>Not disclosed</t>
        </is>
      </c>
      <c r="I99" s="403" t="n">
        <v>46083</v>
      </c>
      <c r="J99" s="404">
        <f>IFERROR(YEAR(I99),IFERROR(VALUE(LEFT(I99,4)),""))</f>
        <v/>
      </c>
      <c r="K99" s="353" t="inlineStr">
        <is>
          <t>M&amp;A</t>
        </is>
      </c>
      <c r="L99" s="353" t="inlineStr">
        <is>
          <t>99.55% controlling acquisition</t>
        </is>
      </c>
      <c r="M99" s="353" t="inlineStr">
        <is>
          <t>99.55%</t>
        </is>
      </c>
      <c r="N99" s="353" t="inlineStr">
        <is>
          <t>Completed</t>
        </is>
      </c>
      <c r="O99" s="405" t="n">
        <v>56</v>
      </c>
      <c r="P99" s="353" t="inlineStr">
        <is>
          <t>SEK</t>
        </is>
      </c>
      <c r="Q99" s="406" t="inlineStr">
        <is>
          <t>Not disclosed</t>
        </is>
      </c>
      <c r="R99" s="353" t="inlineStr">
        <is>
          <t>Original disclosed acquisition value</t>
        </is>
      </c>
      <c r="S99" s="353" t="inlineStr">
        <is>
          <t>Hardware</t>
        </is>
      </c>
      <c r="T99" s="353" t="inlineStr">
        <is>
          <t>Naval &amp; Underwater Systems</t>
        </is>
      </c>
      <c r="U99" s="353" t="inlineStr">
        <is>
          <t>Core A&amp;D</t>
        </is>
      </c>
      <c r="V99" s="353" t="inlineStr">
        <is>
          <t>Military Diving Systems. Manufacturer of closed-circuit rebreathers, diving equipment and breathing systems for military and professional users.</t>
        </is>
      </c>
      <c r="W99" s="353" t="inlineStr">
        <is>
          <t>Argo Defence Group AB completed its acquisition of Poseidon Diving Group AB from Poseidon shareholders on 2026-03-02. Ownership acquired: 99.55%. Original disclosed acquisition value</t>
        </is>
      </c>
      <c r="X99" s="353" t="inlineStr">
        <is>
          <t>Not independently verified</t>
        </is>
      </c>
      <c r="Y99" s="353" t="inlineStr">
        <is>
          <t>Verified — primary source</t>
        </is>
      </c>
      <c r="Z99" s="353" t="inlineStr">
        <is>
          <t>https://argodefence.se/mfn_news/argo-defence-group-completes-the-acquisition-of-poseidon-diving-group-ab/</t>
        </is>
      </c>
      <c r="AA99" s="353" t="inlineStr">
        <is>
          <t>None used</t>
        </is>
      </c>
      <c r="AB99" s="353" t="inlineStr">
        <is>
          <t>Replace full-acquisition wording with 99.55% acquired.</t>
        </is>
      </c>
    </row>
    <row r="100" ht="45" customHeight="1">
      <c r="A100" s="353" t="inlineStr">
        <is>
          <t>EUR-099</t>
        </is>
      </c>
      <c r="B100" s="353" t="inlineStr">
        <is>
          <t>Europe</t>
        </is>
      </c>
      <c r="C100" s="353" t="inlineStr">
        <is>
          <t>United Kingdom</t>
        </is>
      </c>
      <c r="D100" s="353" t="inlineStr">
        <is>
          <t>Lúnasa Space</t>
        </is>
      </c>
      <c r="E100" s="353" t="inlineStr">
        <is>
          <t>Infinite Orbits</t>
        </is>
      </c>
      <c r="F100" s="353" t="inlineStr">
        <is>
          <t>France</t>
        </is>
      </c>
      <c r="G100" s="353" t="inlineStr">
        <is>
          <t>Lúnasa Space shareholders</t>
        </is>
      </c>
      <c r="H100" s="403" t="inlineStr">
        <is>
          <t>Not disclosed</t>
        </is>
      </c>
      <c r="I100" s="403" t="n">
        <v>46084</v>
      </c>
      <c r="J100" s="404">
        <f>IFERROR(YEAR(I100),IFERROR(VALUE(LEFT(I100,4)),""))</f>
        <v/>
      </c>
      <c r="K100" s="353" t="inlineStr">
        <is>
          <t>M&amp;A</t>
        </is>
      </c>
      <c r="L100" s="353" t="inlineStr">
        <is>
          <t>Full Acquisition</t>
        </is>
      </c>
      <c r="M100" s="353" t="inlineStr">
        <is>
          <t>100%</t>
        </is>
      </c>
      <c r="N100" s="353" t="inlineStr">
        <is>
          <t>Completed</t>
        </is>
      </c>
      <c r="O100" s="405" t="inlineStr">
        <is>
          <t>Not disclosed</t>
        </is>
      </c>
      <c r="P100" s="353" t="inlineStr">
        <is>
          <t>Not disclosed</t>
        </is>
      </c>
      <c r="Q100" s="406" t="inlineStr">
        <is>
          <t>Not disclosed</t>
        </is>
      </c>
      <c r="R100" s="353" t="inlineStr">
        <is>
          <t>No transaction-specific consideration was verified from the cited primary source.</t>
        </is>
      </c>
      <c r="S100" s="353" t="inlineStr">
        <is>
          <t>Hardware / Services</t>
        </is>
      </c>
      <c r="T100" s="353" t="inlineStr">
        <is>
          <t>Space &amp; Satellite Systems</t>
        </is>
      </c>
      <c r="U100" s="353" t="inlineStr">
        <is>
          <t>Core A&amp;D</t>
        </is>
      </c>
      <c r="V100" s="353" t="inlineStr">
        <is>
          <t>Space Logistics / In-Orbit Services. Develops orbital-transfer and in-space logistics solutions for satellite deployment, hosted payloads and mission services.</t>
        </is>
      </c>
      <c r="W100" s="353" t="inlineStr">
        <is>
          <t>Infinite Orbits completed its acquisition of Lúnasa Space from Lúnasa Space shareholders on 2026-03-03. Ownership acquired: 100%. No transaction-specific consideration was verified from the cited primary source.</t>
        </is>
      </c>
      <c r="X100" s="353" t="inlineStr">
        <is>
          <t>Not independently verified</t>
        </is>
      </c>
      <c r="Y100" s="353" t="inlineStr">
        <is>
          <t>Verified — primary source</t>
        </is>
      </c>
      <c r="Z100" s="353" t="inlineStr">
        <is>
          <t>https://www.infiniteorbits.io/post/infinite-orbits-expands-into-the-uk</t>
        </is>
      </c>
      <c r="AA100" s="353" t="inlineStr">
        <is>
          <t>None used</t>
        </is>
      </c>
      <c r="AB100" s="353" t="inlineStr">
        <is>
          <t>Retain under strict scope; completed transaction and primary A&amp;D focus are supported by the cited source.</t>
        </is>
      </c>
    </row>
    <row r="101" ht="45" customHeight="1">
      <c r="A101" s="353" t="inlineStr">
        <is>
          <t>EUR-100</t>
        </is>
      </c>
      <c r="B101" s="353" t="inlineStr">
        <is>
          <t>Europe</t>
        </is>
      </c>
      <c r="C101" s="353" t="inlineStr">
        <is>
          <t>Germany</t>
        </is>
      </c>
      <c r="D101" s="353" t="inlineStr">
        <is>
          <t>Gabler Group AG</t>
        </is>
      </c>
      <c r="E101" s="353" t="inlineStr">
        <is>
          <t>Public investors</t>
        </is>
      </c>
      <c r="F101" s="353" t="inlineStr">
        <is>
          <t>Public markets</t>
        </is>
      </c>
      <c r="G101" s="353" t="inlineStr">
        <is>
          <t>Issuer / selling shareholders</t>
        </is>
      </c>
      <c r="H101" s="403" t="inlineStr">
        <is>
          <t>Not disclosed</t>
        </is>
      </c>
      <c r="I101" s="403" t="n">
        <v>46090</v>
      </c>
      <c r="J101" s="404">
        <f>IFERROR(YEAR(I101),IFERROR(VALUE(LEFT(I101,4)),""))</f>
        <v/>
      </c>
      <c r="K101" s="353" t="inlineStr">
        <is>
          <t>IPO</t>
        </is>
      </c>
      <c r="L101" s="353" t="inlineStr">
        <is>
          <t>Initial public offering — primary and secondary</t>
        </is>
      </c>
      <c r="M101" s="353" t="inlineStr">
        <is>
          <t>IPO — public offering</t>
        </is>
      </c>
      <c r="N101" s="353" t="inlineStr">
        <is>
          <t>Completed</t>
        </is>
      </c>
      <c r="O101" s="405" t="n">
        <v>132.825</v>
      </c>
      <c r="P101" s="353" t="inlineStr">
        <is>
          <t>EUR</t>
        </is>
      </c>
      <c r="Q101" s="406" t="inlineStr">
        <is>
          <t>Not disclosed</t>
        </is>
      </c>
      <c r="R101" s="353" t="inlineStr">
        <is>
          <t>IPO gross proceeds</t>
        </is>
      </c>
      <c r="S101" s="353" t="inlineStr">
        <is>
          <t>Hardware / Software / Services</t>
        </is>
      </c>
      <c r="T101" s="353" t="inlineStr">
        <is>
          <t>Naval &amp; Underwater Systems</t>
        </is>
      </c>
      <c r="U101" s="353" t="inlineStr">
        <is>
          <t>Core A&amp;D</t>
        </is>
      </c>
      <c r="V101" s="353" t="inlineStr">
        <is>
          <t>Submarine &amp; Subsea Systems. Provider of submarine mast, communications, data and subsea power systems.</t>
        </is>
      </c>
      <c r="W101" s="353" t="inlineStr">
        <is>
          <t>Gabler Group AG completed its initial public offering and public-market admission on 2026-03-09. IPO gross proceeds</t>
        </is>
      </c>
      <c r="X101" s="353" t="inlineStr">
        <is>
          <t>Not independently verified</t>
        </is>
      </c>
      <c r="Y101" s="353" t="inlineStr">
        <is>
          <t>Verified — primary source</t>
        </is>
      </c>
      <c r="Z101" s="353" t="inlineStr">
        <is>
          <t>https://www.cashmarket.deutsche-boerse.com/cash-en/Data-Tech/statistics/New-Companies/Gabler-Group-AG-4975180</t>
        </is>
      </c>
      <c r="AA101" s="353" t="inlineStr">
        <is>
          <t>None used</t>
        </is>
      </c>
      <c r="AB101" s="353" t="inlineStr">
        <is>
          <t>Retain under strict scope; completed transaction and primary A&amp;D focus are supported by the cited source.</t>
        </is>
      </c>
    </row>
    <row r="102" ht="45" customHeight="1">
      <c r="A102" s="353" t="inlineStr">
        <is>
          <t>EUR-101</t>
        </is>
      </c>
      <c r="B102" s="353" t="inlineStr">
        <is>
          <t>Europe</t>
        </is>
      </c>
      <c r="C102" s="353" t="inlineStr">
        <is>
          <t>United Kingdom</t>
        </is>
      </c>
      <c r="D102" s="353" t="inlineStr">
        <is>
          <t>Rotron Aerospace Ltd</t>
        </is>
      </c>
      <c r="E102" s="353" t="inlineStr">
        <is>
          <t>Ondas Holdings</t>
        </is>
      </c>
      <c r="F102" s="353" t="inlineStr">
        <is>
          <t>United States</t>
        </is>
      </c>
      <c r="G102" s="353" t="inlineStr">
        <is>
          <t>Rotron Aerospace shareholders</t>
        </is>
      </c>
      <c r="H102" s="403" t="inlineStr">
        <is>
          <t>Not disclosed</t>
        </is>
      </c>
      <c r="I102" s="403" t="n">
        <v>46097</v>
      </c>
      <c r="J102" s="404">
        <f>IFERROR(YEAR(I102),IFERROR(VALUE(LEFT(I102,4)),""))</f>
        <v/>
      </c>
      <c r="K102" s="353" t="inlineStr">
        <is>
          <t>M&amp;A</t>
        </is>
      </c>
      <c r="L102" s="353" t="inlineStr">
        <is>
          <t>Full Acquisition</t>
        </is>
      </c>
      <c r="M102" s="353" t="inlineStr">
        <is>
          <t>100%</t>
        </is>
      </c>
      <c r="N102" s="353" t="inlineStr">
        <is>
          <t>Completed</t>
        </is>
      </c>
      <c r="O102" s="405" t="inlineStr">
        <is>
          <t>Not disclosed</t>
        </is>
      </c>
      <c r="P102" s="353" t="inlineStr">
        <is>
          <t>Not disclosed</t>
        </is>
      </c>
      <c r="Q102" s="406" t="inlineStr">
        <is>
          <t>Not disclosed</t>
        </is>
      </c>
      <c r="R102" s="353" t="inlineStr">
        <is>
          <t>No transaction-specific consideration was verified from the cited primary source.</t>
        </is>
      </c>
      <c r="S102" s="353" t="inlineStr">
        <is>
          <t>Hardware</t>
        </is>
      </c>
      <c r="T102" s="353" t="inlineStr">
        <is>
          <t>Power, Propulsion &amp; Energy</t>
        </is>
      </c>
      <c r="U102" s="353" t="inlineStr">
        <is>
          <t>Core A&amp;D</t>
        </is>
      </c>
      <c r="V102" s="353" t="inlineStr">
        <is>
          <t>UAV Propulsion. Designs and manufactures advanced rotary and heavy-fuel propulsion systems for unmanned aircraft and aerospace applications.</t>
        </is>
      </c>
      <c r="W102" s="353" t="inlineStr">
        <is>
          <t>Ondas Holdings completed its acquisition of Rotron Aerospace Ltd from Rotron Aerospace shareholders on 2026-03-16. Ownership acquired: 100%. No transaction-specific consideration was verified from the cited primary source.</t>
        </is>
      </c>
      <c r="X102" s="353" t="inlineStr">
        <is>
          <t>Not independently verified</t>
        </is>
      </c>
      <c r="Y102" s="353" t="inlineStr">
        <is>
          <t>Verified — primary source</t>
        </is>
      </c>
      <c r="Z102" s="353" t="inlineStr">
        <is>
          <t>https://ir.ondas.com/press-releases/detail/291/ondas-completes-acquisition-of-rotron-aerospace-ltd</t>
        </is>
      </c>
      <c r="AA102" s="353" t="inlineStr">
        <is>
          <t>None used</t>
        </is>
      </c>
      <c r="AB102" s="353" t="inlineStr">
        <is>
          <t>Retain under strict scope; completed transaction and primary A&amp;D focus are supported by the cited source.</t>
        </is>
      </c>
    </row>
    <row r="103" ht="45" customHeight="1">
      <c r="A103" s="353" t="inlineStr">
        <is>
          <t>EUR-102</t>
        </is>
      </c>
      <c r="B103" s="353" t="inlineStr">
        <is>
          <t>Europe</t>
        </is>
      </c>
      <c r="C103" s="353" t="inlineStr">
        <is>
          <t>Italy</t>
        </is>
      </c>
      <c r="D103" s="353" t="inlineStr">
        <is>
          <t>Iveco Group defence business, including Iveco Defence Vehicles</t>
        </is>
      </c>
      <c r="E103" s="353" t="inlineStr">
        <is>
          <t>Leonardo S.p.A.</t>
        </is>
      </c>
      <c r="F103" s="353" t="inlineStr">
        <is>
          <t>Italy</t>
        </is>
      </c>
      <c r="G103" s="353" t="inlineStr">
        <is>
          <t>Iveco Group N.V.</t>
        </is>
      </c>
      <c r="H103" s="403" t="n">
        <v>45868</v>
      </c>
      <c r="I103" s="403" t="n">
        <v>46099</v>
      </c>
      <c r="J103" s="404">
        <f>IFERROR(YEAR(I103),IFERROR(VALUE(LEFT(I103,4)),""))</f>
        <v/>
      </c>
      <c r="K103" s="353" t="inlineStr">
        <is>
          <t>M&amp;A</t>
        </is>
      </c>
      <c r="L103" s="353" t="inlineStr">
        <is>
          <t>Corporate divestiture</t>
        </is>
      </c>
      <c r="M103" s="353" t="inlineStr">
        <is>
          <t>100% of defence business</t>
        </is>
      </c>
      <c r="N103" s="353" t="inlineStr">
        <is>
          <t>Completed</t>
        </is>
      </c>
      <c r="O103" s="405" t="n">
        <v>1600</v>
      </c>
      <c r="P103" s="353" t="inlineStr">
        <is>
          <t>EUR</t>
        </is>
      </c>
      <c r="Q103" s="406" t="inlineStr">
        <is>
          <t>Not disclosed</t>
        </is>
      </c>
      <c r="R103" s="353" t="inlineStr">
        <is>
          <t>Final purchase price; announced enterprise value was EUR1.7bn</t>
        </is>
      </c>
      <c r="S103" s="353" t="inlineStr">
        <is>
          <t>Hardware / Services</t>
        </is>
      </c>
      <c r="T103" s="353" t="inlineStr">
        <is>
          <t>Land Systems &amp; Military Vehicles</t>
        </is>
      </c>
      <c r="U103" s="353" t="inlineStr">
        <is>
          <t>Core A&amp;D</t>
        </is>
      </c>
      <c r="V103" s="353" t="inlineStr">
        <is>
          <t>The business is a core land-defence vehicle manufacturer, but closing occurred in 2026.</t>
        </is>
      </c>
      <c r="W103" s="353" t="inlineStr">
        <is>
          <t>Leonardo S.p.A. completed its acquisition of Iveco Group defence business, including Iveco Defence Vehicles from Iveco Group N.V. on 2026-03-18. Ownership acquired: 100% of defence business. Final purchase price; announced enterprise value was EUR1.7bn</t>
        </is>
      </c>
      <c r="X103" s="353" t="inlineStr">
        <is>
          <t>Not independently verified</t>
        </is>
      </c>
      <c r="Y103" s="353" t="inlineStr">
        <is>
          <t>Verified — primary source</t>
        </is>
      </c>
      <c r="Z103" s="353" t="inlineStr">
        <is>
          <t>https://www.leonardo.com/en/press-release-detail/-/detail/18-03-2026-leonardo-completes-the-acquisition-of-iveco-group-s-defence-business</t>
        </is>
      </c>
      <c r="AA103" s="353" t="inlineStr">
        <is>
          <t>https://www.leonardo.com/documents/15646808/0/LDO_Iveco_CS_ENG_30_07_2025.pdf?t=1753892240159</t>
        </is>
      </c>
      <c r="AB103" s="353" t="inlineStr">
        <is>
          <t>Move out of the 2025 completed set and into 2026. Promoted to the completed population because the transaction legally closed by the 2026-08-02 cutoff.</t>
        </is>
      </c>
    </row>
    <row r="104" ht="45" customHeight="1">
      <c r="A104" s="353" t="inlineStr">
        <is>
          <t>EUR-103</t>
        </is>
      </c>
      <c r="B104" s="353" t="inlineStr">
        <is>
          <t>Europe</t>
        </is>
      </c>
      <c r="C104" s="353" t="inlineStr">
        <is>
          <t>United Kingdom</t>
        </is>
      </c>
      <c r="D104" s="353" t="inlineStr">
        <is>
          <t>STI Enterprises Holdings</t>
        </is>
      </c>
      <c r="E104" s="353" t="inlineStr">
        <is>
          <t>NOTE AB</t>
        </is>
      </c>
      <c r="F104" s="353" t="inlineStr">
        <is>
          <t>Sweden</t>
        </is>
      </c>
      <c r="G104" s="353" t="inlineStr">
        <is>
          <t>STI shareholders</t>
        </is>
      </c>
      <c r="H104" s="403" t="inlineStr">
        <is>
          <t>Not disclosed</t>
        </is>
      </c>
      <c r="I104" s="403" t="n">
        <v>46101</v>
      </c>
      <c r="J104" s="404">
        <f>IFERROR(YEAR(I104),IFERROR(VALUE(LEFT(I104,4)),""))</f>
        <v/>
      </c>
      <c r="K104" s="353" t="inlineStr">
        <is>
          <t>M&amp;A</t>
        </is>
      </c>
      <c r="L104" s="353" t="inlineStr">
        <is>
          <t>Full Acquisition</t>
        </is>
      </c>
      <c r="M104" s="353" t="inlineStr">
        <is>
          <t>100%</t>
        </is>
      </c>
      <c r="N104" s="353" t="inlineStr">
        <is>
          <t>Completed</t>
        </is>
      </c>
      <c r="O104" s="405" t="n">
        <v>72.5</v>
      </c>
      <c r="P104" s="353" t="inlineStr">
        <is>
          <t>GBP</t>
        </is>
      </c>
      <c r="Q104" s="406" t="inlineStr">
        <is>
          <t>Not disclosed</t>
        </is>
      </c>
      <c r="R104" s="353" t="inlineStr">
        <is>
          <t>Purchase price</t>
        </is>
      </c>
      <c r="S104" s="353" t="inlineStr">
        <is>
          <t>Hardware / Services</t>
        </is>
      </c>
      <c r="T104" s="353" t="inlineStr">
        <is>
          <t>Defence Electronics &amp; Sensors</t>
        </is>
      </c>
      <c r="U104" s="353" t="inlineStr">
        <is>
          <t>Core A&amp;D</t>
        </is>
      </c>
      <c r="V104" s="353" t="inlineStr">
        <is>
          <t>Defense Electronics Manufacturing. Provides high-reliability electronics manufacturing, integration and lifecycle services primarily to UK defense and aerospace customers.</t>
        </is>
      </c>
      <c r="W104" s="353" t="inlineStr">
        <is>
          <t>NOTE AB completed its acquisition of STI Enterprises Holdings from STI shareholders on 2026-03-20. Ownership acquired: 100%. Purchase price</t>
        </is>
      </c>
      <c r="X104" s="353" t="inlineStr">
        <is>
          <t>Not independently verified</t>
        </is>
      </c>
      <c r="Y104" s="353" t="inlineStr">
        <is>
          <t>Verified — primary source</t>
        </is>
      </c>
      <c r="Z104" s="353" t="inlineStr">
        <is>
          <t>https://www.note-ems.com/en/press-release/note-strengthens-position-in-defence-through-acquisition-of-sti-uks-leading-ems-defence-industry-partner-reaffirms-2026-outlook-and-announces-q1-outlook/</t>
        </is>
      </c>
      <c r="AA104" s="353" t="inlineStr">
        <is>
          <t>None used</t>
        </is>
      </c>
      <c r="AB104" s="353" t="inlineStr">
        <is>
          <t>Retain under strict scope; completed transaction and primary A&amp;D focus are supported by the cited source.</t>
        </is>
      </c>
    </row>
    <row r="105" ht="45" customHeight="1">
      <c r="A105" s="353" t="inlineStr">
        <is>
          <t>EUR-104</t>
        </is>
      </c>
      <c r="B105" s="353" t="inlineStr">
        <is>
          <t>Europe</t>
        </is>
      </c>
      <c r="C105" s="353" t="inlineStr">
        <is>
          <t>Germany</t>
        </is>
      </c>
      <c r="D105" s="353" t="inlineStr">
        <is>
          <t>VINCORION (FRA: V1NC)</t>
        </is>
      </c>
      <c r="E105" s="353" t="inlineStr">
        <is>
          <t>Fidelity International, Invesco Asset Management</t>
        </is>
      </c>
      <c r="F105" s="353" t="inlineStr">
        <is>
          <t>Public markets</t>
        </is>
      </c>
      <c r="G105" s="353" t="inlineStr">
        <is>
          <t>Issuer / selling shareholders</t>
        </is>
      </c>
      <c r="H105" s="403" t="inlineStr">
        <is>
          <t>Not disclosed</t>
        </is>
      </c>
      <c r="I105" s="403" t="n">
        <v>46101</v>
      </c>
      <c r="J105" s="404">
        <f>IFERROR(YEAR(I105),IFERROR(VALUE(LEFT(I105,4)),""))</f>
        <v/>
      </c>
      <c r="K105" s="353" t="inlineStr">
        <is>
          <t>IPO</t>
        </is>
      </c>
      <c r="L105" s="353" t="inlineStr">
        <is>
          <t>IPO</t>
        </is>
      </c>
      <c r="M105" s="353" t="inlineStr">
        <is>
          <t>IPO — public offering</t>
        </is>
      </c>
      <c r="N105" s="353" t="inlineStr">
        <is>
          <t>Completed</t>
        </is>
      </c>
      <c r="O105" s="405" t="inlineStr">
        <is>
          <t>Not disclosed</t>
        </is>
      </c>
      <c r="P105" s="353" t="inlineStr">
        <is>
          <t>Not disclosed</t>
        </is>
      </c>
      <c r="Q105" s="406" t="inlineStr">
        <is>
          <t>Not disclosed</t>
        </is>
      </c>
      <c r="R105" s="353" t="inlineStr">
        <is>
          <t>No transaction-specific consideration was verified from the cited primary source.</t>
        </is>
      </c>
      <c r="S105" s="353" t="inlineStr">
        <is>
          <t>Hardware / Services</t>
        </is>
      </c>
      <c r="T105" s="353" t="inlineStr">
        <is>
          <t>Power, Propulsion &amp; Energy</t>
        </is>
      </c>
      <c r="U105" s="353" t="inlineStr">
        <is>
          <t>Core A&amp;D</t>
        </is>
      </c>
      <c r="V105" s="353" t="inlineStr">
        <is>
          <t>Defence Electronics &amp; Sensors. Manufacturer of mechatronic products intended for the security and defense, aviation, rail, and transport industries. The company offers power generation, electrical power management, drive systems, and innovation management technologies, providing tailored products that meet the specific requirements of its customers.</t>
        </is>
      </c>
      <c r="W105" s="353" t="inlineStr">
        <is>
          <t>VINCORION (FRA: V1NC) completed its initial public offering and public-market admission on 2026-03-20. No transaction-specific consideration was verified from the cited primary source.</t>
        </is>
      </c>
      <c r="X105" s="353" t="inlineStr">
        <is>
          <t>Not independently verified</t>
        </is>
      </c>
      <c r="Y105" s="353" t="inlineStr">
        <is>
          <t>Verified — primary source</t>
        </is>
      </c>
      <c r="Z105" s="353" t="inlineStr">
        <is>
          <t>https://live.deutsche-boerse.com/news/vincorion-se-joins-the-prime-standard-segment-of-the-frankfurt-stock-exchange</t>
        </is>
      </c>
      <c r="AA105" s="353" t="inlineStr">
        <is>
          <t>None used</t>
        </is>
      </c>
      <c r="AB105" s="353" t="inlineStr">
        <is>
          <t>Retain under strict scope; completed transaction and primary A&amp;D focus are supported by the cited source.</t>
        </is>
      </c>
    </row>
    <row r="106" ht="45" customHeight="1">
      <c r="A106" s="353" t="inlineStr">
        <is>
          <t>EUR-105</t>
        </is>
      </c>
      <c r="B106" s="353" t="inlineStr">
        <is>
          <t>Europe</t>
        </is>
      </c>
      <c r="C106" s="353" t="inlineStr">
        <is>
          <t>Italy</t>
        </is>
      </c>
      <c r="D106" s="353" t="inlineStr">
        <is>
          <t>AiviewGroup</t>
        </is>
      </c>
      <c r="E106" s="353" t="inlineStr">
        <is>
          <t>ENAV</t>
        </is>
      </c>
      <c r="F106" s="353" t="inlineStr">
        <is>
          <t>Italy</t>
        </is>
      </c>
      <c r="G106" s="353" t="inlineStr">
        <is>
          <t>Not disclosed</t>
        </is>
      </c>
      <c r="H106" s="403" t="inlineStr">
        <is>
          <t>Not disclosed</t>
        </is>
      </c>
      <c r="I106" s="403" t="n">
        <v>46107</v>
      </c>
      <c r="J106" s="404">
        <f>IFERROR(YEAR(I106),IFERROR(VALUE(LEFT(I106,4)),""))</f>
        <v/>
      </c>
      <c r="K106" s="353" t="inlineStr">
        <is>
          <t>M&amp;A</t>
        </is>
      </c>
      <c r="L106" s="353" t="inlineStr">
        <is>
          <t>85% controlling acquisition</t>
        </is>
      </c>
      <c r="M106" s="353" t="inlineStr">
        <is>
          <t>85%</t>
        </is>
      </c>
      <c r="N106" s="353" t="inlineStr">
        <is>
          <t>Completed</t>
        </is>
      </c>
      <c r="O106" s="405" t="n">
        <v>7.5</v>
      </c>
      <c r="P106" s="353" t="inlineStr">
        <is>
          <t>EUR</t>
        </is>
      </c>
      <c r="Q106" s="406" t="inlineStr">
        <is>
          <t>Not disclosed</t>
        </is>
      </c>
      <c r="R106" s="353" t="inlineStr">
        <is>
          <t>Consideration for 85% interest</t>
        </is>
      </c>
      <c r="S106" s="353" t="inlineStr">
        <is>
          <t>Hardware / Software / Services</t>
        </is>
      </c>
      <c r="T106" s="353" t="inlineStr">
        <is>
          <t>UAVs &amp; Autonomous Systems</t>
        </is>
      </c>
      <c r="U106" s="353" t="inlineStr">
        <is>
          <t>Core A&amp;D</t>
        </is>
      </c>
      <c r="V106" s="353" t="inlineStr">
        <is>
          <t>UAVs &amp; Autonomous Systems. Provider of aviation consulting and drone services intended to work closely with other global technology companies and institutions in an effort to bring innovation to the market. The company's products offer an micro UAV, mapping, survey, aerial video, IOT, ai, inspection platforms, software, academy, consultant, and UAV solution provider, thereby enabling groundbreaking technologies that combine artificial intelligence and robotics to create the best solution for customer's needs</t>
        </is>
      </c>
      <c r="W106" s="353" t="inlineStr">
        <is>
          <t>ENAV completed its acquisition of AiviewGroup on 2026-03-26. Ownership acquired: 85%. Consideration for 85% interest</t>
        </is>
      </c>
      <c r="X106" s="353" t="inlineStr">
        <is>
          <t>Not independently verified</t>
        </is>
      </c>
      <c r="Y106" s="353" t="inlineStr">
        <is>
          <t>Verified — primary source</t>
        </is>
      </c>
      <c r="Z106" s="353" t="inlineStr">
        <is>
          <t>https://www.enav.it/en/node/18571</t>
        </is>
      </c>
      <c r="AA106" s="353" t="inlineStr">
        <is>
          <t>None used</t>
        </is>
      </c>
      <c r="AB106" s="353" t="inlineStr">
        <is>
          <t>Replace ownership and seller fields: ENAV acquired 85%, not 100%; the Italian Ministry was not the seller.</t>
        </is>
      </c>
    </row>
    <row r="107" ht="45" customHeight="1">
      <c r="A107" s="353" t="inlineStr">
        <is>
          <t>EUR-106</t>
        </is>
      </c>
      <c r="B107" s="353" t="inlineStr">
        <is>
          <t>Europe</t>
        </is>
      </c>
      <c r="C107" s="353" t="inlineStr">
        <is>
          <t>Finland</t>
        </is>
      </c>
      <c r="D107" s="353" t="inlineStr">
        <is>
          <t>Scandinavian Seaplanes Oy / Atol Aviation</t>
        </is>
      </c>
      <c r="E107" s="353" t="inlineStr">
        <is>
          <t>Sensofusion</t>
        </is>
      </c>
      <c r="F107" s="353" t="inlineStr">
        <is>
          <t>Finland</t>
        </is>
      </c>
      <c r="G107" s="353" t="inlineStr">
        <is>
          <t>Atol Aviation shareholders</t>
        </is>
      </c>
      <c r="H107" s="403" t="inlineStr">
        <is>
          <t>Not disclosed</t>
        </is>
      </c>
      <c r="I107" s="403" t="n">
        <v>46112</v>
      </c>
      <c r="J107" s="404">
        <f>IFERROR(YEAR(I107),IFERROR(VALUE(LEFT(I107,4)),""))</f>
        <v/>
      </c>
      <c r="K107" s="353" t="inlineStr">
        <is>
          <t>M&amp;A</t>
        </is>
      </c>
      <c r="L107" s="353" t="inlineStr">
        <is>
          <t>Full Acquisition</t>
        </is>
      </c>
      <c r="M107" s="353" t="inlineStr">
        <is>
          <t>100%</t>
        </is>
      </c>
      <c r="N107" s="353" t="inlineStr">
        <is>
          <t>Completed</t>
        </is>
      </c>
      <c r="O107" s="405" t="inlineStr">
        <is>
          <t>Not disclosed</t>
        </is>
      </c>
      <c r="P107" s="353" t="inlineStr">
        <is>
          <t>Not disclosed</t>
        </is>
      </c>
      <c r="Q107" s="406" t="inlineStr">
        <is>
          <t>Not disclosed</t>
        </is>
      </c>
      <c r="R107" s="353" t="inlineStr">
        <is>
          <t>No transaction-specific consideration was verified from the cited primary source.</t>
        </is>
      </c>
      <c r="S107" s="353" t="inlineStr">
        <is>
          <t>Hardware</t>
        </is>
      </c>
      <c r="T107" s="353" t="inlineStr">
        <is>
          <t>Aerospace Platforms &amp; Components</t>
        </is>
      </c>
      <c r="U107" s="353" t="inlineStr">
        <is>
          <t>Core A&amp;D</t>
        </is>
      </c>
      <c r="V107" s="353" t="inlineStr">
        <is>
          <t>Aircraft Platforms / Dual-Use Aviation. Develops the Atol Protector amphibious aircraft platform for civil, governmental and military operators, with surveillance, patrol, transport and special-purpose applications.</t>
        </is>
      </c>
      <c r="W107" s="353" t="inlineStr">
        <is>
          <t>Sensofusion completed its acquisition of Scandinavian Seaplanes Oy / Atol Aviation from Atol Aviation shareholders on 2026-03-31. Ownership acquired: 100%. No transaction-specific consideration was verified from the cited primary source.</t>
        </is>
      </c>
      <c r="X107" s="353" t="inlineStr">
        <is>
          <t>Not independently verified</t>
        </is>
      </c>
      <c r="Y107" s="353" t="inlineStr">
        <is>
          <t>Verified — primary source</t>
        </is>
      </c>
      <c r="Z107" s="353" t="inlineStr">
        <is>
          <t>https://www.atolaviation.com/atol_news_blog31mar2026.html</t>
        </is>
      </c>
      <c r="AA107" s="353" t="inlineStr">
        <is>
          <t>None used</t>
        </is>
      </c>
      <c r="AB107" s="353" t="inlineStr">
        <is>
          <t>Retain under strict scope; completed transaction and primary A&amp;D focus are supported by the cited source.</t>
        </is>
      </c>
    </row>
    <row r="108" ht="45" customHeight="1">
      <c r="A108" s="353" t="inlineStr">
        <is>
          <t>EUR-107</t>
        </is>
      </c>
      <c r="B108" s="353" t="inlineStr">
        <is>
          <t>Europe</t>
        </is>
      </c>
      <c r="C108" s="353" t="inlineStr">
        <is>
          <t>Germany</t>
        </is>
      </c>
      <c r="D108" s="353" t="inlineStr">
        <is>
          <t>JOWO Systemtechnik AG</t>
        </is>
      </c>
      <c r="E108" s="353" t="inlineStr">
        <is>
          <t>Hexatronic Group AB</t>
        </is>
      </c>
      <c r="F108" s="353" t="inlineStr">
        <is>
          <t>Sweden</t>
        </is>
      </c>
      <c r="G108" s="353" t="inlineStr">
        <is>
          <t>JOWO shareholders</t>
        </is>
      </c>
      <c r="H108" s="403" t="inlineStr">
        <is>
          <t>Not disclosed</t>
        </is>
      </c>
      <c r="I108" s="403" t="n">
        <v>46113</v>
      </c>
      <c r="J108" s="404">
        <f>IFERROR(YEAR(I108),IFERROR(VALUE(LEFT(I108,4)),""))</f>
        <v/>
      </c>
      <c r="K108" s="353" t="inlineStr">
        <is>
          <t>M&amp;A</t>
        </is>
      </c>
      <c r="L108" s="353" t="inlineStr">
        <is>
          <t>Full acquisition</t>
        </is>
      </c>
      <c r="M108" s="353" t="inlineStr">
        <is>
          <t>100%</t>
        </is>
      </c>
      <c r="N108" s="353" t="inlineStr">
        <is>
          <t>Completed</t>
        </is>
      </c>
      <c r="O108" s="405" t="inlineStr">
        <is>
          <t>Not disclosed</t>
        </is>
      </c>
      <c r="P108" s="353" t="inlineStr">
        <is>
          <t>Not disclosed</t>
        </is>
      </c>
      <c r="Q108" s="406" t="inlineStr">
        <is>
          <t>Not disclosed</t>
        </is>
      </c>
      <c r="R108" s="353" t="inlineStr">
        <is>
          <t>No transaction-specific consideration was verified from the cited primary source.</t>
        </is>
      </c>
      <c r="S108" s="353" t="inlineStr">
        <is>
          <t>Hardware</t>
        </is>
      </c>
      <c r="T108" s="353" t="inlineStr">
        <is>
          <t>Defence Electronics &amp; Sensors</t>
        </is>
      </c>
      <c r="U108" s="353" t="inlineStr">
        <is>
          <t>Core A&amp;D</t>
        </is>
      </c>
      <c r="V108" s="353" t="inlineStr">
        <is>
          <t>Rugged Defence Connectivity. Manufacturer and distributor of rugged connectors and systems for defence and harsh environments.</t>
        </is>
      </c>
      <c r="W108" s="353" t="inlineStr">
        <is>
          <t>Hexatronic Group AB completed its acquisition of JOWO Systemtechnik AG from JOWO shareholders on 2026-04-01. Ownership acquired: 100%. No transaction-specific consideration was verified from the cited primary source.</t>
        </is>
      </c>
      <c r="X108" s="353" t="inlineStr">
        <is>
          <t>Not independently verified</t>
        </is>
      </c>
      <c r="Y108" s="353" t="inlineStr">
        <is>
          <t>Verified — primary source</t>
        </is>
      </c>
      <c r="Z108" s="353" t="inlineStr">
        <is>
          <t>https://view.news.eu.nasdaq.com/view?id=b25a24b7060727c77d7454fb182ec8524&amp;lang=en&amp;src=micro</t>
        </is>
      </c>
      <c r="AA108" s="353" t="inlineStr">
        <is>
          <t>None used</t>
        </is>
      </c>
      <c r="AB108" s="353" t="inlineStr">
        <is>
          <t>Retain under strict scope; completed transaction and primary A&amp;D focus are supported by the cited source.</t>
        </is>
      </c>
    </row>
    <row r="109" ht="45" customHeight="1">
      <c r="A109" s="353" t="inlineStr">
        <is>
          <t>EUR-108</t>
        </is>
      </c>
      <c r="B109" s="353" t="inlineStr">
        <is>
          <t>Europe</t>
        </is>
      </c>
      <c r="C109" s="353" t="inlineStr">
        <is>
          <t>United Kingdom</t>
        </is>
      </c>
      <c r="D109" s="353" t="inlineStr">
        <is>
          <t>Smiths Interconnect</t>
        </is>
      </c>
      <c r="E109" s="353" t="inlineStr">
        <is>
          <t>Molex</t>
        </is>
      </c>
      <c r="F109" s="353" t="inlineStr">
        <is>
          <t>United States</t>
        </is>
      </c>
      <c r="G109" s="353" t="inlineStr">
        <is>
          <t>Smiths Group</t>
        </is>
      </c>
      <c r="H109" s="403" t="n">
        <v>45946</v>
      </c>
      <c r="I109" s="403" t="n">
        <v>46113</v>
      </c>
      <c r="J109" s="404">
        <f>IFERROR(YEAR(I109),IFERROR(VALUE(LEFT(I109,4)),""))</f>
        <v/>
      </c>
      <c r="K109" s="353" t="inlineStr">
        <is>
          <t>M&amp;A</t>
        </is>
      </c>
      <c r="L109" s="353" t="inlineStr">
        <is>
          <t>Corporate divestiture / identifiable operating business</t>
        </is>
      </c>
      <c r="M109" s="353" t="inlineStr">
        <is>
          <t>100% of Smiths Interconnect business</t>
        </is>
      </c>
      <c r="N109" s="353" t="inlineStr">
        <is>
          <t>Completed</t>
        </is>
      </c>
      <c r="O109" s="405" t="n">
        <v>1300</v>
      </c>
      <c r="P109" s="353" t="inlineStr">
        <is>
          <t>GBP</t>
        </is>
      </c>
      <c r="Q109" s="406" t="inlineStr">
        <is>
          <t>Not disclosed</t>
        </is>
      </c>
      <c r="R109" s="353" t="inlineStr">
        <is>
          <t>Disclosed sale consideration</t>
        </is>
      </c>
      <c r="S109" s="353" t="inlineStr">
        <is>
          <t>Hardware</t>
        </is>
      </c>
      <c r="T109" s="353" t="inlineStr">
        <is>
          <t>Defence Electronics &amp; Sensors</t>
        </is>
      </c>
      <c r="U109" s="353" t="inlineStr">
        <is>
          <t>Core A&amp;D</t>
        </is>
      </c>
      <c r="V109" s="353" t="inlineStr">
        <is>
          <t>Defence Electronics &amp; Sensors. Manufacturer of connectivity products and solutions cateirng to serve segments of aerospace and defense, medical, semiconductor test, and industrial markets. The company manufactures technically differentiated electronic components, microwave, optical, and radio frequency products, and sub-systems that connect, protect, and control critical applications, thereby catering to the commercial aviation, defense, space, medical, rail, semiconductor test, and industrial market segments.</t>
        </is>
      </c>
      <c r="W109" s="353" t="inlineStr">
        <is>
          <t>Molex completed its acquisition of Smiths Interconnect from Smiths Group on 2026-04-01. Ownership acquired: 100% of Smiths Interconnect business. Disclosed sale consideration</t>
        </is>
      </c>
      <c r="X109" s="353" t="inlineStr">
        <is>
          <t>Not independently verified</t>
        </is>
      </c>
      <c r="Y109" s="353" t="inlineStr">
        <is>
          <t>Verified — primary source</t>
        </is>
      </c>
      <c r="Z109" s="353" t="inlineStr">
        <is>
          <t>https://www.smiths.com/news-and-insights/news/2026/completion-of-smiths-interconnect-sale</t>
        </is>
      </c>
      <c r="AA109" s="353" t="inlineStr">
        <is>
          <t>None used</t>
        </is>
      </c>
      <c r="AB109" s="353" t="inlineStr">
        <is>
          <t>Replace chronology: 16 October 2025 was announcement; completion was 1 April 2026.</t>
        </is>
      </c>
    </row>
    <row r="110" ht="45" customHeight="1">
      <c r="A110" s="353" t="inlineStr">
        <is>
          <t>EUR-109</t>
        </is>
      </c>
      <c r="B110" s="353" t="inlineStr">
        <is>
          <t>Europe</t>
        </is>
      </c>
      <c r="C110" s="353" t="inlineStr">
        <is>
          <t>France</t>
        </is>
      </c>
      <c r="D110" s="353" t="inlineStr">
        <is>
          <t>Texelis Defense (renamed KNDS Mobility)</t>
        </is>
      </c>
      <c r="E110" s="353" t="inlineStr">
        <is>
          <t>KNDS France</t>
        </is>
      </c>
      <c r="F110" s="353" t="inlineStr">
        <is>
          <t>France</t>
        </is>
      </c>
      <c r="G110" s="353" t="inlineStr">
        <is>
          <t>Texelis shareholders</t>
        </is>
      </c>
      <c r="H110" s="403" t="inlineStr">
        <is>
          <t>Not disclosed</t>
        </is>
      </c>
      <c r="I110" s="403" t="n">
        <v>46114</v>
      </c>
      <c r="J110" s="404">
        <f>IFERROR(YEAR(I110),IFERROR(VALUE(LEFT(I110,4)),""))</f>
        <v/>
      </c>
      <c r="K110" s="353" t="inlineStr">
        <is>
          <t>M&amp;A</t>
        </is>
      </c>
      <c r="L110" s="353" t="inlineStr">
        <is>
          <t>Full Acquisition</t>
        </is>
      </c>
      <c r="M110" s="353" t="inlineStr">
        <is>
          <t>100%</t>
        </is>
      </c>
      <c r="N110" s="353" t="inlineStr">
        <is>
          <t>Completed</t>
        </is>
      </c>
      <c r="O110" s="405" t="inlineStr">
        <is>
          <t>Not disclosed</t>
        </is>
      </c>
      <c r="P110" s="353" t="inlineStr">
        <is>
          <t>Not disclosed</t>
        </is>
      </c>
      <c r="Q110" s="406" t="inlineStr">
        <is>
          <t>Not disclosed</t>
        </is>
      </c>
      <c r="R110" s="353" t="inlineStr">
        <is>
          <t>No transaction-specific consideration was verified from the cited primary source.</t>
        </is>
      </c>
      <c r="S110" s="353" t="inlineStr">
        <is>
          <t>Hardware / Services</t>
        </is>
      </c>
      <c r="T110" s="353" t="inlineStr">
        <is>
          <t>Land Systems &amp; Military Vehicles</t>
        </is>
      </c>
      <c r="U110" s="353" t="inlineStr">
        <is>
          <t>Core A&amp;D</t>
        </is>
      </c>
      <c r="V110" s="353" t="inlineStr">
        <is>
          <t>Land Systems / Military Vehicle Mobility. Designs and manufactures mobility systems, axles and complete driveline solutions for wheeled armored and special-purpose military vehicles.</t>
        </is>
      </c>
      <c r="W110" s="353" t="inlineStr">
        <is>
          <t>KNDS France completed its acquisition of Texelis Defense (renamed KNDS Mobility) from Texelis shareholders on 2026-04-02. Ownership acquired: 100%. No transaction-specific consideration was verified from the cited primary source.</t>
        </is>
      </c>
      <c r="X110" s="353" t="inlineStr">
        <is>
          <t>Not independently verified</t>
        </is>
      </c>
      <c r="Y110" s="353" t="inlineStr">
        <is>
          <t>Verified — primary source</t>
        </is>
      </c>
      <c r="Z110" s="353" t="inlineStr">
        <is>
          <t>https://knds.com/en/press-releases/texelis-defense-becomes-knds-mobility-and-joins-the-european-leader-in-land-defense</t>
        </is>
      </c>
      <c r="AA110" s="353" t="inlineStr">
        <is>
          <t>None used</t>
        </is>
      </c>
      <c r="AB110" s="353" t="inlineStr">
        <is>
          <t>Retain under strict scope; completed transaction and primary A&amp;D focus are supported by the cited source.</t>
        </is>
      </c>
    </row>
    <row r="111" ht="45" customHeight="1">
      <c r="A111" s="353" t="inlineStr">
        <is>
          <t>EUR-110</t>
        </is>
      </c>
      <c r="B111" s="353" t="inlineStr">
        <is>
          <t>Europe</t>
        </is>
      </c>
      <c r="C111" s="353" t="inlineStr">
        <is>
          <t>Germany</t>
        </is>
      </c>
      <c r="D111" s="353" t="inlineStr">
        <is>
          <t>AeroDesignWorks GmbH</t>
        </is>
      </c>
      <c r="E111" s="353" t="inlineStr">
        <is>
          <t>MTU Aero Engines</t>
        </is>
      </c>
      <c r="F111" s="353" t="inlineStr">
        <is>
          <t>Germany</t>
        </is>
      </c>
      <c r="G111" s="353" t="inlineStr">
        <is>
          <t>AeroDesignWorks shareholders</t>
        </is>
      </c>
      <c r="H111" s="403" t="n">
        <v>46120</v>
      </c>
      <c r="I111" s="403" t="n">
        <v>46120</v>
      </c>
      <c r="J111" s="404">
        <f>IFERROR(YEAR(I111),IFERROR(VALUE(LEFT(I111,4)),""))</f>
        <v/>
      </c>
      <c r="K111" s="353" t="inlineStr">
        <is>
          <t>M&amp;A</t>
        </is>
      </c>
      <c r="L111" s="353" t="inlineStr">
        <is>
          <t>Full company acquisition</t>
        </is>
      </c>
      <c r="M111" s="353" t="inlineStr">
        <is>
          <t>100%</t>
        </is>
      </c>
      <c r="N111" s="353" t="inlineStr">
        <is>
          <t>Completed</t>
        </is>
      </c>
      <c r="O111" s="405" t="inlineStr">
        <is>
          <t>Not disclosed</t>
        </is>
      </c>
      <c r="P111" s="353" t="inlineStr">
        <is>
          <t>Not disclosed</t>
        </is>
      </c>
      <c r="Q111" s="406" t="inlineStr">
        <is>
          <t>Not disclosed</t>
        </is>
      </c>
      <c r="R111" s="353" t="inlineStr">
        <is>
          <t>No transaction-specific consideration was verified from the cited primary source.</t>
        </is>
      </c>
      <c r="S111" s="353" t="inlineStr">
        <is>
          <t>Hardware / Services</t>
        </is>
      </c>
      <c r="T111" s="353" t="inlineStr">
        <is>
          <t>Power, Propulsion &amp; Energy</t>
        </is>
      </c>
      <c r="U111" s="353" t="inlineStr">
        <is>
          <t>Core A&amp;D</t>
        </is>
      </c>
      <c r="V111" s="353" t="inlineStr">
        <is>
          <t>UAV Propulsion / Aerospace Engineering. Provides aerospace design and engineering capabilities, including propulsion-system development for unmanned and advanced aircraft.</t>
        </is>
      </c>
      <c r="W111" s="353" t="inlineStr">
        <is>
          <t>MTU Aero Engines completed its acquisition of AeroDesignWorks GmbH from AeroDesignWorks shareholders on 2026-04-08. Ownership acquired: 100%. No transaction-specific consideration was verified from the cited primary source.</t>
        </is>
      </c>
      <c r="X111" s="353" t="inlineStr">
        <is>
          <t>Not independently verified</t>
        </is>
      </c>
      <c r="Y111" s="353" t="inlineStr">
        <is>
          <t>Verified — primary source</t>
        </is>
      </c>
      <c r="Z111" s="353" t="inlineStr">
        <is>
          <t>https://www.mtu.de/newsroom/press/latest-press-releases/press-release-detail/mtu-aero-engines-expands-its-portfolio-to-include-uav-propulsion-systems/</t>
        </is>
      </c>
      <c r="AA111" s="353" t="inlineStr">
        <is>
          <t>None used</t>
        </is>
      </c>
      <c r="AB111" s="353" t="inlineStr">
        <is>
          <t>Replace status: the official MTU release states MTU acquired 100%; treat 8 April as completed.</t>
        </is>
      </c>
    </row>
    <row r="112" ht="45" customHeight="1">
      <c r="A112" s="353" t="inlineStr">
        <is>
          <t>EUR-111</t>
        </is>
      </c>
      <c r="B112" s="353" t="inlineStr">
        <is>
          <t>Europe</t>
        </is>
      </c>
      <c r="C112" s="353" t="inlineStr">
        <is>
          <t>Germany</t>
        </is>
      </c>
      <c r="D112" s="353" t="inlineStr">
        <is>
          <t>Mynaric (STU: M0Y)</t>
        </is>
      </c>
      <c r="E112" s="353" t="inlineStr">
        <is>
          <t>Rocket Lab</t>
        </is>
      </c>
      <c r="F112" s="353" t="inlineStr">
        <is>
          <t>United States</t>
        </is>
      </c>
      <c r="G112" s="353" t="inlineStr">
        <is>
          <t>Mynaric shareholders and creditors under restructuring</t>
        </is>
      </c>
      <c r="H112" s="403" t="inlineStr">
        <is>
          <t>Not disclosed</t>
        </is>
      </c>
      <c r="I112" s="403" t="n">
        <v>46126</v>
      </c>
      <c r="J112" s="404">
        <f>IFERROR(YEAR(I112),IFERROR(VALUE(LEFT(I112,4)),""))</f>
        <v/>
      </c>
      <c r="K112" s="353" t="inlineStr">
        <is>
          <t>M&amp;A</t>
        </is>
      </c>
      <c r="L112" s="353" t="inlineStr">
        <is>
          <t>Full company acquisition</t>
        </is>
      </c>
      <c r="M112" s="353" t="inlineStr">
        <is>
          <t>100%</t>
        </is>
      </c>
      <c r="N112" s="353" t="inlineStr">
        <is>
          <t>Completed</t>
        </is>
      </c>
      <c r="O112" s="405" t="n">
        <v>155.3</v>
      </c>
      <c r="P112" s="353" t="inlineStr">
        <is>
          <t>USD</t>
        </is>
      </c>
      <c r="Q112" s="406" t="n">
        <v>155.3</v>
      </c>
      <c r="R112" s="353" t="inlineStr">
        <is>
          <t>Aggregate acquisition consideration reported in SEC filing</t>
        </is>
      </c>
      <c r="S112" s="353" t="inlineStr">
        <is>
          <t>Hardware / Software</t>
        </is>
      </c>
      <c r="T112" s="353" t="inlineStr">
        <is>
          <t>Space &amp; Satellite Systems</t>
        </is>
      </c>
      <c r="U112" s="353" t="inlineStr">
        <is>
          <t>Core A&amp;D</t>
        </is>
      </c>
      <c r="V112" s="353" t="inlineStr">
        <is>
          <t>Space &amp; Satellite Systems. Mynaric AG operates in the communication equipment business sector. The company is engaged in the manufacture and sale of products and projects and the provision of services in the field of laser technology, in particular in the aerospace, telematics, and satellite services sectors. It operates in two segments: Air and Space. The space segment comprises CONDOR terminals, and the Air segment comprises HAWK terminals. The company's product portfolio consists of Optical ground stations, Air-to-ground terminals, Air-to-air terminals, Space terminals, and Custom products and subcomponents. Its applications consist of high-altitude networks, remote eyes, satellite constellations, earth observation satellites, and others. Geographically, its key revenue is derived from the United States.</t>
        </is>
      </c>
      <c r="W112" s="353" t="inlineStr">
        <is>
          <t>Rocket Lab completed its acquisition of Mynaric (STU: M0Y) from Mynaric shareholders and creditors under restructuring on 2026-04-14. Ownership acquired: 100%. Aggregate acquisition consideration reported in SEC filing</t>
        </is>
      </c>
      <c r="X112" s="353" t="inlineStr">
        <is>
          <t>Not independently verified</t>
        </is>
      </c>
      <c r="Y112" s="353" t="inlineStr">
        <is>
          <t>Verified — primary source</t>
        </is>
      </c>
      <c r="Z112" s="353" t="inlineStr">
        <is>
          <t>https://investors.rocketlabcorp.com/static-files/28eab5d7-0a30-4c60-a5ba-1b85e980450d</t>
        </is>
      </c>
      <c r="AA112" s="353" t="inlineStr">
        <is>
          <t>None used</t>
        </is>
      </c>
      <c r="AB112" s="353" t="inlineStr">
        <is>
          <t>Replace date/value: regulatory approval was 30 March, but closing was 14 April; aggregate consideration was USD 155.3m.</t>
        </is>
      </c>
    </row>
    <row r="113" ht="45" customHeight="1">
      <c r="A113" s="353" t="inlineStr">
        <is>
          <t>EUR-112</t>
        </is>
      </c>
      <c r="B113" s="353" t="inlineStr">
        <is>
          <t>Europe</t>
        </is>
      </c>
      <c r="C113" s="353" t="inlineStr">
        <is>
          <t>Belgium</t>
        </is>
      </c>
      <c r="D113" s="353" t="inlineStr">
        <is>
          <t>Starion Group</t>
        </is>
      </c>
      <c r="E113" s="353" t="inlineStr">
        <is>
          <t>Sopra Steria / CS Group</t>
        </is>
      </c>
      <c r="F113" s="353" t="inlineStr">
        <is>
          <t>France</t>
        </is>
      </c>
      <c r="G113" s="353" t="inlineStr">
        <is>
          <t>Starion Group shareholders</t>
        </is>
      </c>
      <c r="H113" s="403" t="inlineStr">
        <is>
          <t>Not disclosed</t>
        </is>
      </c>
      <c r="I113" s="403" t="n">
        <v>46142</v>
      </c>
      <c r="J113" s="404">
        <f>IFERROR(YEAR(I113),IFERROR(VALUE(LEFT(I113,4)),""))</f>
        <v/>
      </c>
      <c r="K113" s="353" t="inlineStr">
        <is>
          <t>M&amp;A</t>
        </is>
      </c>
      <c r="L113" s="353" t="inlineStr">
        <is>
          <t>Full Acquisition</t>
        </is>
      </c>
      <c r="M113" s="353" t="inlineStr">
        <is>
          <t>100%</t>
        </is>
      </c>
      <c r="N113" s="353" t="inlineStr">
        <is>
          <t>Completed</t>
        </is>
      </c>
      <c r="O113" s="405" t="inlineStr">
        <is>
          <t>Not disclosed</t>
        </is>
      </c>
      <c r="P113" s="353" t="inlineStr">
        <is>
          <t>Not disclosed</t>
        </is>
      </c>
      <c r="Q113" s="406" t="inlineStr">
        <is>
          <t>Not disclosed</t>
        </is>
      </c>
      <c r="R113" s="353" t="inlineStr">
        <is>
          <t>No transaction-specific consideration was verified from the cited primary source.</t>
        </is>
      </c>
      <c r="S113" s="353" t="inlineStr">
        <is>
          <t>Software / Services</t>
        </is>
      </c>
      <c r="T113" s="353" t="inlineStr">
        <is>
          <t>Space &amp; Satellite Systems</t>
        </is>
      </c>
      <c r="U113" s="353" t="inlineStr">
        <is>
          <t>Core A&amp;D</t>
        </is>
      </c>
      <c r="V113" s="353" t="inlineStr">
        <is>
          <t>Space Systems Engineering / Mission Operations. Provides space systems engineering, mission operations, ground-segment, data and cybersecurity services to European institutional and commercial customers.</t>
        </is>
      </c>
      <c r="W113" s="353" t="inlineStr">
        <is>
          <t>Sopra Steria / CS Group completed its acquisition of Starion Group from Starion Group shareholders on 2026-04-30. Ownership acquired: 100%. No transaction-specific consideration was verified from the cited primary source.</t>
        </is>
      </c>
      <c r="X113" s="353" t="inlineStr">
        <is>
          <t>Not independently verified</t>
        </is>
      </c>
      <c r="Y113" s="353" t="inlineStr">
        <is>
          <t>Verified — primary source</t>
        </is>
      </c>
      <c r="Z113" s="353" t="inlineStr">
        <is>
          <t>https://www.stariongroup.eu/completion-of-starion-and-nexova-acquisitions/</t>
        </is>
      </c>
      <c r="AA113" s="353" t="inlineStr">
        <is>
          <t>None used</t>
        </is>
      </c>
      <c r="AB113" s="353" t="inlineStr">
        <is>
          <t>Retain under strict scope; completed transaction and primary A&amp;D focus are supported by the cited source.</t>
        </is>
      </c>
    </row>
    <row r="114" ht="45" customHeight="1">
      <c r="A114" s="353" t="inlineStr">
        <is>
          <t>EUR-113</t>
        </is>
      </c>
      <c r="B114" s="353" t="inlineStr">
        <is>
          <t>Europe</t>
        </is>
      </c>
      <c r="C114" s="353" t="inlineStr">
        <is>
          <t>France</t>
        </is>
      </c>
      <c r="D114" s="353" t="inlineStr">
        <is>
          <t>Tethys</t>
        </is>
      </c>
      <c r="E114" s="353" t="inlineStr">
        <is>
          <t>Abenex</t>
        </is>
      </c>
      <c r="F114" s="353" t="inlineStr">
        <is>
          <t>France</t>
        </is>
      </c>
      <c r="G114" s="353" t="inlineStr">
        <is>
          <t>Tethys shareholders</t>
        </is>
      </c>
      <c r="H114" s="403" t="inlineStr">
        <is>
          <t>Not disclosed</t>
        </is>
      </c>
      <c r="I114" s="403" t="n">
        <v>46146</v>
      </c>
      <c r="J114" s="404">
        <f>IFERROR(YEAR(I114),IFERROR(VALUE(LEFT(I114,4)),""))</f>
        <v/>
      </c>
      <c r="K114" s="353" t="inlineStr">
        <is>
          <t>M&amp;A</t>
        </is>
      </c>
      <c r="L114" s="353" t="inlineStr">
        <is>
          <t>Majority Stake</t>
        </is>
      </c>
      <c r="M114" s="353" t="inlineStr">
        <is>
          <t>Majority stake, alongside management and Bpifrance</t>
        </is>
      </c>
      <c r="N114" s="353" t="inlineStr">
        <is>
          <t>Completed</t>
        </is>
      </c>
      <c r="O114" s="405" t="inlineStr">
        <is>
          <t>Not disclosed</t>
        </is>
      </c>
      <c r="P114" s="353" t="inlineStr">
        <is>
          <t>Not disclosed</t>
        </is>
      </c>
      <c r="Q114" s="406" t="inlineStr">
        <is>
          <t>Not disclosed</t>
        </is>
      </c>
      <c r="R114" s="353" t="inlineStr">
        <is>
          <t>No transaction-specific consideration was verified from the cited primary source.</t>
        </is>
      </c>
      <c r="S114" s="353" t="inlineStr">
        <is>
          <t>Hardware</t>
        </is>
      </c>
      <c r="T114" s="353" t="inlineStr">
        <is>
          <t>Ammunition &amp; Weapons</t>
        </is>
      </c>
      <c r="U114" s="353" t="inlineStr">
        <is>
          <t>Core A&amp;D</t>
        </is>
      </c>
      <c r="V114" s="353" t="inlineStr">
        <is>
          <t>Pyrotechnics / Aerospace Components. Designs and manufactures pyrotechnic and pyromechanical components and systems for defense, aerospace and space programs.</t>
        </is>
      </c>
      <c r="W114" s="353" t="inlineStr">
        <is>
          <t>Abenex completed its acquisition of Tethys from Tethys shareholders on 2026-05 (exact day not disclosed). Ownership acquired: Majority stake; percentage not disclosed. No transaction-specific consideration was verified from the cited primary source.</t>
        </is>
      </c>
      <c r="X114" s="353" t="inlineStr">
        <is>
          <t>Not independently verified</t>
        </is>
      </c>
      <c r="Y114" s="353" t="inlineStr">
        <is>
          <t>Verified — primary source</t>
        </is>
      </c>
      <c r="Z114" s="353" t="inlineStr">
        <is>
          <t>https://www.abenex.com/en/publications/abenex-acquires-tethys</t>
        </is>
      </c>
      <c r="AA114" s="353" t="inlineStr">
        <is>
          <t>https://largilliere-finance.com/en/tethys-welcomes-abenex-as-its-new-majority-shareholder/</t>
        </is>
      </c>
      <c r="AB114" s="353" t="inlineStr">
        <is>
          <t>Retain under strict scope; completed transaction and primary A&amp;D focus are supported by the cited source. CORRECTED 2026-08-02: date was held as the text string '2026-05 (estimated)'. Abenex announced the transaction on 4 May 2026; it is a majority-stake LBO taken alongside management and Bpifrance, which reinvested.</t>
        </is>
      </c>
    </row>
    <row r="115" ht="45" customHeight="1">
      <c r="A115" s="353" t="inlineStr">
        <is>
          <t>EUR-114</t>
        </is>
      </c>
      <c r="B115" s="353" t="inlineStr">
        <is>
          <t>Europe</t>
        </is>
      </c>
      <c r="C115" s="353" t="inlineStr">
        <is>
          <t>France</t>
        </is>
      </c>
      <c r="D115" s="353" t="inlineStr">
        <is>
          <t>Gauzy SAS / Vision Systems aeronautical activities</t>
        </is>
      </c>
      <c r="E115" s="353" t="inlineStr">
        <is>
          <t>Clayens</t>
        </is>
      </c>
      <c r="F115" s="353" t="inlineStr">
        <is>
          <t>France</t>
        </is>
      </c>
      <c r="G115" s="353" t="inlineStr">
        <is>
          <t>Gauzy SAS / court-supervised process</t>
        </is>
      </c>
      <c r="H115" s="403" t="inlineStr">
        <is>
          <t>Not disclosed</t>
        </is>
      </c>
      <c r="I115" s="403" t="n">
        <v>46161</v>
      </c>
      <c r="J115" s="404">
        <f>IFERROR(YEAR(I115),IFERROR(VALUE(LEFT(I115,4)),""))</f>
        <v/>
      </c>
      <c r="K115" s="353" t="inlineStr">
        <is>
          <t>M&amp;A</t>
        </is>
      </c>
      <c r="L115" s="353" t="inlineStr">
        <is>
          <t>Court-approved acquisition of identifiable aeronautical operating business</t>
        </is>
      </c>
      <c r="M115" s="353" t="inlineStr">
        <is>
          <t>100% of specified aeronautical operating business</t>
        </is>
      </c>
      <c r="N115" s="353" t="inlineStr">
        <is>
          <t>Completed</t>
        </is>
      </c>
      <c r="O115" s="405" t="inlineStr">
        <is>
          <t>Not disclosed</t>
        </is>
      </c>
      <c r="P115" s="353" t="inlineStr">
        <is>
          <t>Not disclosed</t>
        </is>
      </c>
      <c r="Q115" s="406" t="inlineStr">
        <is>
          <t>Not disclosed</t>
        </is>
      </c>
      <c r="R115" s="353" t="inlineStr">
        <is>
          <t>No transaction-specific consideration was verified from the cited primary source.</t>
        </is>
      </c>
      <c r="S115" s="353" t="inlineStr">
        <is>
          <t>Hardware</t>
        </is>
      </c>
      <c r="T115" s="353" t="inlineStr">
        <is>
          <t>Aerospace Platforms &amp; Components</t>
        </is>
      </c>
      <c r="U115" s="353" t="inlineStr">
        <is>
          <t>Core A&amp;D</t>
        </is>
      </c>
      <c r="V115" s="353" t="inlineStr">
        <is>
          <t>Transferred aeronautical operating activities produce aircraft vision/shading systems; treated as an identifiable aerospace business carve-out.</t>
        </is>
      </c>
      <c r="W115" s="353" t="inlineStr">
        <is>
          <t>Clayens completed its acquisition of Gauzy SAS / Vision Systems aeronautical activities from Gauzy SAS / court-supervised process on 2026-05-19. Ownership acquired: 100% of specified aeronautical operating business. No transaction-specific consideration was verified from the cited primary source.</t>
        </is>
      </c>
      <c r="X115" s="353" t="inlineStr">
        <is>
          <t>Not independently verified</t>
        </is>
      </c>
      <c r="Y115" s="353" t="inlineStr">
        <is>
          <t>Verified — primary source</t>
        </is>
      </c>
      <c r="Z115" s="353" t="inlineStr">
        <is>
          <t>https://www.clayens.com/en/sintex-group-news/clayens-announces-acquisition-aeronautical-activities-gauzy-sasvision-systems-and</t>
        </is>
      </c>
      <c r="AA115" s="353" t="inlineStr">
        <is>
          <t>None used</t>
        </is>
      </c>
      <c r="AB115" s="353" t="inlineStr">
        <is>
          <t>Retain under strict scope; completed transaction and primary A&amp;D focus are supported by the cited source.</t>
        </is>
      </c>
    </row>
    <row r="116" ht="45" customHeight="1">
      <c r="A116" s="353" t="inlineStr">
        <is>
          <t>EUR-115</t>
        </is>
      </c>
      <c r="B116" s="353" t="inlineStr">
        <is>
          <t>Europe</t>
        </is>
      </c>
      <c r="C116" s="353" t="inlineStr">
        <is>
          <t>Sweden</t>
        </is>
      </c>
      <c r="D116" s="353" t="inlineStr">
        <is>
          <t>Aston Harald Mekaniska Verkstad AB</t>
        </is>
      </c>
      <c r="E116" s="353" t="inlineStr">
        <is>
          <t>BAE Systems Bofors AB</t>
        </is>
      </c>
      <c r="F116" s="353" t="inlineStr">
        <is>
          <t>Sweden</t>
        </is>
      </c>
      <c r="G116" s="353" t="inlineStr">
        <is>
          <t>Aston Harald shareholders</t>
        </is>
      </c>
      <c r="H116" s="403" t="inlineStr">
        <is>
          <t>Not disclosed</t>
        </is>
      </c>
      <c r="I116" s="403" t="n">
        <v>46162</v>
      </c>
      <c r="J116" s="404">
        <f>IFERROR(YEAR(I116),IFERROR(VALUE(LEFT(I116,4)),""))</f>
        <v/>
      </c>
      <c r="K116" s="353" t="inlineStr">
        <is>
          <t>M&amp;A</t>
        </is>
      </c>
      <c r="L116" s="353" t="inlineStr">
        <is>
          <t>Full acquisition</t>
        </is>
      </c>
      <c r="M116" s="353" t="inlineStr">
        <is>
          <t>100%</t>
        </is>
      </c>
      <c r="N116" s="353" t="inlineStr">
        <is>
          <t>Completed</t>
        </is>
      </c>
      <c r="O116" s="405" t="inlineStr">
        <is>
          <t>Not disclosed</t>
        </is>
      </c>
      <c r="P116" s="353" t="inlineStr">
        <is>
          <t>Not disclosed</t>
        </is>
      </c>
      <c r="Q116" s="406" t="inlineStr">
        <is>
          <t>Not disclosed</t>
        </is>
      </c>
      <c r="R116" s="353" t="inlineStr">
        <is>
          <t>No transaction-specific consideration was verified from the cited primary source.</t>
        </is>
      </c>
      <c r="S116" s="353" t="inlineStr">
        <is>
          <t>Hardware</t>
        </is>
      </c>
      <c r="T116" s="353" t="inlineStr">
        <is>
          <t>Aerospace Materials &amp; Components</t>
        </is>
      </c>
      <c r="U116" s="353" t="inlineStr">
        <is>
          <t>Core A&amp;D</t>
        </is>
      </c>
      <c r="V116" s="353" t="inlineStr">
        <is>
          <t>Defence &amp; Aerospace Precision Manufacturing. Precision-machining and complex-structures supplier for defence, aerospace and other industrial markets.</t>
        </is>
      </c>
      <c r="W116" s="353" t="inlineStr">
        <is>
          <t>BAE Systems Bofors AB completed its acquisition of Aston Harald Mekaniska Verkstad AB from Aston Harald shareholders on 2026-05-20. Ownership acquired: 100%. No transaction-specific consideration was verified from the cited primary source.</t>
        </is>
      </c>
      <c r="X116" s="353" t="inlineStr">
        <is>
          <t>Not independently verified</t>
        </is>
      </c>
      <c r="Y116" s="353" t="inlineStr">
        <is>
          <t>Verified — primary source</t>
        </is>
      </c>
      <c r="Z116" s="353" t="inlineStr">
        <is>
          <t>https://www.baesystems.com/en-uk/article/bae-systems-has-entered-into-an-agreement-to-acquire-aston-harald-mekaniska-verkstad</t>
        </is>
      </c>
      <c r="AA116" s="353" t="inlineStr">
        <is>
          <t>None used</t>
        </is>
      </c>
      <c r="AB116" s="353" t="inlineStr">
        <is>
          <t>Retain under strict scope; completed transaction and primary A&amp;D focus are supported by the cited source.</t>
        </is>
      </c>
    </row>
    <row r="117" ht="45" customHeight="1">
      <c r="A117" s="353" t="inlineStr">
        <is>
          <t>EUR-116</t>
        </is>
      </c>
      <c r="B117" s="353" t="inlineStr">
        <is>
          <t>Europe</t>
        </is>
      </c>
      <c r="C117" s="353" t="inlineStr">
        <is>
          <t>Estonia</t>
        </is>
      </c>
      <c r="D117" s="353" t="inlineStr">
        <is>
          <t>Hevi Optronics OÜ</t>
        </is>
      </c>
      <c r="E117" s="353" t="inlineStr">
        <is>
          <t>Quantum-Systems GmbH</t>
        </is>
      </c>
      <c r="F117" s="353" t="inlineStr">
        <is>
          <t>Germany</t>
        </is>
      </c>
      <c r="G117" s="353" t="inlineStr">
        <is>
          <t>Existing Hevi Optronics shareholders</t>
        </is>
      </c>
      <c r="H117" s="403" t="n">
        <v>46081</v>
      </c>
      <c r="I117" s="403" t="n">
        <v>46162</v>
      </c>
      <c r="J117" s="404">
        <f>IFERROR(YEAR(I117),IFERROR(VALUE(LEFT(I117,4)),""))</f>
        <v/>
      </c>
      <c r="K117" s="353" t="inlineStr">
        <is>
          <t>M&amp;A</t>
        </is>
      </c>
      <c r="L117" s="353" t="inlineStr">
        <is>
          <t>60% majority acquisition</t>
        </is>
      </c>
      <c r="M117" s="353" t="inlineStr">
        <is>
          <t>60% and sole control</t>
        </is>
      </c>
      <c r="N117" s="353" t="inlineStr">
        <is>
          <t>Completed</t>
        </is>
      </c>
      <c r="O117" s="405" t="inlineStr">
        <is>
          <t>Not disclosed</t>
        </is>
      </c>
      <c r="P117" s="353" t="inlineStr">
        <is>
          <t>Not disclosed</t>
        </is>
      </c>
      <c r="Q117" s="406" t="inlineStr">
        <is>
          <t>Not disclosed</t>
        </is>
      </c>
      <c r="R117" s="353" t="inlineStr">
        <is>
          <t>Not disclosed</t>
        </is>
      </c>
      <c r="S117" s="353" t="inlineStr">
        <is>
          <t>Hardware / Software</t>
        </is>
      </c>
      <c r="T117" s="353" t="inlineStr">
        <is>
          <t>Defence Electronics &amp; Sensors</t>
        </is>
      </c>
      <c r="U117" s="353" t="inlineStr">
        <is>
          <t>Core A&amp;D</t>
        </is>
      </c>
      <c r="V117" s="353" t="inlineStr">
        <is>
          <t>Estonian regulator identifies electro-optical sensor systems, remote weapon systems and drone/defence integration; target is a core defence-technology company.</t>
        </is>
      </c>
      <c r="W117" s="353" t="inlineStr">
        <is>
          <t>Quantum-Systems GmbH completed its acquisition of Hevi Optronics OÜ from Existing Hevi Optronics shareholders on 2026-05-20. Ownership acquired: 60% and sole control. Not disclosed</t>
        </is>
      </c>
      <c r="X117" s="353" t="inlineStr">
        <is>
          <t>Not independently verified</t>
        </is>
      </c>
      <c r="Y117" s="353" t="inlineStr">
        <is>
          <t>Verified — primary source</t>
        </is>
      </c>
      <c r="Z117" s="353" t="inlineStr">
        <is>
          <t>https://www.konkurentsiamet.ee/sites/default/files/documents/2026-04/31.03.2026%20otsus%20nr%205-5-2026-011.pdf</t>
        </is>
      </c>
      <c r="AA117" s="353" t="inlineStr">
        <is>
          <t>None used</t>
        </is>
      </c>
      <c r="AB117" s="353" t="inlineStr">
        <is>
          <t>Confirmed omission. Agreement signed 28 February, competition approval granted 31 March, and 60% ownership/control registered effective 20 May 2026.</t>
        </is>
      </c>
    </row>
    <row r="118" ht="45" customHeight="1">
      <c r="A118" s="353" t="inlineStr">
        <is>
          <t>EUR-117</t>
        </is>
      </c>
      <c r="B118" s="353" t="inlineStr">
        <is>
          <t>Europe</t>
        </is>
      </c>
      <c r="C118" s="353" t="inlineStr">
        <is>
          <t>Monaco</t>
        </is>
      </c>
      <c r="D118" s="353" t="inlineStr">
        <is>
          <t>MARSS Defence business</t>
        </is>
      </c>
      <c r="E118" s="353" t="inlineStr">
        <is>
          <t>Electro Optic Systems Holdings Limited</t>
        </is>
      </c>
      <c r="F118" s="353" t="inlineStr">
        <is>
          <t>Australia</t>
        </is>
      </c>
      <c r="G118" s="353" t="inlineStr">
        <is>
          <t>MARSS vendors</t>
        </is>
      </c>
      <c r="H118" s="403" t="n">
        <v>46034</v>
      </c>
      <c r="I118" s="403" t="n">
        <v>46163</v>
      </c>
      <c r="J118" s="404">
        <f>IFERROR(YEAR(I118),IFERROR(VALUE(LEFT(I118,4)),""))</f>
        <v/>
      </c>
      <c r="K118" s="353" t="inlineStr">
        <is>
          <t>M&amp;A</t>
        </is>
      </c>
      <c r="L118" s="353" t="inlineStr">
        <is>
          <t>Asset acquisition of an identifiable operating defence business</t>
        </is>
      </c>
      <c r="M118" s="353" t="inlineStr">
        <is>
          <t>100% of the acquired MARSS defence business assets and operations</t>
        </is>
      </c>
      <c r="N118" s="353" t="inlineStr">
        <is>
          <t>Completed</t>
        </is>
      </c>
      <c r="O118" s="405" t="n">
        <v>36</v>
      </c>
      <c r="P118" s="353" t="inlineStr">
        <is>
          <t>USD</t>
        </is>
      </c>
      <c r="Q118" s="406" t="n">
        <v>36</v>
      </c>
      <c r="R118" s="353" t="inlineStr">
        <is>
          <t>Upfront cash consideration; separate contingent earn-out up to EUR 140m</t>
        </is>
      </c>
      <c r="S118" s="353" t="inlineStr">
        <is>
          <t>Hardware / Software / Services</t>
        </is>
      </c>
      <c r="T118" s="353" t="inlineStr">
        <is>
          <t>Defence Computing &amp; Rugged Systems</t>
        </is>
      </c>
      <c r="U118" s="353" t="inlineStr">
        <is>
          <t>Core A&amp;D</t>
        </is>
      </c>
      <c r="V118" s="353" t="inlineStr">
        <is>
          <t>Identifiable operating defence business centered on NiDAR AI-enabled command-and-control, sensor fusion and counter-UAS technology.</t>
        </is>
      </c>
      <c r="W118" s="353" t="inlineStr">
        <is>
          <t>Electro Optic Systems Holdings Limited completed its acquisition of MARSS Defence business from MARSS vendors on 2026-05-21. Ownership acquired: 100% of the acquired MARSS defence business assets and operations. Upfront cash consideration; separate contingent earn-out up to EUR 140m</t>
        </is>
      </c>
      <c r="X118" s="353" t="inlineStr">
        <is>
          <t>Not independently verified</t>
        </is>
      </c>
      <c r="Y118" s="353" t="inlineStr">
        <is>
          <t>Verified — primary source</t>
        </is>
      </c>
      <c r="Z118" s="353" t="inlineStr">
        <is>
          <t>https://announcements.asx.com.au/asxpdf/20260615/pdf/070mkbmp09kxd3.pdf</t>
        </is>
      </c>
      <c r="AA118" s="353" t="inlineStr">
        <is>
          <t>https://marss.com/about/news/electro-optic-systems-completes-acquisition-of-marss-creating-an-integrated-global-counter-drone-powerhouse/</t>
        </is>
      </c>
      <c r="AB118" s="353" t="inlineStr">
        <is>
          <t>Confirmed omission. EOS reported completion on 21 May 2026; included because the approved policy admits identifiable operating-business acquisitions, not only share deals.</t>
        </is>
      </c>
    </row>
    <row r="119" ht="45" customHeight="1">
      <c r="A119" s="353" t="inlineStr">
        <is>
          <t>EUR-118</t>
        </is>
      </c>
      <c r="B119" s="353" t="inlineStr">
        <is>
          <t>Europe</t>
        </is>
      </c>
      <c r="C119" s="353" t="inlineStr">
        <is>
          <t>Finland</t>
        </is>
      </c>
      <c r="D119" s="353" t="inlineStr">
        <is>
          <t>KT-Shelter Oy</t>
        </is>
      </c>
      <c r="E119" s="353" t="inlineStr">
        <is>
          <t>W5 Solutions</t>
        </is>
      </c>
      <c r="F119" s="353" t="inlineStr">
        <is>
          <t>Sweden</t>
        </is>
      </c>
      <c r="G119" s="353" t="inlineStr">
        <is>
          <t>KT-Shelter shareholders</t>
        </is>
      </c>
      <c r="H119" s="403" t="inlineStr">
        <is>
          <t>Not disclosed</t>
        </is>
      </c>
      <c r="I119" s="403" t="n">
        <v>46167</v>
      </c>
      <c r="J119" s="404">
        <f>IFERROR(YEAR(I119),IFERROR(VALUE(LEFT(I119,4)),""))</f>
        <v/>
      </c>
      <c r="K119" s="353" t="inlineStr">
        <is>
          <t>M&amp;A</t>
        </is>
      </c>
      <c r="L119" s="353" t="inlineStr">
        <is>
          <t>Full company acquisition</t>
        </is>
      </c>
      <c r="M119" s="353" t="inlineStr">
        <is>
          <t>100%</t>
        </is>
      </c>
      <c r="N119" s="353" t="inlineStr">
        <is>
          <t>Completed</t>
        </is>
      </c>
      <c r="O119" s="405" t="n">
        <v>22</v>
      </c>
      <c r="P119" s="353" t="inlineStr">
        <is>
          <t>EUR</t>
        </is>
      </c>
      <c r="Q119" s="406" t="inlineStr">
        <is>
          <t>Not disclosed</t>
        </is>
      </c>
      <c r="R119" s="353" t="inlineStr">
        <is>
          <t>Upfront consideration; earn-out up to EUR 4m</t>
        </is>
      </c>
      <c r="S119" s="353" t="inlineStr">
        <is>
          <t>Hardware / Services</t>
        </is>
      </c>
      <c r="T119" s="353" t="inlineStr">
        <is>
          <t>Land Systems &amp; Military Vehicles</t>
        </is>
      </c>
      <c r="U119" s="353" t="inlineStr">
        <is>
          <t>Core A&amp;D</t>
        </is>
      </c>
      <c r="V119" s="353" t="inlineStr">
        <is>
          <t>Deployable Defense Infrastructure. Designs and manufactures deployable shelters and mobile infrastructure systems for defense, emergency and critical-operations customers.</t>
        </is>
      </c>
      <c r="W119" s="353" t="inlineStr">
        <is>
          <t>W5 Solutions completed its acquisition of KT-Shelter Oy from KT-Shelter shareholders on 2026-05-25. Ownership acquired: 100%. Upfront consideration; earn-out up to EUR 4m</t>
        </is>
      </c>
      <c r="X119" s="353" t="inlineStr">
        <is>
          <t>Not independently verified</t>
        </is>
      </c>
      <c r="Y119" s="353" t="inlineStr">
        <is>
          <t>Verified — primary source</t>
        </is>
      </c>
      <c r="Z119" s="353" t="inlineStr">
        <is>
          <t>https://w5solutions.com/mfn_news/w5-solutions-completes-the-acquisition-of-kt-shelter/</t>
        </is>
      </c>
      <c r="AA119" s="353" t="inlineStr">
        <is>
          <t>None used</t>
        </is>
      </c>
      <c r="AB119" s="353" t="inlineStr">
        <is>
          <t>Replace consideration basis with EUR 22m upfront plus up to EUR 4m earn-out.</t>
        </is>
      </c>
    </row>
    <row r="120" ht="45" customHeight="1">
      <c r="A120" s="353" t="inlineStr">
        <is>
          <t>EUR-119</t>
        </is>
      </c>
      <c r="B120" s="353" t="inlineStr">
        <is>
          <t>Europe</t>
        </is>
      </c>
      <c r="C120" s="353" t="inlineStr">
        <is>
          <t>Netherlands</t>
        </is>
      </c>
      <c r="D120" s="353" t="inlineStr">
        <is>
          <t>Nedinsco</t>
        </is>
      </c>
      <c r="E120" s="353" t="inlineStr">
        <is>
          <t>HENSOLDT</t>
        </is>
      </c>
      <c r="F120" s="353" t="inlineStr">
        <is>
          <t>Germany</t>
        </is>
      </c>
      <c r="G120" s="353" t="inlineStr">
        <is>
          <t>Nedinsco shareholders</t>
        </is>
      </c>
      <c r="H120" s="403" t="inlineStr">
        <is>
          <t>Not disclosed</t>
        </is>
      </c>
      <c r="I120" s="403" t="n">
        <v>46174</v>
      </c>
      <c r="J120" s="404">
        <f>IFERROR(YEAR(I120),IFERROR(VALUE(LEFT(I120,4)),""))</f>
        <v/>
      </c>
      <c r="K120" s="353" t="inlineStr">
        <is>
          <t>M&amp;A</t>
        </is>
      </c>
      <c r="L120" s="353" t="inlineStr">
        <is>
          <t>Full Acquisition</t>
        </is>
      </c>
      <c r="M120" s="353" t="inlineStr">
        <is>
          <t>100%</t>
        </is>
      </c>
      <c r="N120" s="353" t="inlineStr">
        <is>
          <t>Completed</t>
        </is>
      </c>
      <c r="O120" s="405" t="inlineStr">
        <is>
          <t>Not disclosed</t>
        </is>
      </c>
      <c r="P120" s="353" t="inlineStr">
        <is>
          <t>Not disclosed</t>
        </is>
      </c>
      <c r="Q120" s="406" t="inlineStr">
        <is>
          <t>Not disclosed</t>
        </is>
      </c>
      <c r="R120" s="353" t="inlineStr">
        <is>
          <t>No transaction-specific consideration was verified from the cited primary source.</t>
        </is>
      </c>
      <c r="S120" s="353" t="inlineStr">
        <is>
          <t>Hardware</t>
        </is>
      </c>
      <c r="T120" s="353" t="inlineStr">
        <is>
          <t>Defence Electronics &amp; Sensors</t>
        </is>
      </c>
      <c r="U120" s="353" t="inlineStr">
        <is>
          <t>Core A&amp;D</t>
        </is>
      </c>
      <c r="V120" s="353" t="inlineStr">
        <is>
          <t>Optronics / Fire Control. Develops and manufactures high-precision optical, optronic and mechatronic systems for defense, security and industrial customers.</t>
        </is>
      </c>
      <c r="W120" s="353" t="inlineStr">
        <is>
          <t>HENSOLDT completed its acquisition of Nedinsco from Nedinsco shareholders on 2026-06-01. Ownership acquired: 100%. No transaction-specific consideration was verified from the cited primary source.</t>
        </is>
      </c>
      <c r="X120" s="353" t="inlineStr">
        <is>
          <t>Not independently verified</t>
        </is>
      </c>
      <c r="Y120" s="353" t="inlineStr">
        <is>
          <t>Verified — primary source</t>
        </is>
      </c>
      <c r="Z120" s="353" t="inlineStr">
        <is>
          <t>https://investors.hensoldt.net/news/hensoldt-uebernimmt-nedinsco-und-baut-seine-praesenz-in-europa-aus/ba1a6bf4-f402-495d-b9c4-542c4b6172d1</t>
        </is>
      </c>
      <c r="AA120" s="353" t="inlineStr">
        <is>
          <t>None used</t>
        </is>
      </c>
      <c r="AB120" s="353" t="inlineStr">
        <is>
          <t>Retain under strict scope; completed transaction and primary A&amp;D focus are supported by the cited source.</t>
        </is>
      </c>
    </row>
    <row r="121" ht="45" customHeight="1">
      <c r="A121" s="353" t="inlineStr">
        <is>
          <t>EUR-120</t>
        </is>
      </c>
      <c r="B121" s="353" t="inlineStr">
        <is>
          <t>Europe</t>
        </is>
      </c>
      <c r="C121" s="353" t="inlineStr">
        <is>
          <t>Romania</t>
        </is>
      </c>
      <c r="D121" s="353" t="inlineStr">
        <is>
          <t>Automecanica S.A.</t>
        </is>
      </c>
      <c r="E121" s="353" t="inlineStr">
        <is>
          <t>Otokar Otomotiv ve Savunma Sanayi A.Ş.</t>
        </is>
      </c>
      <c r="F121" s="353" t="inlineStr">
        <is>
          <t>Türkiye</t>
        </is>
      </c>
      <c r="G121" s="353" t="inlineStr">
        <is>
          <t>Automecanica SKB Property SRL and Andrei Scobioala</t>
        </is>
      </c>
      <c r="H121" s="403" t="n">
        <v>46141</v>
      </c>
      <c r="I121" s="403" t="n">
        <v>46176</v>
      </c>
      <c r="J121" s="404">
        <f>IFERROR(YEAR(I121),IFERROR(VALUE(LEFT(I121,4)),""))</f>
        <v/>
      </c>
      <c r="K121" s="353" t="inlineStr">
        <is>
          <t>M&amp;A</t>
        </is>
      </c>
      <c r="L121" s="353" t="inlineStr">
        <is>
          <t>96.77% controlling acquisition</t>
        </is>
      </c>
      <c r="M121" s="353" t="inlineStr">
        <is>
          <t>96.77%</t>
        </is>
      </c>
      <c r="N121" s="353" t="inlineStr">
        <is>
          <t>Completed</t>
        </is>
      </c>
      <c r="O121" s="405" t="n">
        <v>85</v>
      </c>
      <c r="P121" s="353" t="inlineStr">
        <is>
          <t>EUR</t>
        </is>
      </c>
      <c r="Q121" s="406" t="inlineStr">
        <is>
          <t>Not disclosed</t>
        </is>
      </c>
      <c r="R121" s="353" t="inlineStr">
        <is>
          <t>Transaction value</t>
        </is>
      </c>
      <c r="S121" s="353" t="inlineStr">
        <is>
          <t>Hardware / Services</t>
        </is>
      </c>
      <c r="T121" s="353" t="inlineStr">
        <is>
          <t>Land Systems &amp; Military Vehicles</t>
        </is>
      </c>
      <c r="U121" s="353" t="inlineStr">
        <is>
          <t>Core A&amp;D</t>
        </is>
      </c>
      <c r="V121" s="353" t="inlineStr">
        <is>
          <t>Military Vehicles &amp; Land Systems. Romanian manufacturer and integrator of armoured and special-purpose vehicles.</t>
        </is>
      </c>
      <c r="W121" s="353" t="inlineStr">
        <is>
          <t>Otokar Otomotiv ve Savunma Sanayi A.Ş. completed its acquisition of Automecanica S.A. from Automecanica SKB Property SRL and Andrei Scobioala on 2026-06-03. Ownership acquired: 96.77%. Transaction value</t>
        </is>
      </c>
      <c r="X121" s="353" t="inlineStr">
        <is>
          <t>Not independently verified</t>
        </is>
      </c>
      <c r="Y121" s="353" t="inlineStr">
        <is>
          <t>Verified — primary source</t>
        </is>
      </c>
      <c r="Z121" s="353" t="inlineStr">
        <is>
          <t>https://www.otokar.com.tr/news/daily-news/otokar-finalizes-automecanica-deal-and-is-ready-to-deliver-romanian-made-cobra-ii-vehicles</t>
        </is>
      </c>
      <c r="AA121" s="353" t="inlineStr">
        <is>
          <t>None used</t>
        </is>
      </c>
      <c r="AB121" s="353" t="inlineStr">
        <is>
          <t>Replace ownership/date chronology: signed 29 April and completed 3 June at 96.77%.</t>
        </is>
      </c>
    </row>
    <row r="122" ht="45" customHeight="1">
      <c r="A122" s="353" t="inlineStr">
        <is>
          <t>EUR-121</t>
        </is>
      </c>
      <c r="B122" s="353" t="inlineStr">
        <is>
          <t>Europe</t>
        </is>
      </c>
      <c r="C122" s="353" t="inlineStr">
        <is>
          <t>United Kingdom</t>
        </is>
      </c>
      <c r="D122" s="353" t="inlineStr">
        <is>
          <t>Cook Defence Systems and related entities</t>
        </is>
      </c>
      <c r="E122" s="353" t="inlineStr">
        <is>
          <t>HEICO Corporation / Flight Support Group</t>
        </is>
      </c>
      <c r="F122" s="353" t="inlineStr">
        <is>
          <t>United States</t>
        </is>
      </c>
      <c r="G122" s="353" t="inlineStr">
        <is>
          <t>William Cook Holdings</t>
        </is>
      </c>
      <c r="H122" s="403" t="inlineStr">
        <is>
          <t>Not disclosed</t>
        </is>
      </c>
      <c r="I122" s="403" t="n">
        <v>46176</v>
      </c>
      <c r="J122" s="404">
        <f>IFERROR(YEAR(I122),IFERROR(VALUE(LEFT(I122,4)),""))</f>
        <v/>
      </c>
      <c r="K122" s="353" t="inlineStr">
        <is>
          <t>M&amp;A</t>
        </is>
      </c>
      <c r="L122" s="353" t="inlineStr">
        <is>
          <t>Majority acquisition</t>
        </is>
      </c>
      <c r="M122" s="353" t="inlineStr">
        <is>
          <t>80%</t>
        </is>
      </c>
      <c r="N122" s="353" t="inlineStr">
        <is>
          <t>Completed</t>
        </is>
      </c>
      <c r="O122" s="405" t="inlineStr">
        <is>
          <t>Not disclosed</t>
        </is>
      </c>
      <c r="P122" s="353" t="inlineStr">
        <is>
          <t>Not disclosed</t>
        </is>
      </c>
      <c r="Q122" s="406" t="inlineStr">
        <is>
          <t>Not disclosed</t>
        </is>
      </c>
      <c r="R122" s="353" t="inlineStr">
        <is>
          <t>No transaction-specific consideration was verified from the cited primary source.</t>
        </is>
      </c>
      <c r="S122" s="353" t="inlineStr">
        <is>
          <t>Hardware</t>
        </is>
      </c>
      <c r="T122" s="353" t="inlineStr">
        <is>
          <t>Land Systems &amp; Military Vehicles</t>
        </is>
      </c>
      <c r="U122" s="353" t="inlineStr">
        <is>
          <t>Core A&amp;D</t>
        </is>
      </c>
      <c r="V122" s="353" t="inlineStr">
        <is>
          <t>Armoured Vehicle Track Systems. Manufacturer of track systems and related components for armoured military vehicles.</t>
        </is>
      </c>
      <c r="W122" s="353" t="inlineStr">
        <is>
          <t>HEICO Corporation / Flight Support Group completed its acquisition of Cook Defence Systems and related entities from William Cook Holdings on 2026-06-03. Ownership acquired: 80%. No transaction-specific consideration was verified from the cited primary source.</t>
        </is>
      </c>
      <c r="X122" s="353" t="inlineStr">
        <is>
          <t>Not independently verified</t>
        </is>
      </c>
      <c r="Y122" s="353" t="inlineStr">
        <is>
          <t>Verified — primary source</t>
        </is>
      </c>
      <c r="Z122" s="353" t="inlineStr">
        <is>
          <t>https://heico.com/2026/06/03/heico-corporation-acquires-key-supplier-of-armored-vehicle-track-systems/</t>
        </is>
      </c>
      <c r="AA122" s="353" t="inlineStr">
        <is>
          <t>None used</t>
        </is>
      </c>
      <c r="AB122" s="353" t="inlineStr">
        <is>
          <t>Retain under strict scope; completed transaction and primary A&amp;D focus are supported by the cited source.</t>
        </is>
      </c>
    </row>
    <row r="123" ht="45" customHeight="1">
      <c r="A123" s="353" t="inlineStr">
        <is>
          <t>EUR-122</t>
        </is>
      </c>
      <c r="B123" s="353" t="inlineStr">
        <is>
          <t>Europe</t>
        </is>
      </c>
      <c r="C123" s="353" t="inlineStr">
        <is>
          <t>Norway</t>
        </is>
      </c>
      <c r="D123" s="353" t="inlineStr">
        <is>
          <t>Frydenbø Milpro AS</t>
        </is>
      </c>
      <c r="E123" s="353" t="inlineStr">
        <is>
          <t>Fjord Defence Group</t>
        </is>
      </c>
      <c r="F123" s="353" t="inlineStr">
        <is>
          <t>Norway</t>
        </is>
      </c>
      <c r="G123" s="353" t="inlineStr">
        <is>
          <t>Frydenbø Marine AS</t>
        </is>
      </c>
      <c r="H123" s="403" t="inlineStr">
        <is>
          <t>Not disclosed</t>
        </is>
      </c>
      <c r="I123" s="403" t="n">
        <v>46178</v>
      </c>
      <c r="J123" s="404">
        <f>IFERROR(YEAR(I123),IFERROR(VALUE(LEFT(I123,4)),""))</f>
        <v/>
      </c>
      <c r="K123" s="353" t="inlineStr">
        <is>
          <t>M&amp;A</t>
        </is>
      </c>
      <c r="L123" s="353" t="inlineStr">
        <is>
          <t>Full company acquisition</t>
        </is>
      </c>
      <c r="M123" s="353" t="inlineStr">
        <is>
          <t>100%</t>
        </is>
      </c>
      <c r="N123" s="353" t="inlineStr">
        <is>
          <t>Completed</t>
        </is>
      </c>
      <c r="O123" s="405" t="n">
        <v>168.2</v>
      </c>
      <c r="P123" s="353" t="inlineStr">
        <is>
          <t>NOK</t>
        </is>
      </c>
      <c r="Q123" s="406" t="inlineStr">
        <is>
          <t>Not disclosed</t>
        </is>
      </c>
      <c r="R123" s="353" t="inlineStr">
        <is>
          <t>Adjusted consideration at completion</t>
        </is>
      </c>
      <c r="S123" s="353" t="inlineStr">
        <is>
          <t>Hardware / Services</t>
        </is>
      </c>
      <c r="T123" s="353" t="inlineStr">
        <is>
          <t>Naval &amp; Underwater Systems</t>
        </is>
      </c>
      <c r="U123" s="353" t="inlineStr">
        <is>
          <t>Core A&amp;D</t>
        </is>
      </c>
      <c r="V123" s="353" t="inlineStr">
        <is>
          <t>Military Boats / Maritime Systems. Supplies and supports military and professional boat systems for defense, police, rescue and government customers.</t>
        </is>
      </c>
      <c r="W123" s="353" t="inlineStr">
        <is>
          <t>Fjord Defence Group completed its acquisition of Frydenbø Milpro AS from Frydenbø Marine AS on 2026-06-05. Ownership acquired: 100%. Adjusted consideration at completion</t>
        </is>
      </c>
      <c r="X123" s="353" t="inlineStr">
        <is>
          <t>Not independently verified</t>
        </is>
      </c>
      <c r="Y123" s="353" t="inlineStr">
        <is>
          <t>Verified — primary source</t>
        </is>
      </c>
      <c r="Z123" s="353" t="inlineStr">
        <is>
          <t>https://mfn.se/ob/a/fjord-defence-group/fjord-defence-group-asa-successful-completion-of-acquisition-of-frydenbo-milpro-53ce9cf1.iframe</t>
        </is>
      </c>
      <c r="AA123" s="353" t="inlineStr">
        <is>
          <t>None used</t>
        </is>
      </c>
      <c r="AB123" s="353" t="inlineStr">
        <is>
          <t>Replace consideration with NOK 168.2m adjusted amount at completion.</t>
        </is>
      </c>
    </row>
    <row r="124" ht="45" customHeight="1">
      <c r="A124" s="353" t="inlineStr">
        <is>
          <t>EUR-123</t>
        </is>
      </c>
      <c r="B124" s="353" t="inlineStr">
        <is>
          <t>Europe</t>
        </is>
      </c>
      <c r="C124" s="353" t="inlineStr">
        <is>
          <t>Sweden</t>
        </is>
      </c>
      <c r="D124" s="353" t="inlineStr">
        <is>
          <t>Nordic Shield Group AB</t>
        </is>
      </c>
      <c r="E124" s="353" t="inlineStr">
        <is>
          <t>Scandinavian Astor Group AB</t>
        </is>
      </c>
      <c r="F124" s="353" t="inlineStr">
        <is>
          <t>Sweden</t>
        </is>
      </c>
      <c r="G124" s="353" t="inlineStr">
        <is>
          <t>NEZ Holding, M4Y Sweden, Sailing Mare and other shareholders</t>
        </is>
      </c>
      <c r="H124" s="403" t="inlineStr">
        <is>
          <t>Not disclosed</t>
        </is>
      </c>
      <c r="I124" s="403" t="n">
        <v>46181</v>
      </c>
      <c r="J124" s="404">
        <f>IFERROR(YEAR(I124),IFERROR(VALUE(LEFT(I124,4)),""))</f>
        <v/>
      </c>
      <c r="K124" s="353" t="inlineStr">
        <is>
          <t>M&amp;A</t>
        </is>
      </c>
      <c r="L124" s="353" t="inlineStr">
        <is>
          <t>Acquisition of remaining stake that creates first control</t>
        </is>
      </c>
      <c r="M124" s="353" t="inlineStr">
        <is>
          <t>Remaining approximately 63.5%, taking buyer from minority to 100% control</t>
        </is>
      </c>
      <c r="N124" s="353" t="inlineStr">
        <is>
          <t>Completed</t>
        </is>
      </c>
      <c r="O124" s="405" t="n">
        <v>467.8</v>
      </c>
      <c r="P124" s="353" t="inlineStr">
        <is>
          <t>SEK</t>
        </is>
      </c>
      <c r="Q124" s="406" t="inlineStr">
        <is>
          <t>Not disclosed</t>
        </is>
      </c>
      <c r="R124" s="353" t="inlineStr">
        <is>
          <t>Consideration for the control-acquiring remaining stake</t>
        </is>
      </c>
      <c r="S124" s="353" t="inlineStr">
        <is>
          <t>Hardware / Services</t>
        </is>
      </c>
      <c r="T124" s="353" t="inlineStr">
        <is>
          <t>Land Systems &amp; Military Vehicles</t>
        </is>
      </c>
      <c r="U124" s="353" t="inlineStr">
        <is>
          <t>Core A&amp;D</t>
        </is>
      </c>
      <c r="V124" s="353" t="inlineStr">
        <is>
          <t>Defence protection/shelter business; the remaining-stake purchase moved the buyer from minority ownership to first control.</t>
        </is>
      </c>
      <c r="W124" s="353" t="inlineStr">
        <is>
          <t>Scandinavian Astor Group AB completed its acquisition of Nordic Shield Group AB from NEZ Holding, M4Y Sweden, Sailing Mare and other shareholders on 2026-06-08. Ownership acquired: Remaining approximately 63.5%, taking buyer from minority to 100% control. Consideration for the control-acquiring remaining stake</t>
        </is>
      </c>
      <c r="X124" s="353" t="inlineStr">
        <is>
          <t>Not independently verified</t>
        </is>
      </c>
      <c r="Y124" s="353" t="inlineStr">
        <is>
          <t>Verified — primary source</t>
        </is>
      </c>
      <c r="Z124" s="353" t="inlineStr">
        <is>
          <t>https://www.mfn.se/a/scandinavian-astor-group/astor-group-completes-the-acquisition-of-nordic-shield-group</t>
        </is>
      </c>
      <c r="AA124" s="353" t="inlineStr">
        <is>
          <t>None used</t>
        </is>
      </c>
      <c r="AB124" s="353" t="inlineStr">
        <is>
          <t>Retain under strict scope; completed transaction and primary A&amp;D focus are supported by the cited source.</t>
        </is>
      </c>
    </row>
    <row r="125" ht="45" customHeight="1">
      <c r="A125" s="353" t="inlineStr">
        <is>
          <t>EUR-124</t>
        </is>
      </c>
      <c r="B125" s="353" t="inlineStr">
        <is>
          <t>Europe</t>
        </is>
      </c>
      <c r="C125" s="353" t="inlineStr">
        <is>
          <t>Finland</t>
        </is>
      </c>
      <c r="D125" s="353" t="inlineStr">
        <is>
          <t>Savox Communications Plc</t>
        </is>
      </c>
      <c r="E125" s="353" t="inlineStr">
        <is>
          <t>Public investors</t>
        </is>
      </c>
      <c r="F125" s="353" t="inlineStr">
        <is>
          <t>Public markets</t>
        </is>
      </c>
      <c r="G125" s="353" t="inlineStr">
        <is>
          <t>Issuer / selling shareholders</t>
        </is>
      </c>
      <c r="H125" s="403" t="inlineStr">
        <is>
          <t>Not disclosed</t>
        </is>
      </c>
      <c r="I125" s="403" t="n">
        <v>46196</v>
      </c>
      <c r="J125" s="404">
        <f>IFERROR(YEAR(I125),IFERROR(VALUE(LEFT(I125,4)),""))</f>
        <v/>
      </c>
      <c r="K125" s="353" t="inlineStr">
        <is>
          <t>IPO</t>
        </is>
      </c>
      <c r="L125" s="353" t="inlineStr">
        <is>
          <t>Initial public offering — primary and secondary</t>
        </is>
      </c>
      <c r="M125" s="353" t="inlineStr">
        <is>
          <t>IPO — public offering</t>
        </is>
      </c>
      <c r="N125" s="353" t="inlineStr">
        <is>
          <t>Completed</t>
        </is>
      </c>
      <c r="O125" s="405" t="n">
        <v>57.38044016</v>
      </c>
      <c r="P125" s="353" t="inlineStr">
        <is>
          <t>EUR</t>
        </is>
      </c>
      <c r="Q125" s="406" t="inlineStr">
        <is>
          <t>Not disclosed</t>
        </is>
      </c>
      <c r="R125" s="353" t="inlineStr">
        <is>
          <t>IPO gross proceeds including partial over-allotment exercised</t>
        </is>
      </c>
      <c r="S125" s="353" t="inlineStr">
        <is>
          <t>Hardware / Software</t>
        </is>
      </c>
      <c r="T125" s="353" t="inlineStr">
        <is>
          <t>Defence Computing &amp; Rugged Systems</t>
        </is>
      </c>
      <c r="U125" s="353" t="inlineStr">
        <is>
          <t>Core A&amp;D</t>
        </is>
      </c>
      <c r="V125" s="353" t="inlineStr">
        <is>
          <t>Tactical Communications &amp; Soldier Systems. Developer of tactical communications, hearing protection and rugged mission-critical ICT.</t>
        </is>
      </c>
      <c r="W125" s="353" t="inlineStr">
        <is>
          <t>Savox Communications Plc completed its initial public offering and public-market admission on 2026-06-23. IPO gross proceeds including partial over-allotment exercised</t>
        </is>
      </c>
      <c r="X125" s="353" t="inlineStr">
        <is>
          <t>Not independently verified</t>
        </is>
      </c>
      <c r="Y125" s="353" t="inlineStr">
        <is>
          <t>Verified — primary source</t>
        </is>
      </c>
      <c r="Z125" s="353" t="inlineStr">
        <is>
          <t>https://view.news.eu.nasdaq.com/view?id=b324b516dbc32b72a07369b2fa6a96d9d&amp;lang=en&amp;src=listed</t>
        </is>
      </c>
      <c r="AA125" s="353" t="inlineStr">
        <is>
          <t>None used</t>
        </is>
      </c>
      <c r="AB125" s="353" t="inlineStr">
        <is>
          <t>Retain under strict scope; completed transaction and primary A&amp;D focus are supported by the cited source.</t>
        </is>
      </c>
    </row>
    <row r="126" ht="45" customHeight="1">
      <c r="A126" s="353" t="inlineStr">
        <is>
          <t>EUR-125</t>
        </is>
      </c>
      <c r="B126" s="353" t="inlineStr">
        <is>
          <t>Europe</t>
        </is>
      </c>
      <c r="C126" s="353" t="inlineStr">
        <is>
          <t>United Kingdom</t>
        </is>
      </c>
      <c r="D126" s="353" t="inlineStr">
        <is>
          <t>DPC Holdings Limited / Doncasters (NYSE: DPC)</t>
        </is>
      </c>
      <c r="E126" s="353" t="inlineStr">
        <is>
          <t>Public market investors</t>
        </is>
      </c>
      <c r="F126" s="353" t="inlineStr">
        <is>
          <t>Public markets</t>
        </is>
      </c>
      <c r="G126" s="353" t="inlineStr">
        <is>
          <t>Company and a selling shareholder affiliated with Dubai Aerospace Enterprise</t>
        </is>
      </c>
      <c r="H126" s="403" t="inlineStr">
        <is>
          <t>Not disclosed</t>
        </is>
      </c>
      <c r="I126" s="403" t="n">
        <v>46198</v>
      </c>
      <c r="J126" s="404">
        <f>IFERROR(YEAR(I126),IFERROR(VALUE(LEFT(I126,4)),""))</f>
        <v/>
      </c>
      <c r="K126" s="353" t="inlineStr">
        <is>
          <t>IPO</t>
        </is>
      </c>
      <c r="L126" s="353" t="inlineStr">
        <is>
          <t>IPO</t>
        </is>
      </c>
      <c r="M126" s="353" t="inlineStr">
        <is>
          <t>IPO — public offering</t>
        </is>
      </c>
      <c r="N126" s="353" t="inlineStr">
        <is>
          <t>Completed</t>
        </is>
      </c>
      <c r="O126" s="405" t="n">
        <v>919.333305</v>
      </c>
      <c r="P126" s="353" t="inlineStr">
        <is>
          <t>USD</t>
        </is>
      </c>
      <c r="Q126" s="406" t="n">
        <v>919.333305</v>
      </c>
      <c r="R126" s="353" t="inlineStr">
        <is>
          <t>IPO gross proceeds: 27,858,585 shares at USD 33</t>
        </is>
      </c>
      <c r="S126" s="353" t="inlineStr">
        <is>
          <t>Hardware</t>
        </is>
      </c>
      <c r="T126" s="353" t="inlineStr">
        <is>
          <t>Aerospace Materials &amp; Components</t>
        </is>
      </c>
      <c r="U126" s="353" t="inlineStr">
        <is>
          <t>Core A&amp;D</t>
        </is>
      </c>
      <c r="V126" s="353" t="inlineStr">
        <is>
          <t>Aerospace Components / Precision Castings. Manufactures precision-engineered superalloy castings and components for commercial and defense aero engines, airframes and industrial gas turbines.</t>
        </is>
      </c>
      <c r="W126" s="353" t="inlineStr">
        <is>
          <t>DPC Holdings Limited / Doncasters (NYSE: DPC) completed its initial public offering and public-market admission on 2026-06-25. IPO gross proceeds: 27,858,585 shares at USD 33</t>
        </is>
      </c>
      <c r="X126" s="353" t="inlineStr">
        <is>
          <t>Not independently verified</t>
        </is>
      </c>
      <c r="Y126" s="353" t="inlineStr">
        <is>
          <t>Verified — primary source</t>
        </is>
      </c>
      <c r="Z126" s="353" t="inlineStr">
        <is>
          <t>https://ir.doncasters.com/news-and-events/news/news-details/2026/Doncasters-Announces-Pricing-of-Upsized-Initial-Public-Offering/default.aspx</t>
        </is>
      </c>
      <c r="AA126" s="353" t="inlineStr">
        <is>
          <t>https://www.sec.gov/Archives/edgar/data/2107018/000110465926076488/tm269965-16_s1a.htm</t>
        </is>
      </c>
      <c r="AB126" s="353" t="inlineStr">
        <is>
          <t>Retain under strict scope. The SEC prospectus identifies the principal executive offices in Derby, United Kingdom; Jersey is the legal jurisdiction of incorporation, not the operating-headquarters country.</t>
        </is>
      </c>
    </row>
    <row r="127" ht="45" customHeight="1">
      <c r="A127" s="353" t="inlineStr">
        <is>
          <t>EUR-126</t>
        </is>
      </c>
      <c r="B127" s="353" t="inlineStr">
        <is>
          <t>Europe</t>
        </is>
      </c>
      <c r="C127" s="353" t="inlineStr">
        <is>
          <t>France</t>
        </is>
      </c>
      <c r="D127" s="353" t="inlineStr">
        <is>
          <t>VoltAero assets and operations</t>
        </is>
      </c>
      <c r="E127" s="353" t="inlineStr">
        <is>
          <t>AURA AERO</t>
        </is>
      </c>
      <c r="F127" s="353" t="inlineStr">
        <is>
          <t>France</t>
        </is>
      </c>
      <c r="G127" s="353" t="inlineStr">
        <is>
          <t>VoltAero / insolvency process</t>
        </is>
      </c>
      <c r="H127" s="403" t="inlineStr">
        <is>
          <t>Not disclosed</t>
        </is>
      </c>
      <c r="I127" s="403" t="n">
        <v>46202</v>
      </c>
      <c r="J127" s="404">
        <f>IFERROR(YEAR(I127),IFERROR(VALUE(LEFT(I127,4)),""))</f>
        <v/>
      </c>
      <c r="K127" s="353" t="inlineStr">
        <is>
          <t>M&amp;A</t>
        </is>
      </c>
      <c r="L127" s="353" t="inlineStr">
        <is>
          <t>Court-approved acquisition of identifiable aerospace assets and operations</t>
        </is>
      </c>
      <c r="M127" s="353" t="inlineStr">
        <is>
          <t>100% of specified assets and operations</t>
        </is>
      </c>
      <c r="N127" s="353" t="inlineStr">
        <is>
          <t>Completed</t>
        </is>
      </c>
      <c r="O127" s="405" t="inlineStr">
        <is>
          <t>Not disclosed</t>
        </is>
      </c>
      <c r="P127" s="353" t="inlineStr">
        <is>
          <t>Not disclosed</t>
        </is>
      </c>
      <c r="Q127" s="406" t="inlineStr">
        <is>
          <t>Not disclosed</t>
        </is>
      </c>
      <c r="R127" s="353" t="inlineStr">
        <is>
          <t>No transaction-specific consideration was verified from the cited primary source.</t>
        </is>
      </c>
      <c r="S127" s="353" t="inlineStr">
        <is>
          <t>Hardware / Software</t>
        </is>
      </c>
      <c r="T127" s="353" t="inlineStr">
        <is>
          <t>Aerospace Platforms &amp; Components</t>
        </is>
      </c>
      <c r="U127" s="353" t="inlineStr">
        <is>
          <t>Core A&amp;D</t>
        </is>
      </c>
      <c r="V127" s="353" t="inlineStr">
        <is>
          <t>VoltAero's hybrid-electric aircraft development assets and operations were transferred together; treated as an identifiable aerospace operating business.</t>
        </is>
      </c>
      <c r="W127" s="353" t="inlineStr">
        <is>
          <t>AURA AERO completed its acquisition of VoltAero assets and operations from VoltAero / insolvency process on 2026-06-23. Ownership acquired: 100% of specified assets and operations. No transaction-specific consideration was verified from the cited primary source.</t>
        </is>
      </c>
      <c r="X127" s="353" t="inlineStr">
        <is>
          <t>Not independently verified</t>
        </is>
      </c>
      <c r="Y127" s="353" t="inlineStr">
        <is>
          <t>Verified — primary source</t>
        </is>
      </c>
      <c r="Z127" s="353" t="inlineStr">
        <is>
          <t>https://www.aura-aero.com/en/actualites/aura-aero-reprend-voltaero-et-acc%C3%A9l%C3%A8re-la-d%C3%A9carbonation-de-l%27aviation</t>
        </is>
      </c>
      <c r="AA127" s="353" t="inlineStr">
        <is>
          <t>None used</t>
        </is>
      </c>
      <c r="AB127" s="353" t="inlineStr">
        <is>
          <t>Retain under strict scope; completed transaction and primary A&amp;D focus are supported by the cited source. CORRECTED 2026-08-02: completion date 23 June 2026 replaced with 29 June 2026 per contemporaneous trade reporting of the asset transfer.</t>
        </is>
      </c>
    </row>
    <row r="128" ht="45" customHeight="1">
      <c r="A128" s="353" t="inlineStr">
        <is>
          <t>EUR-127</t>
        </is>
      </c>
      <c r="B128" s="353" t="inlineStr">
        <is>
          <t>Europe</t>
        </is>
      </c>
      <c r="C128" s="353" t="inlineStr">
        <is>
          <t>United Kingdom</t>
        </is>
      </c>
      <c r="D128" s="353" t="inlineStr">
        <is>
          <t>European Astrotech Ltd</t>
        </is>
      </c>
      <c r="E128" s="353" t="inlineStr">
        <is>
          <t>The Exploration Company</t>
        </is>
      </c>
      <c r="F128" s="353" t="inlineStr">
        <is>
          <t>Germany</t>
        </is>
      </c>
      <c r="G128" s="353" t="inlineStr">
        <is>
          <t>European Astrotech shareholders</t>
        </is>
      </c>
      <c r="H128" s="403" t="inlineStr">
        <is>
          <t>Not disclosed</t>
        </is>
      </c>
      <c r="I128" s="403" t="n">
        <v>46203</v>
      </c>
      <c r="J128" s="404">
        <f>IFERROR(YEAR(I128),IFERROR(VALUE(LEFT(I128,4)),""))</f>
        <v/>
      </c>
      <c r="K128" s="353" t="inlineStr">
        <is>
          <t>M&amp;A</t>
        </is>
      </c>
      <c r="L128" s="353" t="inlineStr">
        <is>
          <t>Full Acquisition</t>
        </is>
      </c>
      <c r="M128" s="353" t="inlineStr">
        <is>
          <t>100%</t>
        </is>
      </c>
      <c r="N128" s="353" t="inlineStr">
        <is>
          <t>Completed</t>
        </is>
      </c>
      <c r="O128" s="405" t="inlineStr">
        <is>
          <t>Not disclosed</t>
        </is>
      </c>
      <c r="P128" s="353" t="inlineStr">
        <is>
          <t>Not disclosed</t>
        </is>
      </c>
      <c r="Q128" s="406" t="inlineStr">
        <is>
          <t>Not disclosed</t>
        </is>
      </c>
      <c r="R128" s="353" t="inlineStr">
        <is>
          <t>No transaction-specific consideration was verified from the cited primary source.</t>
        </is>
      </c>
      <c r="S128" s="353" t="inlineStr">
        <is>
          <t>Services</t>
        </is>
      </c>
      <c r="T128" s="353" t="inlineStr">
        <is>
          <t>Space &amp; Satellite Systems</t>
        </is>
      </c>
      <c r="U128" s="353" t="inlineStr">
        <is>
          <t>Core A&amp;D</t>
        </is>
      </c>
      <c r="V128" s="353" t="inlineStr">
        <is>
          <t>Launch Operations / Spacecraft Propulsion Services. Provides spacecraft-propulsion engineering, hazardous processing, launch-site and mission-support services for European space programs.</t>
        </is>
      </c>
      <c r="W128" s="353" t="inlineStr">
        <is>
          <t>The Exploration Company completed its acquisition of European Astrotech Ltd from European Astrotech shareholders on 2026-06-30. Ownership acquired: 100%. No transaction-specific consideration was verified from the cited primary source.</t>
        </is>
      </c>
      <c r="X128" s="353" t="inlineStr">
        <is>
          <t>Not independently verified</t>
        </is>
      </c>
      <c r="Y128" s="353" t="inlineStr">
        <is>
          <t>Verified — primary source</t>
        </is>
      </c>
      <c r="Z128" s="353" t="inlineStr">
        <is>
          <t>https://www.europeanastrotech.com/news/the-exploration-company-acquires-european-astrotech-scaling-execution-capabilities-across-the-space-sector/</t>
        </is>
      </c>
      <c r="AA128" s="353" t="inlineStr">
        <is>
          <t>None used</t>
        </is>
      </c>
      <c r="AB128" s="353" t="inlineStr">
        <is>
          <t>Retain under strict scope; completed transaction and primary A&amp;D focus are supported by the cited source.</t>
        </is>
      </c>
    </row>
    <row r="129" ht="45" customHeight="1">
      <c r="A129" s="353" t="inlineStr">
        <is>
          <t>EUR-128</t>
        </is>
      </c>
      <c r="B129" s="353" t="inlineStr">
        <is>
          <t>Europe</t>
        </is>
      </c>
      <c r="C129" s="353" t="inlineStr">
        <is>
          <t>Croatia</t>
        </is>
      </c>
      <c r="D129" s="353" t="inlineStr">
        <is>
          <t>DOK-ING (51% stake; renamed Rheinmetall Unmanned Vehicles)</t>
        </is>
      </c>
      <c r="E129" s="353" t="inlineStr">
        <is>
          <t>Rheinmetall</t>
        </is>
      </c>
      <c r="F129" s="353" t="inlineStr">
        <is>
          <t>Germany</t>
        </is>
      </c>
      <c r="G129" s="353" t="inlineStr">
        <is>
          <t>Vjekoslav Majetić</t>
        </is>
      </c>
      <c r="H129" s="403" t="inlineStr">
        <is>
          <t>Not disclosed</t>
        </is>
      </c>
      <c r="I129" s="403" t="n">
        <v>46204</v>
      </c>
      <c r="J129" s="404">
        <f>IFERROR(YEAR(I129),IFERROR(VALUE(LEFT(I129,4)),""))</f>
        <v/>
      </c>
      <c r="K129" s="353" t="inlineStr">
        <is>
          <t>M&amp;A</t>
        </is>
      </c>
      <c r="L129" s="353" t="inlineStr">
        <is>
          <t>Majority Stake (51%)</t>
        </is>
      </c>
      <c r="M129" s="353" t="inlineStr">
        <is>
          <t>51%</t>
        </is>
      </c>
      <c r="N129" s="353" t="inlineStr">
        <is>
          <t>Completed</t>
        </is>
      </c>
      <c r="O129" s="405" t="inlineStr">
        <is>
          <t>Not disclosed</t>
        </is>
      </c>
      <c r="P129" s="353" t="inlineStr">
        <is>
          <t>Not disclosed</t>
        </is>
      </c>
      <c r="Q129" s="406" t="inlineStr">
        <is>
          <t>Not disclosed</t>
        </is>
      </c>
      <c r="R129" s="353" t="inlineStr">
        <is>
          <t>No transaction-specific consideration was verified from the cited primary source.</t>
        </is>
      </c>
      <c r="S129" s="353" t="inlineStr">
        <is>
          <t>Hardware / Software / Services</t>
        </is>
      </c>
      <c r="T129" s="353" t="inlineStr">
        <is>
          <t>UAVs &amp; Autonomous Systems</t>
        </is>
      </c>
      <c r="U129" s="353" t="inlineStr">
        <is>
          <t>Core A&amp;D</t>
        </is>
      </c>
      <c r="V129" s="353" t="inlineStr">
        <is>
          <t>Unmanned Ground Systems / Military Engineering. Develops remotely operated and autonomous heavy unmanned platforms for military engineering, demining, CBRN response, firefighting and critical-infrastructure protection.</t>
        </is>
      </c>
      <c r="W129" s="353" t="inlineStr">
        <is>
          <t>Rheinmetall completed its acquisition of DOK-ING (51% stake; renamed Rheinmetall Unmanned Vehicles) from Vjekoslav Majetić on 2026-07-01. Ownership acquired: 51%. No transaction-specific consideration was verified from the cited primary source.</t>
        </is>
      </c>
      <c r="X129" s="353" t="inlineStr">
        <is>
          <t>Not independently verified</t>
        </is>
      </c>
      <c r="Y129" s="353" t="inlineStr">
        <is>
          <t>Verified — primary source</t>
        </is>
      </c>
      <c r="Z129" s="353" t="inlineStr">
        <is>
          <t>https://www.rheinmetall.com/en/media/news-watch/news/2026/07/2026-07-01-rheinmetall-acquires-majority-stake-in-dok-ing</t>
        </is>
      </c>
      <c r="AA129" s="353" t="inlineStr">
        <is>
          <t>None used</t>
        </is>
      </c>
      <c r="AB129" s="353" t="inlineStr">
        <is>
          <t>Retain under strict scope; completed transaction and primary A&amp;D focus are supported by the cited source.</t>
        </is>
      </c>
    </row>
    <row r="130" ht="45" customHeight="1">
      <c r="A130" s="353" t="inlineStr">
        <is>
          <t>EUR-129</t>
        </is>
      </c>
      <c r="B130" s="353" t="inlineStr">
        <is>
          <t>Europe</t>
        </is>
      </c>
      <c r="C130" s="353" t="inlineStr">
        <is>
          <t>United Kingdom</t>
        </is>
      </c>
      <c r="D130" s="353" t="inlineStr">
        <is>
          <t>ALL.SPACE</t>
        </is>
      </c>
      <c r="E130" s="353" t="inlineStr">
        <is>
          <t>York Space Systems</t>
        </is>
      </c>
      <c r="F130" s="353" t="inlineStr">
        <is>
          <t>United States</t>
        </is>
      </c>
      <c r="G130" s="353" t="inlineStr">
        <is>
          <t>ALL.SPACE shareholders</t>
        </is>
      </c>
      <c r="H130" s="403" t="n">
        <v>46142</v>
      </c>
      <c r="I130" s="403" t="n">
        <v>46211</v>
      </c>
      <c r="J130" s="404">
        <f>IFERROR(YEAR(I130),IFERROR(VALUE(LEFT(I130,4)),""))</f>
        <v/>
      </c>
      <c r="K130" s="353" t="inlineStr">
        <is>
          <t>M&amp;A</t>
        </is>
      </c>
      <c r="L130" s="353" t="inlineStr">
        <is>
          <t>Full company acquisition</t>
        </is>
      </c>
      <c r="M130" s="353" t="inlineStr">
        <is>
          <t>100%</t>
        </is>
      </c>
      <c r="N130" s="353" t="inlineStr">
        <is>
          <t>Completed</t>
        </is>
      </c>
      <c r="O130" s="405" t="n">
        <v>46.3</v>
      </c>
      <c r="P130" s="353" t="inlineStr">
        <is>
          <t>USD</t>
        </is>
      </c>
      <c r="Q130" s="406" t="n">
        <v>46.3</v>
      </c>
      <c r="R130" s="353" t="inlineStr">
        <is>
          <t>Initial total consideration at completion of approximately USD 46.3m (approx. USD 17.9m cash plus 1,240,148 York shares valued at York's 7 July 2026 close), rising to approximately USD 54.4m if all escrow and holdback amounts are released. The USD 355m figure was the headline cash-and-stock value announced on 30 April 2026.</t>
        </is>
      </c>
      <c r="S130" s="353" t="inlineStr">
        <is>
          <t>Hardware / Software</t>
        </is>
      </c>
      <c r="T130" s="353" t="inlineStr">
        <is>
          <t>Space &amp; Satellite Systems</t>
        </is>
      </c>
      <c r="U130" s="353" t="inlineStr">
        <is>
          <t>Core A&amp;D</t>
        </is>
      </c>
      <c r="V130" s="353" t="inlineStr">
        <is>
          <t>Space &amp; Satellite Systems. Developer of terminal technology designed to improve enterprise mobility across land, sea, and air, from the operational capability to the passenger experience. The company's technology is used in designing and constructing a spectrally efficient, low-profile, multi-service, low-power, fully integrated range of terminals that are conformal, enabling clients to gain returns from access to a larger customer base and increase their profits and market shares.</t>
        </is>
      </c>
      <c r="W130" s="353" t="inlineStr">
        <is>
          <t>York Space Systems completed its acquisition of ALL.SPACE from ALL.SPACE shareholders on 2026-07-08. Ownership acquired: 100%. Transaction value</t>
        </is>
      </c>
      <c r="X130" s="353" t="inlineStr">
        <is>
          <t>Not independently verified</t>
        </is>
      </c>
      <c r="Y130" s="353" t="inlineStr">
        <is>
          <t>Verified — primary source</t>
        </is>
      </c>
      <c r="Z130" s="353" t="inlineStr">
        <is>
          <t>https://ir.yorkspacesystems.com/news/news-details/2026/York-Space-Systems-Completes-Acquisition-of-ALL-SPACE-Delivering-Assured-Communications-and-Positioning-in-Contested-Environments/default.aspx</t>
        </is>
      </c>
      <c r="AA130" s="353" t="inlineStr">
        <is>
          <t>None used</t>
        </is>
      </c>
      <c r="AB130" s="353" t="inlineStr">
        <is>
          <t>Replace status/date: announced 30 April and completed 8 July 2026. CORRECTED 2026-08-02: the row paired the 30 April 2026 announcement headline (USD 355m) with the 8 July 2026 completion date. York's completion release states initial consideration of ~USD 46.3m; both figures are now recorded with their bases.</t>
        </is>
      </c>
    </row>
    <row r="131" ht="42" customHeight="1">
      <c r="A131" s="353" t="inlineStr">
        <is>
          <t>EUR-130</t>
        </is>
      </c>
      <c r="B131" s="353" t="inlineStr">
        <is>
          <t>Europe</t>
        </is>
      </c>
      <c r="C131" s="353" t="inlineStr">
        <is>
          <t>Estonia</t>
        </is>
      </c>
      <c r="D131" s="353" t="inlineStr">
        <is>
          <t>SensusQ</t>
        </is>
      </c>
      <c r="E131" s="353" t="inlineStr">
        <is>
          <t>Quantum Systems</t>
        </is>
      </c>
      <c r="F131" s="353" t="inlineStr">
        <is>
          <t>Germany</t>
        </is>
      </c>
      <c r="G131" s="353" t="inlineStr">
        <is>
          <t>SensusQ shareholders</t>
        </is>
      </c>
      <c r="H131" s="403" t="n">
        <v>46213</v>
      </c>
      <c r="I131" s="403" t="n">
        <v>46213</v>
      </c>
      <c r="J131" s="353">
        <f>IFERROR(YEAR(I131),IFERROR(VALUE(LEFT(I131,4)),""))</f>
        <v/>
      </c>
      <c r="K131" s="353" t="inlineStr">
        <is>
          <t>M&amp;A</t>
        </is>
      </c>
      <c r="L131" s="353" t="inlineStr">
        <is>
          <t>Full Acquisition</t>
        </is>
      </c>
      <c r="M131" s="353" t="inlineStr">
        <is>
          <t>100%</t>
        </is>
      </c>
      <c r="N131" s="353" t="inlineStr">
        <is>
          <t>Completed</t>
        </is>
      </c>
      <c r="O131" s="353" t="inlineStr">
        <is>
          <t>Not disclosed</t>
        </is>
      </c>
      <c r="P131" s="353" t="inlineStr">
        <is>
          <t>Not disclosed</t>
        </is>
      </c>
      <c r="Q131" s="353" t="inlineStr">
        <is>
          <t>Not disclosed</t>
        </is>
      </c>
      <c r="R131" s="353" t="inlineStr">
        <is>
          <t>No transaction-specific consideration was verified from the cited primary source.</t>
        </is>
      </c>
      <c r="S131" s="353" t="inlineStr">
        <is>
          <t>Software</t>
        </is>
      </c>
      <c r="T131" s="353" t="inlineStr">
        <is>
          <t>Defence Computing &amp; Rugged Systems</t>
        </is>
      </c>
      <c r="U131" s="353" t="inlineStr">
        <is>
          <t>Core A&amp;D</t>
        </is>
      </c>
      <c r="V131" s="353" t="inlineStr">
        <is>
          <t>C4ISR / Defense Intelligence Software. Develops intelligence-management and AI-enabled data-fusion software for defense, security and operational decision support.</t>
        </is>
      </c>
      <c r="W131" s="353" t="inlineStr">
        <is>
          <t>Quantum Systems completed its acquisition of SensusQ from SensusQ shareholders on 2026-07-10. Ownership acquired: 100%. No transaction-specific consideration was verified from the cited primary source.</t>
        </is>
      </c>
      <c r="X131" s="353" t="inlineStr">
        <is>
          <t>Not independently verified</t>
        </is>
      </c>
      <c r="Y131" s="353" t="inlineStr">
        <is>
          <t>Verified — primary source</t>
        </is>
      </c>
      <c r="Z131" s="353" t="inlineStr">
        <is>
          <t>https://quantum-systems.com/news/quantum-systems-expands-estonia/</t>
        </is>
      </c>
      <c r="AA131" s="353" t="inlineStr">
        <is>
          <t>None used</t>
        </is>
      </c>
      <c r="AB131" s="353" t="inlineStr">
        <is>
          <t>Replace structure/date support: acquisition announcement was 10 July; 100% signing evidence comes from Estonian concentration records.</t>
        </is>
      </c>
    </row>
    <row r="132" ht="42" customHeight="1">
      <c r="A132" s="353" t="inlineStr">
        <is>
          <t>EUR-131</t>
        </is>
      </c>
      <c r="B132" s="353" t="inlineStr">
        <is>
          <t>Europe</t>
        </is>
      </c>
      <c r="C132" s="353" t="inlineStr">
        <is>
          <t>Germany</t>
        </is>
      </c>
      <c r="D132" s="353" t="inlineStr">
        <is>
          <t>SMAG Mobile Antenna Masts AG</t>
        </is>
      </c>
      <c r="E132" s="353" t="inlineStr">
        <is>
          <t>Public investors</t>
        </is>
      </c>
      <c r="F132" s="353" t="inlineStr">
        <is>
          <t>Public markets</t>
        </is>
      </c>
      <c r="G132" s="353" t="inlineStr">
        <is>
          <t>Issuer / selling shareholders</t>
        </is>
      </c>
      <c r="H132" s="403" t="inlineStr">
        <is>
          <t>Not disclosed</t>
        </is>
      </c>
      <c r="I132" s="403" t="n">
        <v>46216</v>
      </c>
      <c r="J132" s="353">
        <f>IFERROR(YEAR(I132),IFERROR(VALUE(LEFT(I132,4)),""))</f>
        <v/>
      </c>
      <c r="K132" s="353" t="inlineStr">
        <is>
          <t>IPO</t>
        </is>
      </c>
      <c r="L132" s="353" t="inlineStr">
        <is>
          <t>Initial public offering</t>
        </is>
      </c>
      <c r="M132" s="353" t="inlineStr">
        <is>
          <t>IPO — public offering</t>
        </is>
      </c>
      <c r="N132" s="353" t="inlineStr">
        <is>
          <t>Completed</t>
        </is>
      </c>
      <c r="O132" s="353" t="n">
        <v>112.7</v>
      </c>
      <c r="P132" s="353" t="inlineStr">
        <is>
          <t>EUR</t>
        </is>
      </c>
      <c r="Q132" s="353" t="inlineStr">
        <is>
          <t>Not disclosed</t>
        </is>
      </c>
      <c r="R132" s="353" t="inlineStr">
        <is>
          <t>Base placement proceeds excluding an unexecuted or unverified greenshoe</t>
        </is>
      </c>
      <c r="S132" s="353" t="inlineStr">
        <is>
          <t>Hardware</t>
        </is>
      </c>
      <c r="T132" s="353" t="inlineStr">
        <is>
          <t>Air Traffic Management &amp; Communications</t>
        </is>
      </c>
      <c r="U132" s="353" t="inlineStr">
        <is>
          <t>Core A&amp;D</t>
        </is>
      </c>
      <c r="V132" s="353" t="inlineStr">
        <is>
          <t>Military Communications &amp; Counter-UAS Infrastructure. Manufacturer of mobile antenna mast systems for military communications, radar, surveillance and counter-UAS.</t>
        </is>
      </c>
      <c r="W132" s="353" t="inlineStr">
        <is>
          <t>SMAG Mobile Antenna Masts AG completed its initial public offering and public-market admission on 2026-07-13. Base placement proceeds excluding an unexecuted or unverified greenshoe</t>
        </is>
      </c>
      <c r="X132" s="353" t="inlineStr">
        <is>
          <t>Not independently verified</t>
        </is>
      </c>
      <c r="Y132" s="353" t="inlineStr">
        <is>
          <t>Verified — primary source</t>
        </is>
      </c>
      <c r="Z132" s="353" t="inlineStr">
        <is>
          <t>https://www.cashmarket.deutsche-boerse.com/cash-en/Data-Tech/statistics/New-Companies/SMAG-Mobile-Antenna-Masts-AG-5363282</t>
        </is>
      </c>
      <c r="AA132" s="353" t="inlineStr">
        <is>
          <t>None used</t>
        </is>
      </c>
      <c r="AB132" s="353" t="inlineStr">
        <is>
          <t>Replace IPO proceeds: EUR 112.7m base placement; EUR 129.605m included a greenshoe not verified as executed.</t>
        </is>
      </c>
    </row>
    <row r="133" ht="42" customHeight="1">
      <c r="A133" s="353" t="inlineStr">
        <is>
          <t>EUR-132</t>
        </is>
      </c>
      <c r="B133" s="353" t="inlineStr">
        <is>
          <t>Europe</t>
        </is>
      </c>
      <c r="C133" s="353" t="inlineStr">
        <is>
          <t>Sweden</t>
        </is>
      </c>
      <c r="D133" s="353" t="inlineStr">
        <is>
          <t>Active Armour Group Stockholm AB / Amigo Defence AB</t>
        </is>
      </c>
      <c r="E133" s="353" t="inlineStr">
        <is>
          <t>Transfer Group AB</t>
        </is>
      </c>
      <c r="F133" s="353" t="inlineStr">
        <is>
          <t>Sweden</t>
        </is>
      </c>
      <c r="G133" s="353" t="inlineStr">
        <is>
          <t>Active Armour shareholders</t>
        </is>
      </c>
      <c r="H133" s="403" t="inlineStr">
        <is>
          <t>Not disclosed</t>
        </is>
      </c>
      <c r="I133" s="403" t="n">
        <v>46217</v>
      </c>
      <c r="J133" s="353">
        <f>IFERROR(YEAR(I133),IFERROR(VALUE(LEFT(I133,4)),""))</f>
        <v/>
      </c>
      <c r="K133" s="353" t="inlineStr">
        <is>
          <t>M&amp;A</t>
        </is>
      </c>
      <c r="L133" s="353" t="inlineStr">
        <is>
          <t>Full acquisition</t>
        </is>
      </c>
      <c r="M133" s="353" t="inlineStr">
        <is>
          <t>100%</t>
        </is>
      </c>
      <c r="N133" s="353" t="inlineStr">
        <is>
          <t>Completed</t>
        </is>
      </c>
      <c r="O133" s="353" t="n">
        <v>7.9</v>
      </c>
      <c r="P133" s="353" t="inlineStr">
        <is>
          <t>SEK</t>
        </is>
      </c>
      <c r="Q133" s="353" t="inlineStr">
        <is>
          <t>Not disclosed</t>
        </is>
      </c>
      <c r="R133" s="353" t="inlineStr">
        <is>
          <t>Original disclosed transaction value</t>
        </is>
      </c>
      <c r="S133" s="353" t="inlineStr">
        <is>
          <t>Hardware</t>
        </is>
      </c>
      <c r="T133" s="353" t="inlineStr">
        <is>
          <t>Land Systems &amp; Military Vehicles</t>
        </is>
      </c>
      <c r="U133" s="353" t="inlineStr">
        <is>
          <t>Core A&amp;D</t>
        </is>
      </c>
      <c r="V133" s="353" t="inlineStr">
        <is>
          <t>Personal Ballistic Protection. Supplier of body armour, ballistic helmets and protective equipment.</t>
        </is>
      </c>
      <c r="W133" s="353" t="inlineStr">
        <is>
          <t>Transfer Group AB completed its acquisition of Active Armour Group Stockholm AB / Amigo Defence AB from Active Armour shareholders on 2026-07-14. Ownership acquired: 100%. Original disclosed transaction value</t>
        </is>
      </c>
      <c r="X133" s="353" t="inlineStr">
        <is>
          <t>Not independently verified</t>
        </is>
      </c>
      <c r="Y133" s="353" t="inlineStr">
        <is>
          <t>Verified — primary source</t>
        </is>
      </c>
      <c r="Z133" s="353" t="inlineStr">
        <is>
          <t>https://mangold.se/company-news/transfer-group-erhaller-godkannande-fran-isp-och-slutfor-forvarvet-av-amigo-defence/</t>
        </is>
      </c>
      <c r="AA133" s="353" t="inlineStr">
        <is>
          <t>None used</t>
        </is>
      </c>
      <c r="AB133" s="353" t="inlineStr">
        <is>
          <t>Retain under strict scope; completed transaction and primary A&amp;D focus are supported by the cited source.</t>
        </is>
      </c>
    </row>
    <row r="134" ht="42" customHeight="1">
      <c r="A134" s="353" t="inlineStr">
        <is>
          <t>EUR-133</t>
        </is>
      </c>
      <c r="B134" s="353" t="inlineStr">
        <is>
          <t>Europe</t>
        </is>
      </c>
      <c r="C134" s="353" t="inlineStr">
        <is>
          <t>United Kingdom</t>
        </is>
      </c>
      <c r="D134" s="353" t="inlineStr">
        <is>
          <t>Bromford Precision Solutions Limited</t>
        </is>
      </c>
      <c r="E134" s="353" t="inlineStr">
        <is>
          <t>Sigma Advanced Systems Limited</t>
        </is>
      </c>
      <c r="F134" s="353" t="inlineStr">
        <is>
          <t>India</t>
        </is>
      </c>
      <c r="G134" s="353" t="inlineStr">
        <is>
          <t>Bromford Precision Solutions shareholders (seller not disclosed in cited exchange announcement)</t>
        </is>
      </c>
      <c r="H134" s="403" t="inlineStr">
        <is>
          <t>Not disclosed</t>
        </is>
      </c>
      <c r="I134" s="403" t="n">
        <v>46225</v>
      </c>
      <c r="J134" s="353">
        <f>IFERROR(YEAR(I134),IFERROR(VALUE(LEFT(I134,4)),""))</f>
        <v/>
      </c>
      <c r="K134" s="353" t="inlineStr">
        <is>
          <t>M&amp;A</t>
        </is>
      </c>
      <c r="L134" s="353" t="inlineStr">
        <is>
          <t>Full Acquisition</t>
        </is>
      </c>
      <c r="M134" s="353" t="inlineStr">
        <is>
          <t>100%</t>
        </is>
      </c>
      <c r="N134" s="353" t="inlineStr">
        <is>
          <t>Completed</t>
        </is>
      </c>
      <c r="O134" s="353" t="n">
        <v>11.89</v>
      </c>
      <c r="P134" s="353" t="inlineStr">
        <is>
          <t>GBP</t>
        </is>
      </c>
      <c r="Q134" s="353" t="inlineStr">
        <is>
          <t>Not disclosed</t>
        </is>
      </c>
      <c r="R134" s="353" t="inlineStr">
        <is>
          <t>Transaction value</t>
        </is>
      </c>
      <c r="S134" s="353" t="inlineStr">
        <is>
          <t>Hardware</t>
        </is>
      </c>
      <c r="T134" s="353" t="inlineStr">
        <is>
          <t>Aerospace Materials &amp; Components</t>
        </is>
      </c>
      <c r="U134" s="353" t="inlineStr">
        <is>
          <t>Core A&amp;D</t>
        </is>
      </c>
      <c r="V134" s="353" t="inlineStr">
        <is>
          <t>Aerospace Components / Aeroengine Structures. Manufactures complex precision-machined components, fabrications and assemblies for aerospace aero-engine, airframe and power-generation applications.</t>
        </is>
      </c>
      <c r="W134" s="353" t="inlineStr">
        <is>
          <t>Sigma Advanced Systems Limited completed its acquisition of Bromford Precision Solutions Limited from Bromford Precision Solutions shareholders (seller not disclosed in cited exchange announcement) on 2026-07-22. Ownership acquired: 100%. Transaction value</t>
        </is>
      </c>
      <c r="X134" s="353" t="inlineStr">
        <is>
          <t>Not independently verified</t>
        </is>
      </c>
      <c r="Y134" s="353" t="inlineStr">
        <is>
          <t>Verified — primary source</t>
        </is>
      </c>
      <c r="Z134" s="353" t="inlineStr">
        <is>
          <t>https://www.bseindia.com/stock-share-price/sigma-advanced-systems-ltd/megasoft/532408/corp-announcements/</t>
        </is>
      </c>
      <c r="AA134" s="353" t="inlineStr">
        <is>
          <t>None used</t>
        </is>
      </c>
      <c r="AB134" s="353" t="inlineStr">
        <is>
          <t>Retain under strict scope; completed transaction and primary A&amp;D focus are supported by the cited source.</t>
        </is>
      </c>
    </row>
    <row r="135" ht="42" customHeight="1"/>
    <row r="136" ht="42" customHeight="1"/>
    <row r="137" ht="42" customHeight="1"/>
    <row r="138" ht="42" customHeight="1"/>
    <row r="139" ht="42" customHeight="1"/>
    <row r="140" ht="42" customHeight="1"/>
    <row r="141" ht="42" customHeight="1"/>
    <row r="142" ht="42" customHeight="1"/>
    <row r="143" ht="42" customHeight="1"/>
    <row r="144" ht="42" customHeight="1"/>
    <row r="145" ht="42" customHeight="1"/>
    <row r="146" ht="42" customHeight="1"/>
    <row r="147" ht="42" customHeight="1"/>
    <row r="148" ht="42" customHeight="1"/>
    <row r="149" ht="42" customHeight="1"/>
    <row r="150" ht="42" customHeight="1"/>
    <row r="151" ht="42" customHeight="1"/>
    <row r="152" ht="42" customHeight="1"/>
    <row r="153" ht="42" customHeight="1"/>
    <row r="154" ht="42" customHeight="1"/>
    <row r="155" ht="42" customHeight="1"/>
    <row r="156" ht="42" customHeight="1"/>
    <row r="157" ht="42" customHeight="1"/>
    <row r="158" ht="56.09999847412109" customHeight="1"/>
    <row r="159" ht="213" customHeight="1"/>
    <row r="160" ht="137.25" customHeight="1"/>
    <row r="161" ht="137.25" customHeight="1"/>
    <row r="162" ht="137.25" customHeight="1"/>
    <row r="163" ht="137.25" customHeight="1"/>
    <row r="164" ht="137.25" customHeight="1"/>
    <row r="165" ht="167.25" customHeight="1"/>
    <row r="166" ht="137.25" customHeight="1"/>
    <row r="167" ht="198" customHeight="1"/>
    <row r="168" ht="137.25" customHeight="1"/>
    <row r="169" ht="259.5" customHeight="1"/>
    <row r="170" ht="152.25" customHeight="1"/>
    <row r="171" ht="198" customHeight="1"/>
    <row r="172" ht="137.25" customHeight="1"/>
    <row r="173" ht="229.5" customHeight="1"/>
    <row r="174" ht="183" customHeight="1"/>
    <row r="175" ht="152.25" customHeight="1"/>
    <row r="176" ht="198" customHeight="1"/>
    <row r="177" ht="244.5" customHeight="1"/>
    <row r="178" ht="183" customHeight="1"/>
    <row r="179" ht="137.25" customHeight="1"/>
    <row r="180" ht="137.25" customHeight="1"/>
    <row r="181" ht="137.25" customHeight="1"/>
    <row r="182" ht="167.25" customHeight="1"/>
    <row r="183" ht="167.25" customHeight="1"/>
    <row r="184" ht="137.25" customHeight="1"/>
    <row r="185" ht="198" customHeight="1"/>
    <row r="186" ht="167.25" customHeight="1"/>
    <row r="187" ht="183" customHeight="1"/>
    <row r="188" ht="152.25" customHeight="1"/>
    <row r="189" ht="137.25" customHeight="1"/>
    <row r="190" ht="213" customHeight="1"/>
    <row r="191" ht="189" customHeight="1"/>
    <row r="192" ht="137.25" customHeight="1"/>
    <row r="193" ht="152.25" customHeight="1"/>
    <row r="194" ht="167.25" customHeight="1"/>
    <row r="195" ht="381.75" customHeight="1"/>
    <row r="196" ht="381.75" customHeight="1"/>
    <row r="197" ht="381.75" customHeight="1"/>
    <row r="198" ht="381.75" customHeight="1"/>
    <row r="199" ht="183" customHeight="1"/>
    <row r="200" ht="229.5" customHeight="1"/>
    <row r="201" ht="174.75" customHeight="1"/>
    <row r="202" ht="216" customHeight="1"/>
    <row r="203" ht="202.5" customHeight="1"/>
    <row r="204" ht="189" customHeight="1"/>
    <row r="205" ht="244.5" customHeight="1"/>
    <row r="206" ht="174.75" customHeight="1"/>
    <row r="207" ht="202.5" customHeight="1"/>
    <row r="208" ht="229.5" customHeight="1"/>
    <row r="209" ht="244.5" customHeight="1"/>
    <row r="210" ht="244.5" customHeight="1"/>
    <row r="211" ht="229.5" customHeight="1"/>
    <row r="212" ht="229.5" customHeight="1"/>
    <row r="213" ht="202.5" customHeight="1"/>
    <row r="214" ht="244.5" customHeight="1"/>
    <row r="215" ht="229.5" customHeight="1"/>
    <row r="216" ht="244.5" customHeight="1"/>
    <row r="217" ht="229.5" customHeight="1"/>
    <row r="218" ht="244.5" customHeight="1"/>
    <row r="219" ht="229.5" customHeight="1"/>
    <row r="220" ht="229.5" customHeight="1"/>
    <row r="221" ht="259.5" customHeight="1"/>
    <row r="222" ht="244.5" customHeight="1"/>
    <row r="223" ht="229.5" customHeight="1"/>
    <row r="224" ht="229.5" customHeight="1"/>
  </sheetData>
  <dataValidations count="2">
    <dataValidation sqref="AK2:AK160" showDropDown="0" showInputMessage="0" showErrorMessage="0" allowBlank="0" type="list">
      <formula1>_xlfn._LONGTEXT("Adjacent / Dual-Use Technology,Aerospace Electrical Systems,Aerospace Platforms &amp; Components,Aerospace Services &amp; MRO,Air Traffic Management &amp; Communications,Ammunition &amp; Weapons,Avionics &amp; Flight Systems,C4ISR / Mission Systems,Counter-UAS,Critical Mater","ials &amp; Mining,Cyber &amp; Digital Defence,Defence Computing &amp; Rugged Systems,Defence Electronics &amp; Sensors,Defence Holdings / Multi-Domain,Defence Infrastructure &amp; Deployable Systems,Defence Services &amp; Engineering,Defence Software &amp; Digital Systems,Industrial"," Inspection &amp; Robotics,Industrial Supply Chain &amp; Manufacturing,Land Systems &amp; Military Vehicles,Naval &amp; Underwater Systems,Navigation, Guidance &amp; Positioning,Power, Propulsion &amp; Energy,Protective Equipment &amp; Soldier Systems,Secure Communications &amp; Connect","ivity,Security &amp; Critical Infrastructure Systems,Space &amp; Satellite Systems,Test, Measurement &amp; Simulation,UAVs &amp; Autonomous Systems")</formula1>
    </dataValidation>
    <dataValidation sqref="AK2:AK159" showDropDown="0" showInputMessage="0" showErrorMessage="0" allowBlank="0" type="list">
      <formula1>_xlfn._LONGTEXT("Adjacent / Dual-Use Technology,Aerospace Platforms &amp; Components,Ammunition &amp; Weapons,C4ISR / Mission Systems,Counter-UAS,Critical Materials &amp; Mining,Cyber &amp; Digital Defence,Defence Electronics &amp; Sensors,Defence Holdings / Multi-Domain,Defence Services &amp; E","ngineering,Defence Services &amp; Logistics,Industrial Inspection &amp; Robotics,Industrial Supply Chain &amp; Manufacturing,Land Systems &amp; Military Vehicles,Naval &amp; Underwater Systems,Power, Propulsion &amp; Energy,Secure Communications &amp; Connectivity,Space &amp; Satellite ","Systems,UAVs &amp; Autonomous Systems")</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7F7F7F"/>
    <outlinePr summaryBelow="1" summaryRight="1"/>
    <pageSetUpPr/>
  </sheetPr>
  <dimension ref="A1:B11"/>
  <sheetViews>
    <sheetView showGridLines="0" workbookViewId="0">
      <selection activeCell="A1" sqref="A1"/>
    </sheetView>
  </sheetViews>
  <sheetFormatPr baseColWidth="8" defaultColWidth="8.7109375" defaultRowHeight="15"/>
  <cols>
    <col width="24" customWidth="1" min="1" max="1"/>
    <col width="110" customWidth="1" min="2" max="2"/>
  </cols>
  <sheetData>
    <row r="1" ht="42" customHeight="1">
      <c r="A1" s="362" t="inlineStr">
        <is>
          <t>Term</t>
        </is>
      </c>
      <c r="B1" s="362" t="inlineStr">
        <is>
          <t>Strict Europe definition / usage</t>
        </is>
      </c>
    </row>
    <row r="2" ht="42" customHeight="1">
      <c r="A2" s="365" t="inlineStr">
        <is>
          <t>Review cutoff</t>
        </is>
      </c>
      <c r="B2" s="365" t="inlineStr">
        <is>
          <t>Transactions completed from 2023-01-01 through 2026-08-02 inclusive.</t>
        </is>
      </c>
    </row>
    <row r="3" ht="42" customHeight="1">
      <c r="A3" s="365" t="inlineStr">
        <is>
          <t>European target</t>
        </is>
      </c>
      <c r="B3" s="365" t="inlineStr">
        <is>
          <t>Principal operating headquarters in the EU/EEA, United Kingdom, Switzerland, Balkans, Ukraine or Cyprus. Russia, Belarus and Turkey excluded under the user-approved policy.</t>
        </is>
      </c>
    </row>
    <row r="4" ht="42" customHeight="1">
      <c r="A4" s="365" t="inlineStr">
        <is>
          <t>Core A&amp;D technology</t>
        </is>
      </c>
      <c r="B4" s="365" t="inlineStr">
        <is>
          <t>Aerospace, defence, space or national-security technology is the target's primary business. Incidental exposure is insufficient.</t>
        </is>
      </c>
    </row>
    <row r="5" ht="42" customHeight="1">
      <c r="A5" s="365" t="inlineStr">
        <is>
          <t>Completed M&amp;A</t>
        </is>
      </c>
      <c r="B5" s="365" t="inlineStr">
        <is>
          <t>Completed transaction establishing control, or acquisition of an identifiable operating A&amp;D business. Minority stakes, top-ups without new control, property/equipment purchases and isolated asset/IP purchases are excluded.</t>
        </is>
      </c>
    </row>
    <row r="6" ht="42" customHeight="1">
      <c r="A6" s="365" t="inlineStr">
        <is>
          <t>Completed IPO</t>
        </is>
      </c>
      <c r="B6" s="365" t="inlineStr">
        <is>
          <t>Completed public offering and trading admission. Shell listings, reverse takeovers and private placements without a genuine IPO are excluded.</t>
        </is>
      </c>
    </row>
    <row r="7" ht="42" customHeight="1">
      <c r="A7" s="365" t="inlineStr">
        <is>
          <t>Transaction date</t>
        </is>
      </c>
      <c r="B7" s="365" t="inlineStr">
        <is>
          <t>Legal completion date for M&amp;A; first-trading/admission date for IPOs.</t>
        </is>
      </c>
    </row>
    <row r="8" ht="42" customHeight="1">
      <c r="A8" s="365" t="inlineStr">
        <is>
          <t>Pending pipeline</t>
        </is>
      </c>
      <c r="B8" s="365" t="inlineStr">
        <is>
          <t>Definitive announcements not legally completed by 2026-08-02 are kept only in Europe_Pending.</t>
        </is>
      </c>
    </row>
    <row r="9" ht="42" customHeight="1">
      <c r="A9" s="365" t="inlineStr">
        <is>
          <t>Undisclosed fields</t>
        </is>
      </c>
      <c r="B9" s="365" t="inlineStr">
        <is>
          <t>Not disclosed / Not independently verified / N/A are used instead of estimates or invented values.</t>
        </is>
      </c>
    </row>
    <row r="10" ht="42" customHeight="1">
      <c r="A10" s="365" t="inlineStr">
        <is>
          <t>Primary source</t>
        </is>
      </c>
      <c r="B10" s="365" t="inlineStr">
        <is>
          <t>Issuer, acquirer, target, regulator, stock exchange, securities filing or official government/competition authority disclosure.</t>
        </is>
      </c>
    </row>
    <row r="11" ht="42" customHeight="1">
      <c r="A11" s="365" t="inlineStr">
        <is>
          <t>Completeness limitation</t>
        </is>
      </c>
      <c r="B11" s="365" t="inlineStr">
        <is>
          <t>Public-source verification cannot prove the absence of undisclosed private transactions; the workbook records the verified public universe and its audit trail.</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B15"/>
  <sheetViews>
    <sheetView showGridLines="0" workbookViewId="0">
      <selection activeCell="A1" sqref="A1"/>
    </sheetView>
  </sheetViews>
  <sheetFormatPr baseColWidth="8" defaultRowHeight="15"/>
  <cols>
    <col width="12" customWidth="1" min="1" max="1"/>
    <col width="10" customWidth="1" min="2" max="2"/>
    <col width="16" customWidth="1" min="3" max="3"/>
    <col width="28" customWidth="1" min="4" max="4"/>
    <col width="24" customWidth="1" min="5" max="5"/>
    <col width="16" customWidth="1" min="6" max="6"/>
    <col width="22" customWidth="1" min="7" max="7"/>
    <col width="14" customWidth="1" min="8" max="8"/>
    <col width="16" customWidth="1" min="9" max="9"/>
    <col width="10" customWidth="1" min="10" max="10"/>
    <col width="14" customWidth="1" min="11" max="11"/>
    <col width="24" customWidth="1" min="12" max="12"/>
    <col width="18" customWidth="1" min="13" max="13"/>
    <col width="13" customWidth="1" min="14" max="14"/>
    <col width="16" customWidth="1" min="15" max="15"/>
    <col width="10" customWidth="1" min="16" max="16"/>
    <col width="16" customWidth="1" min="17" max="17"/>
    <col width="28" customWidth="1" min="18" max="18"/>
    <col width="22" customWidth="1" min="19" max="19"/>
    <col width="24" customWidth="1" min="20" max="20"/>
    <col width="14" customWidth="1" min="21" max="21"/>
    <col width="42" customWidth="1" min="22" max="22"/>
    <col width="52" customWidth="1" min="23" max="23"/>
    <col width="24" customWidth="1" min="24" max="24"/>
    <col width="22" customWidth="1" min="25" max="25"/>
    <col width="42" customWidth="1" min="26" max="26"/>
    <col width="36" customWidth="1" min="27" max="27"/>
    <col width="54" customWidth="1" min="28" max="28"/>
  </cols>
  <sheetData>
    <row r="1" ht="42" customHeight="1">
      <c r="A1" s="349" t="inlineStr">
        <is>
          <t>Deal ID</t>
        </is>
      </c>
      <c r="B1" s="349" t="inlineStr">
        <is>
          <t>Region</t>
        </is>
      </c>
      <c r="C1" s="349" t="inlineStr">
        <is>
          <t>Target Country</t>
        </is>
      </c>
      <c r="D1" s="349" t="inlineStr">
        <is>
          <t>Target / Business</t>
        </is>
      </c>
      <c r="E1" s="349" t="inlineStr">
        <is>
          <t>Acquirer</t>
        </is>
      </c>
      <c r="F1" s="349" t="inlineStr">
        <is>
          <t>Acquirer Country</t>
        </is>
      </c>
      <c r="G1" s="349" t="inlineStr">
        <is>
          <t>Seller</t>
        </is>
      </c>
      <c r="H1" s="349" t="inlineStr">
        <is>
          <t>Announcement Date</t>
        </is>
      </c>
      <c r="I1" s="349" t="inlineStr">
        <is>
          <t>Completion / IPO Date</t>
        </is>
      </c>
      <c r="J1" s="349" t="inlineStr">
        <is>
          <t>Deal Year</t>
        </is>
      </c>
      <c r="K1" s="349" t="inlineStr">
        <is>
          <t>Transaction Type</t>
        </is>
      </c>
      <c r="L1" s="349" t="inlineStr">
        <is>
          <t>Deal Structure</t>
        </is>
      </c>
      <c r="M1" s="349" t="inlineStr">
        <is>
          <t>Ownership Acquired</t>
        </is>
      </c>
      <c r="N1" s="349" t="inlineStr">
        <is>
          <t>Deal Status</t>
        </is>
      </c>
      <c r="O1" s="349" t="inlineStr">
        <is>
          <t>Native Deal Value (mn)</t>
        </is>
      </c>
      <c r="P1" s="349" t="inlineStr">
        <is>
          <t>Currency</t>
        </is>
      </c>
      <c r="Q1" s="349" t="inlineStr">
        <is>
          <t>Deal Value (USD mn)</t>
        </is>
      </c>
      <c r="R1" s="349" t="inlineStr">
        <is>
          <t>Value Basis</t>
        </is>
      </c>
      <c r="S1" s="349" t="inlineStr">
        <is>
          <t>Hardware / Software / Services</t>
        </is>
      </c>
      <c r="T1" s="349" t="inlineStr">
        <is>
          <t>A&amp;D Domain</t>
        </is>
      </c>
      <c r="U1" s="349" t="inlineStr">
        <is>
          <t>Inclusion Tier</t>
        </is>
      </c>
      <c r="V1" s="349" t="inlineStr">
        <is>
          <t>Scope Evidence</t>
        </is>
      </c>
      <c r="W1" s="349" t="inlineStr">
        <is>
          <t>Deal Synopsis</t>
        </is>
      </c>
      <c r="X1" s="349" t="inlineStr">
        <is>
          <t>Company Website</t>
        </is>
      </c>
      <c r="Y1" s="349" t="inlineStr">
        <is>
          <t>Verification Status</t>
        </is>
      </c>
      <c r="Z1" s="349" t="inlineStr">
        <is>
          <t>Primary Source URL</t>
        </is>
      </c>
      <c r="AA1" s="349" t="inlineStr">
        <is>
          <t>Secondary Source URL</t>
        </is>
      </c>
      <c r="AB1" s="349" t="inlineStr">
        <is>
          <t>Audit Notes</t>
        </is>
      </c>
    </row>
    <row r="2" ht="45" customHeight="1">
      <c r="A2" s="353" t="inlineStr">
        <is>
          <t>PEND-001</t>
        </is>
      </c>
      <c r="B2" s="353" t="inlineStr">
        <is>
          <t>Europe</t>
        </is>
      </c>
      <c r="C2" s="353" t="inlineStr">
        <is>
          <t>United Kingdom</t>
        </is>
      </c>
      <c r="D2" s="353" t="inlineStr">
        <is>
          <t>Ultra Cyber Ltd</t>
        </is>
      </c>
      <c r="E2" s="353" t="inlineStr">
        <is>
          <t>Airbus</t>
        </is>
      </c>
      <c r="F2" s="353" t="inlineStr">
        <is>
          <t>Netherlands</t>
        </is>
      </c>
      <c r="G2" s="353" t="inlineStr">
        <is>
          <t>Cobham Ultra / Advent International</t>
        </is>
      </c>
      <c r="H2" s="403" t="n">
        <v>46104</v>
      </c>
      <c r="I2" s="403" t="inlineStr">
        <is>
          <t>Not completed by 2026-08-02</t>
        </is>
      </c>
      <c r="J2" s="404" t="n">
        <v>2026</v>
      </c>
      <c r="K2" s="353" t="inlineStr">
        <is>
          <t>M&amp;A</t>
        </is>
      </c>
      <c r="L2" s="353" t="inlineStr">
        <is>
          <t>Corporate Divestiture / Full Acquisition</t>
        </is>
      </c>
      <c r="M2" s="353" t="inlineStr">
        <is>
          <t>100% proposed</t>
        </is>
      </c>
      <c r="N2" s="353" t="inlineStr">
        <is>
          <t>Announced / Pending</t>
        </is>
      </c>
      <c r="O2" s="407" t="inlineStr">
        <is>
          <t>Not disclosed</t>
        </is>
      </c>
      <c r="P2" s="359" t="inlineStr">
        <is>
          <t>Not disclosed</t>
        </is>
      </c>
      <c r="Q2" s="408" t="inlineStr">
        <is>
          <t>Not disclosed</t>
        </is>
      </c>
      <c r="R2" s="353" t="inlineStr">
        <is>
          <t>No transaction-specific consideration was verified from the cited primary source.</t>
        </is>
      </c>
      <c r="S2" s="353" t="inlineStr">
        <is>
          <t>Hardware / Software</t>
        </is>
      </c>
      <c r="T2" s="353" t="inlineStr">
        <is>
          <t>Cyber &amp; Digital Defence</t>
        </is>
      </c>
      <c r="U2" s="353" t="inlineStr">
        <is>
          <t>Core A&amp;D — pending only</t>
        </is>
      </c>
      <c r="V2" s="353" t="inlineStr">
        <is>
          <t>Defense Cyber / Secure Communications. Provides sovereign cryptographic products, key-management systems and secure-communications technologies for government and defense customers.</t>
        </is>
      </c>
      <c r="W2" s="353" t="inlineStr">
        <is>
          <t>Qualifying A&amp;D control transaction, but not completed by 2026-08-02; move to the pending pipeline.</t>
        </is>
      </c>
      <c r="X2" s="353" t="inlineStr">
        <is>
          <t>Not independently verified</t>
        </is>
      </c>
      <c r="Y2" s="353" t="inlineStr">
        <is>
          <t>Verified announcement — completion pending</t>
        </is>
      </c>
      <c r="Z2" s="353" t="inlineStr">
        <is>
          <t>https://www.airbus.com/en/newsroom/press-releases/2026-03-airbus-continues-to-strengthen-sovereign-cyber-security-with-acquisition-of-ultra-cyber-ltd-in-the</t>
        </is>
      </c>
      <c r="AA2" s="353" t="inlineStr">
        <is>
          <t>None used</t>
        </is>
      </c>
      <c r="AB2" s="353" t="inlineStr">
        <is>
          <t>Excluded from completed Europe population under the approved strict policy.</t>
        </is>
      </c>
    </row>
    <row r="3" ht="45" customHeight="1">
      <c r="A3" s="353" t="inlineStr">
        <is>
          <t>PEND-002</t>
        </is>
      </c>
      <c r="B3" s="353" t="inlineStr">
        <is>
          <t>Europe</t>
        </is>
      </c>
      <c r="C3" s="353" t="inlineStr">
        <is>
          <t>Netherlands</t>
        </is>
      </c>
      <c r="D3" s="353" t="inlineStr">
        <is>
          <t>Integris Composites B.V.</t>
        </is>
      </c>
      <c r="E3" s="353" t="inlineStr">
        <is>
          <t>Triton Fund VI</t>
        </is>
      </c>
      <c r="F3" s="353" t="inlineStr">
        <is>
          <t>Luxembourg</t>
        </is>
      </c>
      <c r="G3" s="353" t="inlineStr">
        <is>
          <t>Agilitas funds</t>
        </is>
      </c>
      <c r="H3" s="403" t="n">
        <v>46119</v>
      </c>
      <c r="I3" s="403" t="inlineStr">
        <is>
          <t>Not completed by 2026-08-02</t>
        </is>
      </c>
      <c r="J3" s="404" t="n">
        <v>2026</v>
      </c>
      <c r="K3" s="353" t="inlineStr">
        <is>
          <t>M&amp;A</t>
        </is>
      </c>
      <c r="L3" s="353" t="inlineStr">
        <is>
          <t>Private-equity acquisition</t>
        </is>
      </c>
      <c r="M3" s="353" t="inlineStr">
        <is>
          <t>100% proposed</t>
        </is>
      </c>
      <c r="N3" s="353" t="inlineStr">
        <is>
          <t>Announced / Pending</t>
        </is>
      </c>
      <c r="O3" s="407" t="inlineStr">
        <is>
          <t>Not disclosed</t>
        </is>
      </c>
      <c r="P3" s="359" t="inlineStr">
        <is>
          <t>Not disclosed</t>
        </is>
      </c>
      <c r="Q3" s="408" t="inlineStr">
        <is>
          <t>Not disclosed</t>
        </is>
      </c>
      <c r="R3" s="353" t="inlineStr">
        <is>
          <t>No transaction-specific consideration was verified from the cited primary source.</t>
        </is>
      </c>
      <c r="S3" s="353" t="inlineStr">
        <is>
          <t>Hardware</t>
        </is>
      </c>
      <c r="T3" s="353" t="inlineStr">
        <is>
          <t>Land Systems &amp; Military Vehicles</t>
        </is>
      </c>
      <c r="U3" s="353" t="inlineStr">
        <is>
          <t>Core A&amp;D — pending only</t>
        </is>
      </c>
      <c r="V3" s="353" t="inlineStr">
        <is>
          <t>Ballistic Protection. Producer of lightweight composite armour solutions for personal, land, aerospace and marine protection.</t>
        </is>
      </c>
      <c r="W3" s="353" t="inlineStr">
        <is>
          <t>Qualifying A&amp;D control transaction, but not completed by 2026-08-02; move to the pending pipeline.</t>
        </is>
      </c>
      <c r="X3" s="353" t="inlineStr">
        <is>
          <t>Not independently verified</t>
        </is>
      </c>
      <c r="Y3" s="353" t="inlineStr">
        <is>
          <t>Verified announcement — completion pending</t>
        </is>
      </c>
      <c r="Z3" s="353" t="inlineStr">
        <is>
          <t>https://www.triton-partners.com/news/triton-partners-to-acquire-integris-composites</t>
        </is>
      </c>
      <c r="AA3" s="353" t="inlineStr">
        <is>
          <t>None used</t>
        </is>
      </c>
      <c r="AB3" s="353" t="inlineStr">
        <is>
          <t>Excluded from completed Europe population under the approved strict policy.</t>
        </is>
      </c>
    </row>
    <row r="4" ht="45" customHeight="1">
      <c r="A4" s="353" t="inlineStr">
        <is>
          <t>PEND-003</t>
        </is>
      </c>
      <c r="B4" s="353" t="inlineStr">
        <is>
          <t>Europe</t>
        </is>
      </c>
      <c r="C4" s="353" t="inlineStr">
        <is>
          <t>United Kingdom</t>
        </is>
      </c>
      <c r="D4" s="353" t="inlineStr">
        <is>
          <t>Senior plc</t>
        </is>
      </c>
      <c r="E4" s="353" t="inlineStr">
        <is>
          <t>Zeus UK Bidco (Tinicum and Blackstone)</t>
        </is>
      </c>
      <c r="F4" s="353" t="inlineStr">
        <is>
          <t>United States</t>
        </is>
      </c>
      <c r="G4" s="353" t="inlineStr">
        <is>
          <t>Senior plc shareholders</t>
        </is>
      </c>
      <c r="H4" s="403" t="n">
        <v>46119</v>
      </c>
      <c r="I4" s="403" t="inlineStr">
        <is>
          <t>Not completed by 2026-08-02</t>
        </is>
      </c>
      <c r="J4" s="404" t="n">
        <v>2026</v>
      </c>
      <c r="K4" s="353" t="inlineStr">
        <is>
          <t>M&amp;A</t>
        </is>
      </c>
      <c r="L4" s="353" t="inlineStr">
        <is>
          <t>Public-to-Private / Full Acquisition</t>
        </is>
      </c>
      <c r="M4" s="353" t="inlineStr">
        <is>
          <t>100% proposed</t>
        </is>
      </c>
      <c r="N4" s="353" t="inlineStr">
        <is>
          <t>Announced / Pending</t>
        </is>
      </c>
      <c r="O4" s="407" t="n">
        <v>1275</v>
      </c>
      <c r="P4" s="359" t="inlineStr">
        <is>
          <t>GBP</t>
        </is>
      </c>
      <c r="Q4" s="408" t="inlineStr">
        <is>
          <t>Not disclosed</t>
        </is>
      </c>
      <c r="R4" s="353" t="inlineStr">
        <is>
          <t>Fully diluted equity value; stated enterprise value GBP 1,399m</t>
        </is>
      </c>
      <c r="S4" s="353" t="inlineStr">
        <is>
          <t>Hardware</t>
        </is>
      </c>
      <c r="T4" s="353" t="inlineStr">
        <is>
          <t>Aerospace Platforms &amp; Components</t>
        </is>
      </c>
      <c r="U4" s="353" t="inlineStr">
        <is>
          <t>Core A&amp;D — pending only</t>
        </is>
      </c>
      <c r="V4" s="353" t="inlineStr">
        <is>
          <t>Aerospace is Senior's primary operating division: 2025 external Aerospace revenue was GBP 425.3m, or 57.6% of Group revenue. Direct end markets were civil aerospace 32% and defence 16%, with a further 10% of Group revenue from adjacent markets served by Aerospace operating businesses.</t>
        </is>
      </c>
      <c r="W4" s="353" t="inlineStr">
        <is>
          <t>Retain only in the pending pipeline: the proposed 100% acquisition was announced but not completed by 2026-08-02; Senior's majority Aerospace operating division establishes core sector scope.</t>
        </is>
      </c>
      <c r="X4" s="353" t="inlineStr">
        <is>
          <t>Not independently verified</t>
        </is>
      </c>
      <c r="Y4" s="353" t="inlineStr">
        <is>
          <t>Verified announcement — completion pending</t>
        </is>
      </c>
      <c r="Z4" s="353" t="inlineStr">
        <is>
          <t>https://www.investegate.co.uk/announcement/rns/senior--snr/recommended-cash-acquisition-of-senior-plc/9508660</t>
        </is>
      </c>
      <c r="AA4" s="353" t="inlineStr">
        <is>
          <t>https://www.seniorplc.com/~/media/Files/S/Senior-PLC/reports-and-presentations/annual-report-2025.pdf</t>
        </is>
      </c>
      <c r="AB4" s="353" t="inlineStr">
        <is>
          <t>Excluded from completed Europe population under the approved strict policy.</t>
        </is>
      </c>
    </row>
    <row r="5" ht="45" customHeight="1">
      <c r="A5" s="353" t="inlineStr">
        <is>
          <t>PEND-004</t>
        </is>
      </c>
      <c r="B5" s="353" t="inlineStr">
        <is>
          <t>Europe</t>
        </is>
      </c>
      <c r="C5" s="353" t="inlineStr">
        <is>
          <t>France</t>
        </is>
      </c>
      <c r="D5" s="353" t="inlineStr">
        <is>
          <t>Quarkslab</t>
        </is>
      </c>
      <c r="E5" s="353" t="inlineStr">
        <is>
          <t>Airbus</t>
        </is>
      </c>
      <c r="F5" s="353" t="inlineStr">
        <is>
          <t>Netherlands</t>
        </is>
      </c>
      <c r="G5" s="353" t="inlineStr">
        <is>
          <t>Tikehau Capital and Quarkslab shareholders</t>
        </is>
      </c>
      <c r="H5" s="403" t="n">
        <v>46133</v>
      </c>
      <c r="I5" s="403" t="inlineStr">
        <is>
          <t>Not completed by 2026-08-02</t>
        </is>
      </c>
      <c r="J5" s="404" t="n">
        <v>2026</v>
      </c>
      <c r="K5" s="353" t="inlineStr">
        <is>
          <t>M&amp;A</t>
        </is>
      </c>
      <c r="L5" s="353" t="inlineStr">
        <is>
          <t>Full Acquisition</t>
        </is>
      </c>
      <c r="M5" s="353" t="inlineStr">
        <is>
          <t>100% proposed</t>
        </is>
      </c>
      <c r="N5" s="353" t="inlineStr">
        <is>
          <t>Announced / Pending</t>
        </is>
      </c>
      <c r="O5" s="407" t="inlineStr">
        <is>
          <t>Not disclosed</t>
        </is>
      </c>
      <c r="P5" s="359" t="inlineStr">
        <is>
          <t>Not disclosed</t>
        </is>
      </c>
      <c r="Q5" s="408" t="inlineStr">
        <is>
          <t>Not disclosed</t>
        </is>
      </c>
      <c r="R5" s="353" t="inlineStr">
        <is>
          <t>No transaction-specific consideration was verified from the cited primary source.</t>
        </is>
      </c>
      <c r="S5" s="353" t="inlineStr">
        <is>
          <t>Software / Services</t>
        </is>
      </c>
      <c r="T5" s="353" t="inlineStr">
        <is>
          <t>Cyber &amp; Digital Defence</t>
        </is>
      </c>
      <c r="U5" s="353" t="inlineStr">
        <is>
          <t>Core A&amp;D — pending only</t>
        </is>
      </c>
      <c r="V5" s="353" t="inlineStr">
        <is>
          <t>Defense Cyber / Sovereign Security. Provides advanced cybersecurity research, software and services including vulnerability analysis, reverse engineering and endpoint protection.</t>
        </is>
      </c>
      <c r="W5" s="353" t="inlineStr">
        <is>
          <t>Qualifying A&amp;D control transaction, but not completed by 2026-08-02; move to the pending pipeline.</t>
        </is>
      </c>
      <c r="X5" s="353" t="inlineStr">
        <is>
          <t>Not independently verified</t>
        </is>
      </c>
      <c r="Y5" s="353" t="inlineStr">
        <is>
          <t>Verified announcement — completion pending</t>
        </is>
      </c>
      <c r="Z5" s="353" t="inlineStr">
        <is>
          <t>https://www.airbus.com/en/newsroom/press-releases/2026-04-airbus-strengthens-sovereign-cyber-security-with-acquisition-of-quarkslab-in-france</t>
        </is>
      </c>
      <c r="AA5" s="353" t="inlineStr">
        <is>
          <t>None used</t>
        </is>
      </c>
      <c r="AB5" s="353" t="inlineStr">
        <is>
          <t>Excluded from completed Europe population under the approved strict policy.</t>
        </is>
      </c>
    </row>
    <row r="6" ht="45" customHeight="1">
      <c r="A6" s="353" t="inlineStr">
        <is>
          <t>PEND-005</t>
        </is>
      </c>
      <c r="B6" s="353" t="inlineStr">
        <is>
          <t>Europe</t>
        </is>
      </c>
      <c r="C6" s="353" t="inlineStr">
        <is>
          <t>Sweden</t>
        </is>
      </c>
      <c r="D6" s="353" t="inlineStr">
        <is>
          <t>PartnerTech Karlskoga AB</t>
        </is>
      </c>
      <c r="E6" s="353" t="inlineStr">
        <is>
          <t>Fjord Defence Group</t>
        </is>
      </c>
      <c r="F6" s="353" t="inlineStr">
        <is>
          <t>Norway</t>
        </is>
      </c>
      <c r="G6" s="353" t="inlineStr">
        <is>
          <t>Permec Group AB</t>
        </is>
      </c>
      <c r="H6" s="403" t="n">
        <v>46190</v>
      </c>
      <c r="I6" s="403" t="inlineStr">
        <is>
          <t>Not completed by 2026-08-02</t>
        </is>
      </c>
      <c r="J6" s="404" t="n">
        <v>2026</v>
      </c>
      <c r="K6" s="353" t="inlineStr">
        <is>
          <t>M&amp;A</t>
        </is>
      </c>
      <c r="L6" s="353" t="inlineStr">
        <is>
          <t>Proposed full company acquisition</t>
        </is>
      </c>
      <c r="M6" s="353" t="inlineStr">
        <is>
          <t>100% proposed</t>
        </is>
      </c>
      <c r="N6" s="353" t="inlineStr">
        <is>
          <t>Announced / Pending</t>
        </is>
      </c>
      <c r="O6" s="407" t="n">
        <v>708</v>
      </c>
      <c r="P6" s="359" t="inlineStr">
        <is>
          <t>SEK</t>
        </is>
      </c>
      <c r="Q6" s="408" t="inlineStr">
        <is>
          <t>Not disclosed</t>
        </is>
      </c>
      <c r="R6" s="353" t="inlineStr">
        <is>
          <t>Announced purchase price; transaction pending</t>
        </is>
      </c>
      <c r="S6" s="353" t="inlineStr">
        <is>
          <t>Hardware / Services</t>
        </is>
      </c>
      <c r="T6" s="353" t="inlineStr">
        <is>
          <t>Defence Services &amp; Engineering</t>
        </is>
      </c>
      <c r="U6" s="353" t="inlineStr">
        <is>
          <t>Core A&amp;D — pending only</t>
        </is>
      </c>
      <c r="V6" s="353" t="inlineStr">
        <is>
          <t>Defense Manufacturing / Systems Integration. Provides advanced machining, assembly and systems-integration services for defense and other high-reliability industrial customers.</t>
        </is>
      </c>
      <c r="W6" s="353" t="inlineStr">
        <is>
          <t>Qualifying A&amp;D control transaction, but not completed by 2026-08-02; move to the pending pipeline.</t>
        </is>
      </c>
      <c r="X6" s="353" t="inlineStr">
        <is>
          <t>Not independently verified</t>
        </is>
      </c>
      <c r="Y6" s="353" t="inlineStr">
        <is>
          <t>Verified announcement — completion pending</t>
        </is>
      </c>
      <c r="Z6" s="353" t="inlineStr">
        <is>
          <t>https://www.inderes.se/releases/fjord-defence-group-asa-acquisition-of-partnertech-and-contemplated-equity-private-placement</t>
        </is>
      </c>
      <c r="AA6" s="353" t="inlineStr">
        <is>
          <t>None used</t>
        </is>
      </c>
      <c r="AB6" s="353" t="inlineStr">
        <is>
          <t>Excluded from completed Europe population under the approved strict policy.</t>
        </is>
      </c>
    </row>
    <row r="7" ht="45" customHeight="1">
      <c r="A7" s="353" t="inlineStr">
        <is>
          <t>PEND-006</t>
        </is>
      </c>
      <c r="B7" s="353" t="inlineStr">
        <is>
          <t>Europe</t>
        </is>
      </c>
      <c r="C7" s="353" t="inlineStr">
        <is>
          <t>Germany</t>
        </is>
      </c>
      <c r="D7" s="353" t="inlineStr">
        <is>
          <t>Exolaunch GmbH</t>
        </is>
      </c>
      <c r="E7" s="353" t="inlineStr">
        <is>
          <t>EQT X</t>
        </is>
      </c>
      <c r="F7" s="353" t="inlineStr">
        <is>
          <t>Sweden</t>
        </is>
      </c>
      <c r="G7" s="353" t="inlineStr">
        <is>
          <t>Exolaunch shareholders</t>
        </is>
      </c>
      <c r="H7" s="403" t="n">
        <v>46191</v>
      </c>
      <c r="I7" s="403" t="inlineStr">
        <is>
          <t>Not completed by 2026-08-02</t>
        </is>
      </c>
      <c r="J7" s="404" t="n">
        <v>2026</v>
      </c>
      <c r="K7" s="353" t="inlineStr">
        <is>
          <t>M&amp;A</t>
        </is>
      </c>
      <c r="L7" s="353" t="inlineStr">
        <is>
          <t>Full Acquisition</t>
        </is>
      </c>
      <c r="M7" s="353" t="inlineStr">
        <is>
          <t>100% proposed</t>
        </is>
      </c>
      <c r="N7" s="353" t="inlineStr">
        <is>
          <t>Announced / Pending</t>
        </is>
      </c>
      <c r="O7" s="407" t="inlineStr">
        <is>
          <t>Not disclosed</t>
        </is>
      </c>
      <c r="P7" s="359" t="inlineStr">
        <is>
          <t>Not disclosed</t>
        </is>
      </c>
      <c r="Q7" s="408" t="inlineStr">
        <is>
          <t>Not disclosed</t>
        </is>
      </c>
      <c r="R7" s="353" t="inlineStr">
        <is>
          <t>No transaction-specific consideration was verified from the cited primary source.</t>
        </is>
      </c>
      <c r="S7" s="353" t="inlineStr">
        <is>
          <t>Hardware / Services</t>
        </is>
      </c>
      <c r="T7" s="353" t="inlineStr">
        <is>
          <t>Space &amp; Satellite Systems</t>
        </is>
      </c>
      <c r="U7" s="353" t="inlineStr">
        <is>
          <t>Core A&amp;D — pending only</t>
        </is>
      </c>
      <c r="V7" s="353" t="inlineStr">
        <is>
          <t>Launch Services / Space Logistics. Provides end-to-end launch mission management, satellite deployment systems and space-logistics services for small-satellite operators.</t>
        </is>
      </c>
      <c r="W7" s="353" t="inlineStr">
        <is>
          <t>Qualifying A&amp;D control transaction, but not completed by 2026-08-02; move to the pending pipeline.</t>
        </is>
      </c>
      <c r="X7" s="353" t="inlineStr">
        <is>
          <t>Not independently verified</t>
        </is>
      </c>
      <c r="Y7" s="353" t="inlineStr">
        <is>
          <t>Verified announcement — completion pending</t>
        </is>
      </c>
      <c r="Z7" s="353" t="inlineStr">
        <is>
          <t>https://news.cision.com/eqt/r/eqt-to-acquire-exolaunch--a-germany-based-satellite-deployment-technology-and-launch-mission-managem%2Cc4365338</t>
        </is>
      </c>
      <c r="AA7" s="353" t="inlineStr">
        <is>
          <t>None used</t>
        </is>
      </c>
      <c r="AB7" s="353" t="inlineStr">
        <is>
          <t>Excluded from completed Europe population under the approved strict policy.</t>
        </is>
      </c>
    </row>
    <row r="8" ht="45" customHeight="1">
      <c r="A8" s="353" t="inlineStr">
        <is>
          <t>PEND-007</t>
        </is>
      </c>
      <c r="B8" s="353" t="inlineStr">
        <is>
          <t>Europe</t>
        </is>
      </c>
      <c r="C8" s="353" t="inlineStr">
        <is>
          <t>Hungary</t>
        </is>
      </c>
      <c r="D8" s="353" t="inlineStr">
        <is>
          <t>Colt CZ Hungary Zrt.</t>
        </is>
      </c>
      <c r="E8" s="353" t="inlineStr">
        <is>
          <t>N7 Defence Holding Zrt.</t>
        </is>
      </c>
      <c r="F8" s="353" t="inlineStr">
        <is>
          <t>Hungary</t>
        </is>
      </c>
      <c r="G8" s="353" t="inlineStr">
        <is>
          <t>Colt CZ Group SE</t>
        </is>
      </c>
      <c r="H8" s="403" t="n">
        <v>46203</v>
      </c>
      <c r="I8" s="403" t="inlineStr">
        <is>
          <t>Not completed by 2026-08-02</t>
        </is>
      </c>
      <c r="J8" s="404" t="n">
        <v>2026</v>
      </c>
      <c r="K8" s="353" t="inlineStr">
        <is>
          <t>M&amp;A</t>
        </is>
      </c>
      <c r="L8" s="353" t="inlineStr">
        <is>
          <t>Proposed acquisition of remaining JV stake</t>
        </is>
      </c>
      <c r="M8" s="353" t="inlineStr">
        <is>
          <t>51% proposed, taking existing 49% owner to 100%</t>
        </is>
      </c>
      <c r="N8" s="353" t="inlineStr">
        <is>
          <t>Announced / Pending</t>
        </is>
      </c>
      <c r="O8" s="407" t="inlineStr">
        <is>
          <t>Not disclosed</t>
        </is>
      </c>
      <c r="P8" s="359" t="inlineStr">
        <is>
          <t>Not disclosed</t>
        </is>
      </c>
      <c r="Q8" s="408" t="inlineStr">
        <is>
          <t>Not disclosed</t>
        </is>
      </c>
      <c r="R8" s="353" t="inlineStr">
        <is>
          <t>No transaction-specific consideration was verified from the cited primary source.</t>
        </is>
      </c>
      <c r="S8" s="353" t="inlineStr">
        <is>
          <t>Hardware</t>
        </is>
      </c>
      <c r="T8" s="353" t="inlineStr">
        <is>
          <t>Ammunition &amp; Weapons</t>
        </is>
      </c>
      <c r="U8" s="353" t="inlineStr">
        <is>
          <t>Core A&amp;D — pending only</t>
        </is>
      </c>
      <c r="V8" s="353" t="inlineStr">
        <is>
          <t>Firearms &amp; Ammunition. Hungarian firearms production company established as a Colt CZ and N7 joint venture.</t>
        </is>
      </c>
      <c r="W8" s="353" t="inlineStr">
        <is>
          <t>Qualifying A&amp;D control transaction, but not completed by 2026-08-02; move to the pending pipeline.</t>
        </is>
      </c>
      <c r="X8" s="353" t="inlineStr">
        <is>
          <t>Not independently verified</t>
        </is>
      </c>
      <c r="Y8" s="353" t="inlineStr">
        <is>
          <t>Verified announcement — completion pending</t>
        </is>
      </c>
      <c r="Z8" s="353" t="inlineStr">
        <is>
          <t>https://www.coltczgroup.com/en/media/press-releases/colt-cz-group-se-announces-the-sale-of-its-stake-in-subsidiary-colt-cz-hungary</t>
        </is>
      </c>
      <c r="AA8" s="353" t="inlineStr">
        <is>
          <t>None used</t>
        </is>
      </c>
      <c r="AB8" s="353" t="inlineStr">
        <is>
          <t>Excluded from completed Europe population under the approved strict policy.</t>
        </is>
      </c>
    </row>
    <row r="9" ht="45" customHeight="1">
      <c r="A9" s="353" t="inlineStr">
        <is>
          <t>PEND-008</t>
        </is>
      </c>
      <c r="B9" s="353" t="inlineStr">
        <is>
          <t>Europe</t>
        </is>
      </c>
      <c r="C9" s="353" t="inlineStr">
        <is>
          <t>Sweden</t>
        </is>
      </c>
      <c r="D9" s="353" t="inlineStr">
        <is>
          <t>PBH Teknik AB</t>
        </is>
      </c>
      <c r="E9" s="353" t="inlineStr">
        <is>
          <t>Mikroponent AB / Scandinavian Astor Group</t>
        </is>
      </c>
      <c r="F9" s="353" t="inlineStr">
        <is>
          <t>Sweden</t>
        </is>
      </c>
      <c r="G9" s="353" t="inlineStr">
        <is>
          <t>PBH Teknik shareholders</t>
        </is>
      </c>
      <c r="H9" s="403" t="n">
        <v>46205</v>
      </c>
      <c r="I9" s="403" t="inlineStr">
        <is>
          <t>Not completed by 2026-08-02</t>
        </is>
      </c>
      <c r="J9" s="404" t="n">
        <v>2026</v>
      </c>
      <c r="K9" s="353" t="inlineStr">
        <is>
          <t>M&amp;A</t>
        </is>
      </c>
      <c r="L9" s="353" t="inlineStr">
        <is>
          <t>Full acquisition</t>
        </is>
      </c>
      <c r="M9" s="353" t="inlineStr">
        <is>
          <t>100% proposed</t>
        </is>
      </c>
      <c r="N9" s="353" t="inlineStr">
        <is>
          <t>Announced / Pending</t>
        </is>
      </c>
      <c r="O9" s="407" t="n">
        <v>88.2</v>
      </c>
      <c r="P9" s="359" t="inlineStr">
        <is>
          <t>SEK</t>
        </is>
      </c>
      <c r="Q9" s="408" t="inlineStr">
        <is>
          <t>Not disclosed</t>
        </is>
      </c>
      <c r="R9" s="353" t="inlineStr">
        <is>
          <t>Announced purchase price; transaction pending</t>
        </is>
      </c>
      <c r="S9" s="353" t="inlineStr">
        <is>
          <t>Hardware</t>
        </is>
      </c>
      <c r="T9" s="353" t="inlineStr">
        <is>
          <t>Defence Services &amp; Engineering</t>
        </is>
      </c>
      <c r="U9" s="353" t="inlineStr">
        <is>
          <t>Core A&amp;D — pending only</t>
        </is>
      </c>
      <c r="V9" s="353" t="inlineStr">
        <is>
          <t>Defence Precision Manufacturing. CNC milling and high-precision manufacturing supplier with a defence-focused customer base.</t>
        </is>
      </c>
      <c r="W9" s="353" t="inlineStr">
        <is>
          <t>Qualifying A&amp;D control transaction, but not completed by 2026-08-02; move to the pending pipeline.</t>
        </is>
      </c>
      <c r="X9" s="353" t="inlineStr">
        <is>
          <t>Not independently verified</t>
        </is>
      </c>
      <c r="Y9" s="353" t="inlineStr">
        <is>
          <t>Verified announcement — completion pending</t>
        </is>
      </c>
      <c r="Z9" s="353" t="inlineStr">
        <is>
          <t>https://mfn.se/a/scandinavian-astor-group/astor-groups-subsidiary-mikroponent-is-strengthening-its-position-in-the-swedish-defence-industry-through-the-acquisition-of-pbh-teknik.iframe</t>
        </is>
      </c>
      <c r="AA9" s="353" t="inlineStr">
        <is>
          <t>None used</t>
        </is>
      </c>
      <c r="AB9" s="353" t="inlineStr">
        <is>
          <t>Excluded from completed Europe population under the approved strict policy.</t>
        </is>
      </c>
    </row>
    <row r="10" ht="45" customHeight="1">
      <c r="A10" s="353" t="inlineStr">
        <is>
          <t>PEND-009</t>
        </is>
      </c>
      <c r="B10" s="353" t="inlineStr">
        <is>
          <t>Europe</t>
        </is>
      </c>
      <c r="C10" s="353" t="inlineStr">
        <is>
          <t>United Kingdom</t>
        </is>
      </c>
      <c r="D10" s="353" t="inlineStr">
        <is>
          <t>David Brown Defence (DB Defence Holdco SARL)</t>
        </is>
      </c>
      <c r="E10" s="353" t="inlineStr">
        <is>
          <t>RENK GmbH / RENK Group AG</t>
        </is>
      </c>
      <c r="F10" s="353" t="inlineStr">
        <is>
          <t>Germany</t>
        </is>
      </c>
      <c r="G10" s="353" t="inlineStr">
        <is>
          <t>Stellex Capital Management</t>
        </is>
      </c>
      <c r="H10" s="403" t="n">
        <v>46206</v>
      </c>
      <c r="I10" s="403" t="inlineStr">
        <is>
          <t>Not completed by 2026-08-02</t>
        </is>
      </c>
      <c r="J10" s="404" t="n">
        <v>2026</v>
      </c>
      <c r="K10" s="353" t="inlineStr">
        <is>
          <t>M&amp;A</t>
        </is>
      </c>
      <c r="L10" s="353" t="inlineStr">
        <is>
          <t>Full Acquisition</t>
        </is>
      </c>
      <c r="M10" s="353" t="inlineStr">
        <is>
          <t>100% proposed</t>
        </is>
      </c>
      <c r="N10" s="353" t="inlineStr">
        <is>
          <t>Announced / Pending</t>
        </is>
      </c>
      <c r="O10" s="407" t="inlineStr">
        <is>
          <t>Not disclosed</t>
        </is>
      </c>
      <c r="P10" s="359" t="inlineStr">
        <is>
          <t>Not disclosed</t>
        </is>
      </c>
      <c r="Q10" s="408" t="inlineStr">
        <is>
          <t>Not disclosed</t>
        </is>
      </c>
      <c r="R10" s="353" t="inlineStr">
        <is>
          <t>No transaction-specific consideration was verified from the cited primary source.</t>
        </is>
      </c>
      <c r="S10" s="353" t="inlineStr">
        <is>
          <t>Hardware / Services</t>
        </is>
      </c>
      <c r="T10" s="353" t="inlineStr">
        <is>
          <t>Power, Propulsion &amp; Energy</t>
        </is>
      </c>
      <c r="U10" s="353" t="inlineStr">
        <is>
          <t>Core A&amp;D — pending only</t>
        </is>
      </c>
      <c r="V10" s="353" t="inlineStr">
        <is>
          <t>Naval &amp; Land Defense Propulsion. Designs and manufactures mission-critical high-precision gearboxes and power-transmission systems for naval and land-defense platforms.</t>
        </is>
      </c>
      <c r="W10" s="353" t="inlineStr">
        <is>
          <t>Qualifying A&amp;D control transaction, but not completed by 2026-08-02; move to the pending pipeline.</t>
        </is>
      </c>
      <c r="X10" s="353" t="inlineStr">
        <is>
          <t>Not independently verified</t>
        </is>
      </c>
      <c r="Y10" s="353" t="inlineStr">
        <is>
          <t>Verified announcement — completion pending</t>
        </is>
      </c>
      <c r="Z10" s="353" t="inlineStr">
        <is>
          <t>https://www.globenewswire.com/news-release/2026/07/03/3321658/0/en/renk-group-ag-renk-enters-into-binding-agreement-for-the-acquisition-of-david-brown-defence.html</t>
        </is>
      </c>
      <c r="AA10" s="353" t="inlineStr">
        <is>
          <t>None used</t>
        </is>
      </c>
      <c r="AB10" s="353" t="inlineStr">
        <is>
          <t>Excluded from completed Europe population under the approved strict policy.</t>
        </is>
      </c>
    </row>
    <row r="11" ht="45" customHeight="1">
      <c r="A11" s="353" t="inlineStr">
        <is>
          <t>PEND-010</t>
        </is>
      </c>
      <c r="B11" s="353" t="inlineStr">
        <is>
          <t>Europe</t>
        </is>
      </c>
      <c r="C11" s="353" t="inlineStr">
        <is>
          <t>France</t>
        </is>
      </c>
      <c r="D11" s="353" t="inlineStr">
        <is>
          <t>Exail Technologies</t>
        </is>
      </c>
      <c r="E11" s="353" t="inlineStr">
        <is>
          <t>Thales</t>
        </is>
      </c>
      <c r="F11" s="353" t="inlineStr">
        <is>
          <t>France</t>
        </is>
      </c>
      <c r="G11" s="353" t="inlineStr">
        <is>
          <t>Gorgé family and public shareholders</t>
        </is>
      </c>
      <c r="H11" s="403" t="n">
        <v>46209</v>
      </c>
      <c r="I11" s="403" t="inlineStr">
        <is>
          <t>Not completed by 2026-08-02</t>
        </is>
      </c>
      <c r="J11" s="404" t="n">
        <v>2026</v>
      </c>
      <c r="K11" s="353" t="inlineStr">
        <is>
          <t>M&amp;A</t>
        </is>
      </c>
      <c r="L11" s="353" t="inlineStr">
        <is>
          <t>Proposed controlling block plus mandatory tender offer</t>
        </is>
      </c>
      <c r="M11" s="353" t="inlineStr">
        <is>
          <t>35.51% controlling block proposed, followed by mandatory offer</t>
        </is>
      </c>
      <c r="N11" s="353" t="inlineStr">
        <is>
          <t>Announced / Pending</t>
        </is>
      </c>
      <c r="O11" s="407" t="n">
        <v>3900</v>
      </c>
      <c r="P11" s="359" t="inlineStr">
        <is>
          <t>EUR</t>
        </is>
      </c>
      <c r="Q11" s="408" t="inlineStr">
        <is>
          <t>Not disclosed</t>
        </is>
      </c>
      <c r="R11" s="353" t="inlineStr">
        <is>
          <t>Referenced enterprise value for 100%; transaction pending</t>
        </is>
      </c>
      <c r="S11" s="353" t="inlineStr">
        <is>
          <t>Hardware / Software</t>
        </is>
      </c>
      <c r="T11" s="353" t="inlineStr">
        <is>
          <t>Naval &amp; Underwater Systems</t>
        </is>
      </c>
      <c r="U11" s="353" t="inlineStr">
        <is>
          <t>Core A&amp;D — pending only</t>
        </is>
      </c>
      <c r="V11" s="353" t="inlineStr">
        <is>
          <t>Autonomous Systems / Navigation / Maritime Robotics. Develops autonomous maritime and land systems, inertial navigation, photonics, robotics and defense technologies.</t>
        </is>
      </c>
      <c r="W11" s="353" t="inlineStr">
        <is>
          <t>Qualifying A&amp;D control transaction, but not completed by 2026-08-02; move to the pending pipeline.</t>
        </is>
      </c>
      <c r="X11" s="353" t="inlineStr">
        <is>
          <t>Not independently verified</t>
        </is>
      </c>
      <c r="Y11" s="353" t="inlineStr">
        <is>
          <t>Verified announcement — completion pending</t>
        </is>
      </c>
      <c r="Z11" s="353" t="inlineStr">
        <is>
          <t>https://www.exail-technologies.com/thales-to-acquire-the-gorge-familys-stake-in-exail-with-a-view-to-launching-a-tender-offer-for-100-of-the-company/</t>
        </is>
      </c>
      <c r="AA11" s="353" t="inlineStr">
        <is>
          <t>None used</t>
        </is>
      </c>
      <c r="AB11" s="353" t="inlineStr">
        <is>
          <t>Excluded from completed Europe population under the approved strict policy.</t>
        </is>
      </c>
    </row>
    <row r="12" ht="45" customHeight="1">
      <c r="A12" s="353" t="inlineStr">
        <is>
          <t>PEND-011</t>
        </is>
      </c>
      <c r="B12" s="353" t="inlineStr">
        <is>
          <t>Europe</t>
        </is>
      </c>
      <c r="C12" s="353" t="inlineStr">
        <is>
          <t>United Kingdom</t>
        </is>
      </c>
      <c r="D12" s="353" t="inlineStr">
        <is>
          <t>Ultra Maritime Solutions</t>
        </is>
      </c>
      <c r="E12" s="353" t="inlineStr">
        <is>
          <t>Lockheed Martin</t>
        </is>
      </c>
      <c r="F12" s="353" t="inlineStr">
        <is>
          <t>United States</t>
        </is>
      </c>
      <c r="G12" s="353" t="inlineStr">
        <is>
          <t>Advent International / Cobham Ultra</t>
        </is>
      </c>
      <c r="H12" s="403" t="n">
        <v>46209</v>
      </c>
      <c r="I12" s="403" t="inlineStr">
        <is>
          <t>Not completed by 2026-08-02</t>
        </is>
      </c>
      <c r="J12" s="404" t="n">
        <v>2026</v>
      </c>
      <c r="K12" s="353" t="inlineStr">
        <is>
          <t>M&amp;A</t>
        </is>
      </c>
      <c r="L12" s="353" t="inlineStr">
        <is>
          <t>Corporate Divestiture / Full Acquisition</t>
        </is>
      </c>
      <c r="M12" s="353" t="inlineStr">
        <is>
          <t>100% proposed</t>
        </is>
      </c>
      <c r="N12" s="353" t="inlineStr">
        <is>
          <t>Announced / Pending</t>
        </is>
      </c>
      <c r="O12" s="407" t="n">
        <v>3450</v>
      </c>
      <c r="P12" s="359" t="inlineStr">
        <is>
          <t>USD</t>
        </is>
      </c>
      <c r="Q12" s="408" t="n">
        <v>3450</v>
      </c>
      <c r="R12" s="353" t="inlineStr">
        <is>
          <t>Announced purchase price; transaction pending</t>
        </is>
      </c>
      <c r="S12" s="353" t="inlineStr">
        <is>
          <t>Hardware / Software</t>
        </is>
      </c>
      <c r="T12" s="353" t="inlineStr">
        <is>
          <t>Naval &amp; Underwater Systems</t>
        </is>
      </c>
      <c r="U12" s="353" t="inlineStr">
        <is>
          <t>Core A&amp;D — pending only</t>
        </is>
      </c>
      <c r="V12" s="353" t="inlineStr">
        <is>
          <t>Sonar / Anti-Submarine Warfare / Naval C4ISR. Provides sonar, anti-submarine warfare, naval command-and-control, communications and maritime-defense systems.</t>
        </is>
      </c>
      <c r="W12" s="353" t="inlineStr">
        <is>
          <t>Qualifying A&amp;D control transaction, but not completed by 2026-08-02; move to the pending pipeline.</t>
        </is>
      </c>
      <c r="X12" s="353" t="inlineStr">
        <is>
          <t>Not independently verified</t>
        </is>
      </c>
      <c r="Y12" s="353" t="inlineStr">
        <is>
          <t>Verified announcement — completion pending</t>
        </is>
      </c>
      <c r="Z12" s="353" t="inlineStr">
        <is>
          <t>https://lockheedmartin.gcs-web.com/news-releases/news-release-details/lockheed-martin-acquire-ultra-maritime-solutions</t>
        </is>
      </c>
      <c r="AA12" s="353" t="inlineStr">
        <is>
          <t>None used</t>
        </is>
      </c>
      <c r="AB12" s="353" t="inlineStr">
        <is>
          <t>Excluded from completed Europe population under the approved strict policy.</t>
        </is>
      </c>
    </row>
    <row r="13" ht="45" customHeight="1">
      <c r="A13" s="353" t="inlineStr">
        <is>
          <t>PEND-012</t>
        </is>
      </c>
      <c r="B13" s="353" t="inlineStr">
        <is>
          <t>Europe</t>
        </is>
      </c>
      <c r="C13" s="353" t="inlineStr">
        <is>
          <t>Germany</t>
        </is>
      </c>
      <c r="D13" s="353" t="inlineStr">
        <is>
          <t>FFG Flensburger Fahrzeugbau Gesellschaft mbH</t>
        </is>
      </c>
      <c r="E13" s="353" t="inlineStr">
        <is>
          <t>DEUTZ AG</t>
        </is>
      </c>
      <c r="F13" s="353" t="inlineStr">
        <is>
          <t>Germany</t>
        </is>
      </c>
      <c r="G13" s="353" t="inlineStr">
        <is>
          <t>FFG family shareholders</t>
        </is>
      </c>
      <c r="H13" s="403" t="n">
        <v>46212</v>
      </c>
      <c r="I13" s="403" t="inlineStr">
        <is>
          <t>Not completed by 2026-08-02</t>
        </is>
      </c>
      <c r="J13" s="404" t="n">
        <v>2026</v>
      </c>
      <c r="K13" s="353" t="inlineStr">
        <is>
          <t>M&amp;A</t>
        </is>
      </c>
      <c r="L13" s="353" t="inlineStr">
        <is>
          <t>Full Acquisition</t>
        </is>
      </c>
      <c r="M13" s="353" t="inlineStr">
        <is>
          <t>100% proposed</t>
        </is>
      </c>
      <c r="N13" s="353" t="inlineStr">
        <is>
          <t>Announced / Pending</t>
        </is>
      </c>
      <c r="O13" s="407" t="n">
        <v>1600</v>
      </c>
      <c r="P13" s="359" t="inlineStr">
        <is>
          <t>EUR</t>
        </is>
      </c>
      <c r="Q13" s="408" t="inlineStr">
        <is>
          <t>Not disclosed</t>
        </is>
      </c>
      <c r="R13" s="353" t="inlineStr">
        <is>
          <t>Announced purchase price; transaction pending</t>
        </is>
      </c>
      <c r="S13" s="353" t="inlineStr">
        <is>
          <t>Hardware / Services</t>
        </is>
      </c>
      <c r="T13" s="353" t="inlineStr">
        <is>
          <t>Land Systems &amp; Military Vehicles</t>
        </is>
      </c>
      <c r="U13" s="353" t="inlineStr">
        <is>
          <t>Core A&amp;D — pending only</t>
        </is>
      </c>
      <c r="V13" s="353" t="inlineStr">
        <is>
          <t>Land Systems / Military Vehicles. Develops, manufactures, modernizes, maintains and repairs protected wheeled and tracked military vehicles and related systems.</t>
        </is>
      </c>
      <c r="W13" s="353" t="inlineStr">
        <is>
          <t>Qualifying A&amp;D control transaction, but not completed by 2026-08-02; move to the pending pipeline.</t>
        </is>
      </c>
      <c r="X13" s="353" t="inlineStr">
        <is>
          <t>Not independently verified</t>
        </is>
      </c>
      <c r="Y13" s="353" t="inlineStr">
        <is>
          <t>Verified announcement — completion pending</t>
        </is>
      </c>
      <c r="Z13" s="353" t="inlineStr">
        <is>
          <t>https://www.deutz.com/en/news/press-releases/news-detail/deutz-accelerates-transformation-with-billion-euro-transaction-in-the-defense-sector/</t>
        </is>
      </c>
      <c r="AA13" s="353" t="inlineStr">
        <is>
          <t>None used</t>
        </is>
      </c>
      <c r="AB13" s="353" t="inlineStr">
        <is>
          <t>Excluded from completed Europe population under the approved strict policy.</t>
        </is>
      </c>
    </row>
    <row r="14" ht="45" customHeight="1">
      <c r="A14" s="353" t="inlineStr">
        <is>
          <t>PEND-013</t>
        </is>
      </c>
      <c r="B14" s="353" t="inlineStr">
        <is>
          <t>Europe</t>
        </is>
      </c>
      <c r="C14" s="353" t="inlineStr">
        <is>
          <t>United Kingdom</t>
        </is>
      </c>
      <c r="D14" s="353" t="inlineStr">
        <is>
          <t>Gooch &amp; Housego plc (AIM: GHH)</t>
        </is>
      </c>
      <c r="E14" s="353" t="inlineStr">
        <is>
          <t>Greenlight Bidco Limited (Arlington Capital Partners VII)</t>
        </is>
      </c>
      <c r="F14" s="353" t="inlineStr">
        <is>
          <t>United States</t>
        </is>
      </c>
      <c r="G14" s="353" t="inlineStr">
        <is>
          <t>Gooch &amp; Housego plc shareholders</t>
        </is>
      </c>
      <c r="H14" s="403" t="n">
        <v>46219</v>
      </c>
      <c r="I14" s="403" t="inlineStr">
        <is>
          <t>Not completed by 2026-08-02</t>
        </is>
      </c>
      <c r="J14" s="404" t="n">
        <v>2026</v>
      </c>
      <c r="K14" s="353" t="inlineStr">
        <is>
          <t>M&amp;A</t>
        </is>
      </c>
      <c r="L14" s="353" t="inlineStr">
        <is>
          <t>Public-to-Private / Full Acquisition</t>
        </is>
      </c>
      <c r="M14" s="353" t="inlineStr">
        <is>
          <t>100% proposed</t>
        </is>
      </c>
      <c r="N14" s="353" t="inlineStr">
        <is>
          <t>Announced / Pending</t>
        </is>
      </c>
      <c r="O14" s="407" t="n">
        <v>345.6</v>
      </c>
      <c r="P14" s="359" t="inlineStr">
        <is>
          <t>GBP</t>
        </is>
      </c>
      <c r="Q14" s="408" t="inlineStr">
        <is>
          <t>Not disclosed</t>
        </is>
      </c>
      <c r="R14" s="353" t="inlineStr">
        <is>
          <t>Fully diluted equity value; enterprise value GBP 400.5m</t>
        </is>
      </c>
      <c r="S14" s="353" t="inlineStr">
        <is>
          <t>Hardware</t>
        </is>
      </c>
      <c r="T14" s="353" t="inlineStr">
        <is>
          <t>Defence Electronics &amp; Sensors</t>
        </is>
      </c>
      <c r="U14" s="353" t="inlineStr">
        <is>
          <t>Core A&amp;D — pending only</t>
        </is>
      </c>
      <c r="V14" s="353" t="inlineStr">
        <is>
          <t>A&amp;D was Gooch &amp; Housego's largest reported market immediately before the offer: H1 FY2026 A&amp;D revenue was GBP 35.6m, or 43.5% of Group revenue, versus GBP 30.3m Industrial and GBP 16.0m Life Sciences. A&amp;D is therefore primary rather than incidental, although not an absolute majority.</t>
        </is>
      </c>
      <c r="W14" s="353" t="inlineStr">
        <is>
          <t>Retain only in the pending pipeline: the proposed 100% acquisition was announced but not completed by 2026-08-02; latest pre-offer reporting establishes A&amp;D as the largest current market.</t>
        </is>
      </c>
      <c r="X14" s="353" t="inlineStr">
        <is>
          <t>Not independently verified</t>
        </is>
      </c>
      <c r="Y14" s="353" t="inlineStr">
        <is>
          <t>Verified announcement — completion pending</t>
        </is>
      </c>
      <c r="Z14" s="353" t="inlineStr">
        <is>
          <t>https://www.investegate.co.uk/announcement/rns/gooch-housego--ghh/recommended-cash-acquisition-of-gooch-housego/9671293</t>
        </is>
      </c>
      <c r="AA14" s="353" t="inlineStr">
        <is>
          <t>https://gandh.com/dl/16fa804fc2ab82bcc358428a2a9e382ad9cbf493.pdf</t>
        </is>
      </c>
      <c r="AB14" s="353" t="inlineStr">
        <is>
          <t>Excluded from completed Europe population under the approved strict policy.</t>
        </is>
      </c>
    </row>
    <row r="15" ht="45" customHeight="1">
      <c r="A15" s="353" t="inlineStr">
        <is>
          <t>PEND-014</t>
        </is>
      </c>
      <c r="B15" s="353" t="inlineStr">
        <is>
          <t>Europe</t>
        </is>
      </c>
      <c r="C15" s="353" t="inlineStr">
        <is>
          <t>Italy</t>
        </is>
      </c>
      <c r="D15" s="353" t="inlineStr">
        <is>
          <t>General Defence S.r.l.</t>
        </is>
      </c>
      <c r="E15" s="353" t="inlineStr">
        <is>
          <t>UMBRAGROUP S.p.A.</t>
        </is>
      </c>
      <c r="F15" s="353" t="inlineStr">
        <is>
          <t>Italy</t>
        </is>
      </c>
      <c r="G15" s="353" t="inlineStr">
        <is>
          <t>General Defence shareholders</t>
        </is>
      </c>
      <c r="H15" s="403" t="n">
        <v>46226</v>
      </c>
      <c r="I15" s="403" t="inlineStr">
        <is>
          <t>Not completed by 2026-08-02</t>
        </is>
      </c>
      <c r="J15" s="404" t="n">
        <v>2026</v>
      </c>
      <c r="K15" s="353" t="inlineStr">
        <is>
          <t>M&amp;A</t>
        </is>
      </c>
      <c r="L15" s="353" t="inlineStr">
        <is>
          <t>Majority acquisition</t>
        </is>
      </c>
      <c r="M15" s="353" t="inlineStr">
        <is>
          <t>Majority stake proposed; percentage not disclosed</t>
        </is>
      </c>
      <c r="N15" s="353" t="inlineStr">
        <is>
          <t>Announced / Pending</t>
        </is>
      </c>
      <c r="O15" s="407" t="inlineStr">
        <is>
          <t>Not disclosed</t>
        </is>
      </c>
      <c r="P15" s="359" t="inlineStr">
        <is>
          <t>Not disclosed</t>
        </is>
      </c>
      <c r="Q15" s="408" t="inlineStr">
        <is>
          <t>Not disclosed</t>
        </is>
      </c>
      <c r="R15" s="353" t="inlineStr">
        <is>
          <t>No transaction-specific consideration was verified from the cited primary source.</t>
        </is>
      </c>
      <c r="S15" s="353" t="inlineStr">
        <is>
          <t>Hardware / Software</t>
        </is>
      </c>
      <c r="T15" s="353" t="inlineStr">
        <is>
          <t>UAVs &amp; Autonomous Systems</t>
        </is>
      </c>
      <c r="U15" s="353" t="inlineStr">
        <is>
          <t>Core A&amp;D — pending only</t>
        </is>
      </c>
      <c r="V15" s="353" t="inlineStr">
        <is>
          <t>UAVs, C2 &amp; Mission Systems. Developer of unmanned aircraft, command-and-control, mission and datalink systems.</t>
        </is>
      </c>
      <c r="W15" s="353" t="inlineStr">
        <is>
          <t>Qualifying A&amp;D control transaction, but not completed by 2026-08-02; move to the pending pipeline.</t>
        </is>
      </c>
      <c r="X15" s="353" t="inlineStr">
        <is>
          <t>Not independently verified</t>
        </is>
      </c>
      <c r="Y15" s="353" t="inlineStr">
        <is>
          <t>Verified announcement — completion pending</t>
        </is>
      </c>
      <c r="Z15" s="353" t="inlineStr">
        <is>
          <t>https://mediahub.umbragroup.com/en/press-release/umbragroup-acquires-control-of-general-defence</t>
        </is>
      </c>
      <c r="AA15" s="353" t="inlineStr">
        <is>
          <t>None used</t>
        </is>
      </c>
      <c r="AB15" s="353" t="inlineStr">
        <is>
          <t>Excluded from completed Europe population under the approved strict policy.</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62"/>
  <sheetViews>
    <sheetView showGridLines="0" workbookViewId="0">
      <selection activeCell="A1" sqref="A1"/>
    </sheetView>
  </sheetViews>
  <sheetFormatPr baseColWidth="8" defaultRowHeight="15"/>
  <cols>
    <col width="14" customWidth="1" min="1" max="1"/>
    <col width="14" customWidth="1" min="2" max="2"/>
    <col width="28" customWidth="1" min="3" max="3"/>
    <col width="14" customWidth="1" min="4" max="4"/>
    <col width="28" customWidth="1" min="5" max="5"/>
    <col width="14" customWidth="1" min="6" max="6"/>
    <col width="14" customWidth="1" min="7" max="7"/>
    <col width="60" customWidth="1" min="8" max="8"/>
    <col width="54" customWidth="1" min="9" max="9"/>
    <col width="24" customWidth="1" min="10" max="10"/>
    <col width="48" customWidth="1" min="11" max="11"/>
  </cols>
  <sheetData>
    <row r="1" ht="42" customHeight="1">
      <c r="A1" s="349" t="inlineStr">
        <is>
          <t>Original Excel Row</t>
        </is>
      </c>
      <c r="B1" s="349" t="inlineStr">
        <is>
          <t>Original Deal ID</t>
        </is>
      </c>
      <c r="C1" s="349" t="inlineStr">
        <is>
          <t>Original Target</t>
        </is>
      </c>
      <c r="D1" s="349" t="inlineStr">
        <is>
          <t>Final Deal ID</t>
        </is>
      </c>
      <c r="E1" s="349" t="inlineStr">
        <is>
          <t>Final / Reviewed Target</t>
        </is>
      </c>
      <c r="F1" s="349" t="inlineStr">
        <is>
          <t>Decision</t>
        </is>
      </c>
      <c r="G1" s="349" t="inlineStr">
        <is>
          <t>Confidence</t>
        </is>
      </c>
      <c r="H1" s="349" t="inlineStr">
        <is>
          <t>Correction / Exclusion Note</t>
        </is>
      </c>
      <c r="I1" s="349" t="inlineStr">
        <is>
          <t>Scope Evidence</t>
        </is>
      </c>
      <c r="J1" s="349" t="inlineStr">
        <is>
          <t>Primary Source</t>
        </is>
      </c>
      <c r="K1" s="349" t="inlineStr">
        <is>
          <t>Primary Source URL</t>
        </is>
      </c>
    </row>
    <row r="2" ht="45" customHeight="1">
      <c r="A2" s="353" t="n">
        <v>2</v>
      </c>
      <c r="B2" s="353" t="inlineStr">
        <is>
          <t>EUR-189</t>
        </is>
      </c>
      <c r="C2" s="353" t="inlineStr">
        <is>
          <t>Westek Technology</t>
        </is>
      </c>
      <c r="D2" s="353" t="inlineStr">
        <is>
          <t>EUR-003</t>
        </is>
      </c>
      <c r="E2" s="353" t="inlineStr">
        <is>
          <t>Westek Technology Ltd</t>
        </is>
      </c>
      <c r="F2" s="353" t="inlineStr">
        <is>
          <t>retain</t>
        </is>
      </c>
      <c r="G2" s="353" t="inlineStr">
        <is>
          <t>verified</t>
        </is>
      </c>
      <c r="H2" s="353" t="inlineStr">
        <is>
          <t>Correct completion date is 29 January 2023, not 1 January 2023.</t>
        </is>
      </c>
      <c r="I2" s="353" t="inlineStr">
        <is>
          <t>Westek manufactures rugged computers and related systems for military and other harsh-environment applications; the buyer describes it as serving defence-sector customers.</t>
        </is>
      </c>
      <c r="J2" s="353" t="inlineStr">
        <is>
          <t>roda computer; Science Group 2023 Annual Report</t>
        </is>
      </c>
      <c r="K2" s="353" t="inlineStr">
        <is>
          <t>https://www.roda-computer.com/news/current-news/roda-acquires-the-shares-of-westek/</t>
        </is>
      </c>
    </row>
    <row r="3" ht="45" customHeight="1">
      <c r="A3" s="353" t="n">
        <v>3</v>
      </c>
      <c r="B3" s="353" t="inlineStr">
        <is>
          <t>EUR-027</t>
        </is>
      </c>
      <c r="C3" s="353" t="inlineStr">
        <is>
          <t>Exxelia</t>
        </is>
      </c>
      <c r="D3" s="353" t="inlineStr">
        <is>
          <t>EUR-001</t>
        </is>
      </c>
      <c r="E3" s="353" t="inlineStr">
        <is>
          <t>Exxelia</t>
        </is>
      </c>
      <c r="F3" s="353" t="inlineStr">
        <is>
          <t>retain</t>
        </is>
      </c>
      <c r="G3" s="353" t="inlineStr">
        <is>
          <t>verified</t>
        </is>
      </c>
      <c r="H3" s="353" t="inlineStr">
        <is>
          <t>Control acquisition, not 100%; replace the dataset's $501.55m with audited net consideration of $503.996m.</t>
        </is>
      </c>
      <c r="I3" s="353" t="inlineStr">
        <is>
          <t>HEICO describes Exxelia as a manufacturer of high-reliability electronic components used predominantly in aerospace and defence applications.</t>
        </is>
      </c>
      <c r="J3" s="353" t="inlineStr">
        <is>
          <t>HEICO 2023 Annual Report</t>
        </is>
      </c>
      <c r="K3" s="353" t="inlineStr">
        <is>
          <t>https://heico.com/wp-content/uploads/2024/04/AnnualReport_2023.pdf</t>
        </is>
      </c>
    </row>
    <row r="4" ht="45" customHeight="1">
      <c r="A4" s="353" t="n">
        <v>4</v>
      </c>
      <c r="B4" s="353" t="inlineStr">
        <is>
          <t>EUR-097</t>
        </is>
      </c>
      <c r="C4" s="353" t="inlineStr">
        <is>
          <t>TP Group</t>
        </is>
      </c>
      <c r="D4" s="353" t="inlineStr">
        <is>
          <t>EUR-002</t>
        </is>
      </c>
      <c r="E4" s="353" t="inlineStr">
        <is>
          <t>TP Group plc</t>
        </is>
      </c>
      <c r="F4" s="353" t="inlineStr">
        <is>
          <t>retain</t>
        </is>
      </c>
      <c r="G4" s="353" t="inlineStr">
        <is>
          <t>verified</t>
        </is>
      </c>
      <c r="H4" s="353" t="inlineStr">
        <is>
          <t>Retain as a completed 100% control acquisition; value left null because cash outflow is not necessarily equivalent to enterprise value.</t>
        </is>
      </c>
      <c r="I4" s="353" t="inlineStr">
        <is>
          <t>Science Group identifies the acquired operations as Defence and Aerospace-focused consulting plus submarine atmosphere-management systems dependent on the UK defence market.</t>
        </is>
      </c>
      <c r="J4" s="353" t="inlineStr">
        <is>
          <t>Science Group audited 2023 results</t>
        </is>
      </c>
      <c r="K4" s="353" t="inlineStr">
        <is>
          <t>https://www.sciencegroup.com/news-detail/audited-results-for-the-year-ended-31-december-2023/</t>
        </is>
      </c>
    </row>
    <row r="5" ht="45" customHeight="1">
      <c r="A5" s="353" t="n">
        <v>5</v>
      </c>
      <c r="B5" s="353" t="inlineStr">
        <is>
          <t>EUR-024</t>
        </is>
      </c>
      <c r="C5" s="353" t="inlineStr">
        <is>
          <t>Nikon SLM Solutions</t>
        </is>
      </c>
      <c r="D5" s="353" t="inlineStr">
        <is>
          <t>N/A</t>
        </is>
      </c>
      <c r="E5" s="353" t="inlineStr">
        <is>
          <t>Nikon SLM Solutions</t>
        </is>
      </c>
      <c r="F5" s="353" t="inlineStr">
        <is>
          <t>exclude</t>
        </is>
      </c>
      <c r="G5" s="353" t="inlineStr">
        <is>
          <t>verified</t>
        </is>
      </c>
      <c r="H5" s="353" t="inlineStr">
        <is>
          <t>Exclude on strict sector scope; January was not a 100% acquisition. Full ownership followed the September squeeze-out.</t>
        </is>
      </c>
      <c r="I5" s="353" t="inlineStr">
        <is>
          <t>Nikon SLM is a broad industrial metal-additive-manufacturing equipment company serving multiple sectors rather than an A&amp;D-primary business.</t>
        </is>
      </c>
      <c r="J5" s="353" t="inlineStr">
        <is>
          <t>Nikon official tender and squeeze-out releases</t>
        </is>
      </c>
      <c r="K5" s="353" t="inlineStr">
        <is>
          <t>https://www.nikon.com/company/news/2022/slm/pdf/20230120_e01.pdf</t>
        </is>
      </c>
    </row>
    <row r="6" ht="45" customHeight="1">
      <c r="A6" s="353" t="n">
        <v>6</v>
      </c>
      <c r="B6" s="353" t="inlineStr">
        <is>
          <t>EUR-149</t>
        </is>
      </c>
      <c r="C6" s="353" t="inlineStr">
        <is>
          <t>Diateam</t>
        </is>
      </c>
      <c r="D6" s="353" t="inlineStr">
        <is>
          <t>EUR-004</t>
        </is>
      </c>
      <c r="E6" s="353" t="inlineStr">
        <is>
          <t>Diateam</t>
        </is>
      </c>
      <c r="F6" s="353" t="inlineStr">
        <is>
          <t>retain</t>
        </is>
      </c>
      <c r="G6" s="353" t="inlineStr">
        <is>
          <t>verified</t>
        </is>
      </c>
      <c r="H6" s="353" t="inlineStr">
        <is>
          <t>Correct structure from full acquisition to acquisition of a 55.33% controlling stake.</t>
        </is>
      </c>
      <c r="I6" s="353" t="inlineStr">
        <is>
          <t>Diateam develops cyber-range, digital-twin and cyber-warfare capabilities for government and defence customers.</t>
        </is>
      </c>
      <c r="J6" s="353" t="inlineStr">
        <is>
          <t>CY4Gate closing announcement</t>
        </is>
      </c>
      <c r="K6" s="353" t="inlineStr">
        <is>
          <t>https://www.cy4gate.com/assets/Uploads/ENG-CS-CY4gate-closing-Operazione-Diateam-def.pdf</t>
        </is>
      </c>
    </row>
    <row r="7" ht="45" customHeight="1">
      <c r="A7" s="353" t="n">
        <v>7</v>
      </c>
      <c r="B7" s="353" t="inlineStr">
        <is>
          <t>EUR-125</t>
        </is>
      </c>
      <c r="C7" s="353" t="inlineStr">
        <is>
          <t>Arcqor</t>
        </is>
      </c>
      <c r="D7" s="353" t="inlineStr">
        <is>
          <t>EUR-005</t>
        </is>
      </c>
      <c r="E7" s="353" t="inlineStr">
        <is>
          <t>ArcQor AB</t>
        </is>
      </c>
      <c r="F7" s="353" t="inlineStr">
        <is>
          <t>retain</t>
        </is>
      </c>
      <c r="G7" s="353" t="inlineStr">
        <is>
          <t>verified</t>
        </is>
      </c>
      <c r="H7" s="353" t="inlineStr">
        <is>
          <t>Retain; transaction and control status are source-verified. No single normalized transaction value is carried into the verified dataset.</t>
        </is>
      </c>
      <c r="I7" s="353" t="inlineStr">
        <is>
          <t>ArcQor develops rugged power systems and battery chargers for defence applications and was acquired into W5's defence-technology group.</t>
        </is>
      </c>
      <c r="J7" s="353" t="inlineStr">
        <is>
          <t>W5 Solutions closing announcement</t>
        </is>
      </c>
      <c r="K7" s="353" t="inlineStr">
        <is>
          <t>https://w5solutions.com/mfn_news/w5-solutions-acquires-arcqor-ab-and-issues-626-342-new-shares/</t>
        </is>
      </c>
    </row>
    <row r="8" ht="45" customHeight="1">
      <c r="A8" s="353" t="n">
        <v>8</v>
      </c>
      <c r="B8" s="353" t="inlineStr">
        <is>
          <t>EUR-055</t>
        </is>
      </c>
      <c r="C8" s="353" t="inlineStr">
        <is>
          <t>Pama</t>
        </is>
      </c>
      <c r="D8" s="353" t="inlineStr">
        <is>
          <t>N/A</t>
        </is>
      </c>
      <c r="E8" s="353" t="inlineStr">
        <is>
          <t>Pama</t>
        </is>
      </c>
      <c r="F8" s="353" t="inlineStr">
        <is>
          <t>exclude</t>
        </is>
      </c>
      <c r="G8" s="353" t="inlineStr">
        <is>
          <t>verified</t>
        </is>
      </c>
      <c r="H8" s="353" t="inlineStr">
        <is>
          <t>Exclude as a diversified industrial machine-tool supplier.</t>
        </is>
      </c>
      <c r="I8" s="353" t="inlineStr">
        <is>
          <t>PAMA is a machine-tool manufacturer serving heavy machinery, energy, shipbuilding and aerospace; A&amp;D is not its primary business.</t>
        </is>
      </c>
      <c r="J8" s="353" t="inlineStr">
        <is>
          <t>Nidec acquisition release</t>
        </is>
      </c>
      <c r="K8" s="353" t="inlineStr">
        <is>
          <t>https://www.nidec.com/en/corporate/news/2023/news0202-01/?prnt=1</t>
        </is>
      </c>
    </row>
    <row r="9" ht="45" customHeight="1">
      <c r="A9" s="353" t="n">
        <v>9</v>
      </c>
      <c r="B9" s="353" t="inlineStr">
        <is>
          <t>EUR-083</t>
        </is>
      </c>
      <c r="C9" s="353" t="inlineStr">
        <is>
          <t>A.T.E. Solutions.</t>
        </is>
      </c>
      <c r="D9" s="353" t="inlineStr">
        <is>
          <t>N/A</t>
        </is>
      </c>
      <c r="E9" s="353" t="inlineStr">
        <is>
          <t>A.T.E. Solutions.</t>
        </is>
      </c>
      <c r="F9" s="353" t="inlineStr">
        <is>
          <t>exclude</t>
        </is>
      </c>
      <c r="G9" s="353" t="inlineStr">
        <is>
          <t>verified</t>
        </is>
      </c>
      <c r="H9" s="353" t="inlineStr">
        <is>
          <t>Exclude as a diversified test-equipment supplier.</t>
        </is>
      </c>
      <c r="I9" s="353" t="inlineStr">
        <is>
          <t>A.T.E. supplies automated testing to defence, aviation, power and other industries; it is not verified as A&amp;D-primary.</t>
        </is>
      </c>
      <c r="J9" s="353" t="inlineStr">
        <is>
          <t>Bergman &amp; Beving acquisition release</t>
        </is>
      </c>
      <c r="K9" s="353" t="inlineStr">
        <is>
          <t>https://www.bergmanbeving.com/sv/media-press/pressmeddelanden/bergman-beving-forvarvar-a.t.e.-solutions.html</t>
        </is>
      </c>
    </row>
    <row r="10" ht="45" customHeight="1">
      <c r="A10" s="353" t="n">
        <v>10</v>
      </c>
      <c r="B10" s="353" t="inlineStr">
        <is>
          <t>EUR-175</t>
        </is>
      </c>
      <c r="C10" s="353" t="inlineStr">
        <is>
          <t>ForensIQ One</t>
        </is>
      </c>
      <c r="D10" s="353" t="inlineStr">
        <is>
          <t>N/A</t>
        </is>
      </c>
      <c r="E10" s="353" t="inlineStr">
        <is>
          <t>ForensIQ One</t>
        </is>
      </c>
      <c r="F10" s="353" t="inlineStr">
        <is>
          <t>exclude</t>
        </is>
      </c>
      <c r="G10" s="353" t="inlineStr">
        <is>
          <t>unresolved</t>
        </is>
      </c>
      <c r="H10" s="353" t="inlineStr">
        <is>
          <t>Correct completion date is 1 June 2023, not 15 February; exclude under strict primacy rule.</t>
        </is>
      </c>
      <c r="I10" s="353" t="inlineStr">
        <is>
          <t>ForensIQ One is digital-forensics/security technology for police, intelligence and defence, but available evidence does not establish A&amp;D as the primary market.</t>
        </is>
      </c>
      <c r="J10" s="353" t="inlineStr">
        <is>
          <t>Imsys completion announcement</t>
        </is>
      </c>
      <c r="K10" s="353" t="inlineStr">
        <is>
          <t>https://www.inderes.fi/releases/imsys-slutfor-forvarvet-av-forensiq-one</t>
        </is>
      </c>
    </row>
    <row r="11" ht="45" customHeight="1">
      <c r="A11" s="353" t="n">
        <v>11</v>
      </c>
      <c r="B11" s="353" t="inlineStr">
        <is>
          <t>EUR-039</t>
        </is>
      </c>
      <c r="C11" s="353" t="inlineStr">
        <is>
          <t>NKT Photonics</t>
        </is>
      </c>
      <c r="D11" s="353" t="inlineStr">
        <is>
          <t>N/A</t>
        </is>
      </c>
      <c r="E11" s="353" t="inlineStr">
        <is>
          <t>NKT Photonics</t>
        </is>
      </c>
      <c r="F11" s="353" t="inlineStr">
        <is>
          <t>exclude</t>
        </is>
      </c>
      <c r="G11" s="353" t="inlineStr">
        <is>
          <t>verified</t>
        </is>
      </c>
      <c r="H11" s="353" t="inlineStr">
        <is>
          <t>The 2023 transaction was blocked and did not complete. Hamamatsu completed a later transaction on 31 May 2024; exclude on strict sector scope.</t>
        </is>
      </c>
      <c r="I11" s="353" t="inlineStr">
        <is>
          <t>NKT Photonics is a broad photonics and laser-technology supplier across scientific, industrial and medical markets; A&amp;D primacy is not established.</t>
        </is>
      </c>
      <c r="J11" s="353" t="inlineStr">
        <is>
          <t>Hamamatsu completion; NKT blocked-sale update</t>
        </is>
      </c>
      <c r="K11" s="353" t="inlineStr">
        <is>
          <t>https://www.hamamatsu.com/us/en/news/investor-relations/2024/20240531000000.html</t>
        </is>
      </c>
    </row>
    <row r="12" ht="45" customHeight="1">
      <c r="A12" s="353" t="n">
        <v>12</v>
      </c>
      <c r="B12" s="353" t="inlineStr">
        <is>
          <t>EUR-036</t>
        </is>
      </c>
      <c r="C12" s="353" t="inlineStr">
        <is>
          <t>Pirtek</t>
        </is>
      </c>
      <c r="D12" s="353" t="inlineStr">
        <is>
          <t>N/A</t>
        </is>
      </c>
      <c r="E12" s="353" t="inlineStr">
        <is>
          <t>Pirtek</t>
        </is>
      </c>
      <c r="F12" s="353" t="inlineStr">
        <is>
          <t>exclude</t>
        </is>
      </c>
      <c r="G12" s="353" t="inlineStr">
        <is>
          <t>verified</t>
        </is>
      </c>
      <c r="H12" s="353" t="inlineStr">
        <is>
          <t>Exclude; 3 April was announcement, not completion. Regulated filing confirms completion later in April.</t>
        </is>
      </c>
      <c r="I12" s="353" t="inlineStr">
        <is>
          <t>Pirtek is a multi-industry hydraulic-hose service franchise, not an aerospace or defence technology company.</t>
        </is>
      </c>
      <c r="J12" s="353" t="inlineStr">
        <is>
          <t>Franchise Brands RNS</t>
        </is>
      </c>
      <c r="K12" s="353" t="inlineStr">
        <is>
          <t>https://www.investegate.co.uk/announcement/rns/franchise-brands--fran/result-of-gm-completion-of-acquisition-and-tvr/7468251</t>
        </is>
      </c>
    </row>
    <row r="13" ht="45" customHeight="1">
      <c r="A13" s="353" t="n">
        <v>13</v>
      </c>
      <c r="B13" s="353" t="inlineStr">
        <is>
          <t>EUR-118</t>
        </is>
      </c>
      <c r="C13" s="353" t="inlineStr">
        <is>
          <t>Connectiv-It</t>
        </is>
      </c>
      <c r="D13" s="353" t="inlineStr">
        <is>
          <t>EUR-008</t>
        </is>
      </c>
      <c r="E13" s="353" t="inlineStr">
        <is>
          <t>Connectiv-IT SAS</t>
        </is>
      </c>
      <c r="F13" s="353" t="inlineStr">
        <is>
          <t>retain</t>
        </is>
      </c>
      <c r="G13" s="353" t="inlineStr">
        <is>
          <t>verified</t>
        </is>
      </c>
      <c r="H13" s="353" t="inlineStr">
        <is>
          <t>Retain; completion and 100% ownership are supported by Sopra Steria reporting.</t>
        </is>
      </c>
      <c r="I13" s="353" t="inlineStr">
        <is>
          <t>Connectiv-IT provides software and digital services for aeronautics and defence supply-chain and operational-readiness processes.</t>
        </is>
      </c>
      <c r="J13" s="353" t="inlineStr">
        <is>
          <t>Sopra Steria 2023 Universal Registration Document</t>
        </is>
      </c>
      <c r="K13" s="353" t="inlineStr">
        <is>
          <t>https://www.soprasteria.com/Content/SopraSteria/soprasteria-2023-12-31-fr-viewer.html</t>
        </is>
      </c>
    </row>
    <row r="14" ht="45" customHeight="1">
      <c r="A14" s="353" t="n">
        <v>14</v>
      </c>
      <c r="B14" s="353" t="inlineStr">
        <is>
          <t>EUR-154</t>
        </is>
      </c>
      <c r="C14" s="353" t="inlineStr">
        <is>
          <t>Tonner Drones (Acquired / Merged)</t>
        </is>
      </c>
      <c r="D14" s="353" t="inlineStr">
        <is>
          <t>EUR-011</t>
        </is>
      </c>
      <c r="E14" s="353" t="inlineStr">
        <is>
          <t>Tonner Drones SAS</t>
        </is>
      </c>
      <c r="F14" s="353" t="inlineStr">
        <is>
          <t>retain</t>
        </is>
      </c>
      <c r="G14" s="353" t="inlineStr">
        <is>
          <t>verified</t>
        </is>
      </c>
      <c r="H14" s="353" t="inlineStr">
        <is>
          <t>Correct acquirer is Delta Drone, later renamed Tonner Drones; correct completion date is 5 June 2023.</t>
        </is>
      </c>
      <c r="I14" s="353" t="inlineStr">
        <is>
          <t>Tonner Drones develops military and dual-use drone technologies; the transaction transferred the operating company into Delta Drone.</t>
        </is>
      </c>
      <c r="J14" s="353" t="inlineStr">
        <is>
          <t>Delta Drone/Tonner Drones closing release</t>
        </is>
      </c>
      <c r="K14" s="353" t="inlineStr">
        <is>
          <t>https://tonnerdrones.com/wp-content/uploads/2023/06/DeltaDrone_CP_closing_07.06.2023_VD.pdf</t>
        </is>
      </c>
    </row>
    <row r="15" ht="45" customHeight="1">
      <c r="A15" s="353" t="n">
        <v>15</v>
      </c>
      <c r="B15" s="353" t="inlineStr">
        <is>
          <t>EUR-191</t>
        </is>
      </c>
      <c r="C15" s="353" t="inlineStr">
        <is>
          <t>Innovation Design</t>
        </is>
      </c>
      <c r="D15" s="353" t="inlineStr">
        <is>
          <t>EUR-010</t>
        </is>
      </c>
      <c r="E15" s="353" t="inlineStr">
        <is>
          <t>Innovation Design S.r.l.</t>
        </is>
      </c>
      <c r="F15" s="353" t="inlineStr">
        <is>
          <t>retain</t>
        </is>
      </c>
      <c r="G15" s="353" t="inlineStr">
        <is>
          <t>verified</t>
        </is>
      </c>
      <c r="H15" s="353" t="inlineStr">
        <is>
          <t>Correct completion date is 29 April 2023 and ownership acquired was 60%, not 100%.</t>
        </is>
      </c>
      <c r="I15" s="353" t="inlineStr">
        <is>
          <t>Innovation Design develops and supplies defence electronics and systems through Foramil/Defence Tech.</t>
        </is>
      </c>
      <c r="J15" s="353" t="inlineStr">
        <is>
          <t>Tinexta Defence closing announcement</t>
        </is>
      </c>
      <c r="K15" s="353" t="inlineStr">
        <is>
          <t>https://tinextadefence.it/en/download/29-04-2023-defence-tech-holding-through-its-subsidiary-foramil-finalises-the-acquisition-of-60-of-innovation-design-s-r-l/</t>
        </is>
      </c>
    </row>
    <row r="16" ht="45" customHeight="1">
      <c r="A16" s="353" t="n">
        <v>16</v>
      </c>
      <c r="B16" s="353" t="inlineStr">
        <is>
          <t>EUR-077</t>
        </is>
      </c>
      <c r="C16" s="353" t="inlineStr">
        <is>
          <t>Ommic</t>
        </is>
      </c>
      <c r="D16" s="353" t="inlineStr">
        <is>
          <t>N/A</t>
        </is>
      </c>
      <c r="E16" s="353" t="inlineStr">
        <is>
          <t>Ommic</t>
        </is>
      </c>
      <c r="F16" s="353" t="inlineStr">
        <is>
          <t>exclude</t>
        </is>
      </c>
      <c r="G16" s="353" t="inlineStr">
        <is>
          <t>verified</t>
        </is>
      </c>
      <c r="H16" s="353" t="inlineStr">
        <is>
          <t>Exclude under strict primacy rule; also describe the event as an acquisition of business/assets rather than a full-company acquisition.</t>
        </is>
      </c>
      <c r="I16" s="353" t="inlineStr">
        <is>
          <t>OMMIC's compound-semiconductor activity serves telecom, industrial, space and defence markets; A&amp;D primacy is not established.</t>
        </is>
      </c>
      <c r="J16" s="353" t="inlineStr">
        <is>
          <t>MACOM announcement and SEC filing</t>
        </is>
      </c>
      <c r="K16" s="353" t="inlineStr">
        <is>
          <t>https://www.macom.com/updates/news/2023/macom-announces-definitive-agreement-to-acquire-assets-and-opera</t>
        </is>
      </c>
    </row>
    <row r="17" ht="45" customHeight="1">
      <c r="A17" s="353" t="n">
        <v>17</v>
      </c>
      <c r="B17" s="353" t="inlineStr">
        <is>
          <t>EUR-188</t>
        </is>
      </c>
      <c r="C17" s="353" t="inlineStr">
        <is>
          <t>Wolfram Resources (LON: WFR)</t>
        </is>
      </c>
      <c r="D17" s="353" t="inlineStr">
        <is>
          <t>N/A</t>
        </is>
      </c>
      <c r="E17" s="353" t="inlineStr">
        <is>
          <t>Wolfram Resources (LON: WFR)</t>
        </is>
      </c>
      <c r="F17" s="353" t="inlineStr">
        <is>
          <t>exclude</t>
        </is>
      </c>
      <c r="G17" s="353" t="inlineStr">
        <is>
          <t>verified</t>
        </is>
      </c>
      <c r="H17" s="353" t="inlineStr">
        <is>
          <t>Remove as a target-identity and sector error; no qualifying Wolfram Resources IPO occurred in 2023.</t>
        </is>
      </c>
      <c r="I17" s="353" t="inlineStr">
        <is>
          <t>The issuer was Becket Invest plc, an investment shell; it was not an operating A&amp;D company and adopted the Wolfram Resources name only in 2025.</t>
        </is>
      </c>
      <c r="J17" s="353" t="inlineStr">
        <is>
          <t>London Stock Exchange issuer history</t>
        </is>
      </c>
      <c r="K17" s="353" t="inlineStr">
        <is>
          <t>https://www.londonstockexchange.com/stock/WFR/wolfram-resources-plc/our-story</t>
        </is>
      </c>
    </row>
    <row r="18" ht="45" customHeight="1">
      <c r="A18" s="353" t="n">
        <v>18</v>
      </c>
      <c r="B18" s="353" t="inlineStr">
        <is>
          <t>EUR-135</t>
        </is>
      </c>
      <c r="C18" s="353" t="inlineStr">
        <is>
          <t>Cirma Entreprise</t>
        </is>
      </c>
      <c r="D18" s="353" t="inlineStr">
        <is>
          <t>N/A</t>
        </is>
      </c>
      <c r="E18" s="353" t="inlineStr">
        <is>
          <t>Cirma Entreprise</t>
        </is>
      </c>
      <c r="F18" s="353" t="inlineStr">
        <is>
          <t>exclude</t>
        </is>
      </c>
      <c r="G18" s="353" t="inlineStr">
        <is>
          <t>verified</t>
        </is>
      </c>
      <c r="H18" s="353" t="inlineStr">
        <is>
          <t>Remove: agreement announced 15 June 2023 was later mutually terminated after conditions were not satisfied.</t>
        </is>
      </c>
      <c r="I18" s="353" t="inlineStr">
        <is>
          <t>Cirma would have been an identifiable aerospace machining business, but the proposed acquisition never completed.</t>
        </is>
      </c>
      <c r="J18" s="353" t="inlineStr">
        <is>
          <t>Motherson signing and termination disclosures</t>
        </is>
      </c>
      <c r="K18" s="353" t="inlineStr">
        <is>
          <t>https://www.motherson.com/storage/Corporate%20Announcements/FY2023-24/Stock-exchange-disclosure-acquisition.15.06.23.pdf</t>
        </is>
      </c>
    </row>
    <row r="19" ht="45" customHeight="1">
      <c r="A19" s="353" t="n">
        <v>19</v>
      </c>
      <c r="B19" s="353" t="inlineStr">
        <is>
          <t>EUR-042</t>
        </is>
      </c>
      <c r="C19" s="353" t="inlineStr">
        <is>
          <t>Special Melted Products</t>
        </is>
      </c>
      <c r="D19" s="353" t="inlineStr">
        <is>
          <t>N/A</t>
        </is>
      </c>
      <c r="E19" s="353" t="inlineStr">
        <is>
          <t>Special Melted Products</t>
        </is>
      </c>
      <c r="F19" s="353" t="inlineStr">
        <is>
          <t>exclude</t>
        </is>
      </c>
      <c r="G19" s="353" t="inlineStr">
        <is>
          <t>verified</t>
        </is>
      </c>
      <c r="H19" s="353" t="inlineStr">
        <is>
          <t>Exclude as diversified materials supplier; correct completion date is 19 September 2023.</t>
        </is>
      </c>
      <c r="I19" s="353" t="inlineStr">
        <is>
          <t>Special Melted Products supplies specialty alloys to aerospace, oil and gas, nuclear and other markets; it is not verified as A&amp;D-primary.</t>
        </is>
      </c>
      <c r="J19" s="353" t="inlineStr">
        <is>
          <t>Mutares/Euronext closing announcement</t>
        </is>
      </c>
      <c r="K19" s="353" t="inlineStr">
        <is>
          <t>https://live.euronext.com/en/products/equities/company-news/2023-09-19-mutares-has-successfully-sold-its-portfolio-company</t>
        </is>
      </c>
    </row>
    <row r="20" ht="45" customHeight="1">
      <c r="A20" s="353" t="n">
        <v>20</v>
      </c>
      <c r="B20" s="353" t="inlineStr">
        <is>
          <t>EUR-011</t>
        </is>
      </c>
      <c r="C20" s="353" t="inlineStr">
        <is>
          <t>CMG Technologies</t>
        </is>
      </c>
      <c r="D20" s="353" t="inlineStr">
        <is>
          <t>N/A</t>
        </is>
      </c>
      <c r="E20" s="353" t="inlineStr">
        <is>
          <t>CMG Technologies</t>
        </is>
      </c>
      <c r="F20" s="353" t="inlineStr">
        <is>
          <t>exclude</t>
        </is>
      </c>
      <c r="G20" s="353" t="inlineStr">
        <is>
          <t>verified</t>
        </is>
      </c>
      <c r="H20" s="353" t="inlineStr">
        <is>
          <t>Exclude as diversified industrial manufacturing.</t>
        </is>
      </c>
      <c r="I20" s="353" t="inlineStr">
        <is>
          <t>CMG is a general metal-injection-moulding and additive-manufacturing supplier, not an A&amp;D-primary company.</t>
        </is>
      </c>
      <c r="J20" s="353" t="inlineStr">
        <is>
          <t>CMG Technologies corporate history</t>
        </is>
      </c>
      <c r="K20" s="353" t="inlineStr">
        <is>
          <t>https://cmgtechnologies.co.uk/team/indo-mim/</t>
        </is>
      </c>
    </row>
    <row r="21" ht="45" customHeight="1">
      <c r="A21" s="353" t="n">
        <v>21</v>
      </c>
      <c r="B21" s="353" t="inlineStr">
        <is>
          <t>EUR-126</t>
        </is>
      </c>
      <c r="C21" s="353" t="inlineStr">
        <is>
          <t>Artemis Optical</t>
        </is>
      </c>
      <c r="D21" s="353" t="inlineStr">
        <is>
          <t>EUR-013</t>
        </is>
      </c>
      <c r="E21" s="353" t="inlineStr">
        <is>
          <t>Artemis Optical Ltd</t>
        </is>
      </c>
      <c r="F21" s="353" t="inlineStr">
        <is>
          <t>retain</t>
        </is>
      </c>
      <c r="G21" s="353" t="inlineStr">
        <is>
          <t>verified</t>
        </is>
      </c>
      <c r="H21" s="353" t="inlineStr">
        <is>
          <t>Retain as completed acquisition of the entire issued share capital.</t>
        </is>
      </c>
      <c r="I21" s="353" t="inlineStr">
        <is>
          <t>Artemis develops optical thin-film coatings and protection systems for defence and aerospace applications.</t>
        </is>
      </c>
      <c r="J21" s="353" t="inlineStr">
        <is>
          <t>Gooch &amp; Housego RNS</t>
        </is>
      </c>
      <c r="K21" s="353" t="inlineStr">
        <is>
          <t>https://www.investegate.co.uk/announcement/rns/gooch-housego--ghh/acquisition-of-artemis-optical/7640853</t>
        </is>
      </c>
    </row>
    <row r="22" ht="45" customHeight="1">
      <c r="A22" s="353" t="n">
        <v>22</v>
      </c>
      <c r="B22" s="353" t="inlineStr">
        <is>
          <t>EUR-012</t>
        </is>
      </c>
      <c r="C22" s="353" t="inlineStr">
        <is>
          <t>EXPAL Systems</t>
        </is>
      </c>
      <c r="D22" s="353" t="inlineStr">
        <is>
          <t>EUR-014</t>
        </is>
      </c>
      <c r="E22" s="353" t="inlineStr">
        <is>
          <t>EXPAL Systems S.A.U.</t>
        </is>
      </c>
      <c r="F22" s="353" t="inlineStr">
        <is>
          <t>retain</t>
        </is>
      </c>
      <c r="G22" s="353" t="inlineStr">
        <is>
          <t>verified</t>
        </is>
      </c>
      <c r="H22" s="353" t="inlineStr">
        <is>
          <t>Correct completion date is 1 August 2023, not 31 July.</t>
        </is>
      </c>
      <c r="I22" s="353" t="inlineStr">
        <is>
          <t>EXPAL is a defence ammunition and weapons-systems producer with multiple Spanish defence-production sites.</t>
        </is>
      </c>
      <c r="J22" s="353" t="inlineStr">
        <is>
          <t>Rheinmetall closing announcement</t>
        </is>
      </c>
      <c r="K22" s="353" t="inlineStr">
        <is>
          <t>https://www.rheinmetall.com/en/media/news-watch/news/2023/8/2023-08-01-rheinmetall-completes-acquisition-of-spanish-defence-contractor-expal-systems</t>
        </is>
      </c>
    </row>
    <row r="23" ht="45" customHeight="1">
      <c r="A23" s="353" t="n">
        <v>23</v>
      </c>
      <c r="B23" s="353" t="inlineStr">
        <is>
          <t>EUR-082</t>
        </is>
      </c>
      <c r="C23" s="353" t="inlineStr">
        <is>
          <t>Sinergise</t>
        </is>
      </c>
      <c r="D23" s="353" t="inlineStr">
        <is>
          <t>N/A</t>
        </is>
      </c>
      <c r="E23" s="353" t="inlineStr">
        <is>
          <t>Sinergise</t>
        </is>
      </c>
      <c r="F23" s="353" t="inlineStr">
        <is>
          <t>exclude</t>
        </is>
      </c>
      <c r="G23" s="353" t="inlineStr">
        <is>
          <t>verified</t>
        </is>
      </c>
      <c r="H23" s="353" t="inlineStr">
        <is>
          <t>Exclude under strict A&amp;D-primary policy; transaction was a business acquisition, not necessarily a full legal-entity acquisition.</t>
        </is>
      </c>
      <c r="I23" s="353" t="inlineStr">
        <is>
          <t>Sinergise is broad commercial geospatial and Earth-observation software; available evidence does not establish core A&amp;D primacy.</t>
        </is>
      </c>
      <c r="J23" s="353" t="inlineStr">
        <is>
          <t>Planet announcement and SEC filing</t>
        </is>
      </c>
      <c r="K23" s="353" t="inlineStr">
        <is>
          <t>https://www.planet.com/pulse/planet-acquires-sinergise-business-a-new-chapter-in-earth-observation/</t>
        </is>
      </c>
    </row>
    <row r="24" ht="45" customHeight="1">
      <c r="A24" s="353" t="n">
        <v>24</v>
      </c>
      <c r="B24" s="353" t="inlineStr">
        <is>
          <t>EUR-178</t>
        </is>
      </c>
      <c r="C24" s="353" t="inlineStr">
        <is>
          <t>Porto Aviation Group (MIL: PAG)</t>
        </is>
      </c>
      <c r="D24" s="353" t="inlineStr">
        <is>
          <t>EUR-015</t>
        </is>
      </c>
      <c r="E24" s="353" t="inlineStr">
        <is>
          <t>Porto Aviation Group S.p.A.</t>
        </is>
      </c>
      <c r="F24" s="353" t="inlineStr">
        <is>
          <t>retain</t>
        </is>
      </c>
      <c r="G24" s="353" t="inlineStr">
        <is>
          <t>verified</t>
        </is>
      </c>
      <c r="H24" s="353" t="inlineStr">
        <is>
          <t>Retain, but label as a private-placement-backed Euronext Growth listing rather than an undifferentiated IPO.</t>
        </is>
      </c>
      <c r="I24" s="353" t="inlineStr">
        <is>
          <t>Porto Aviation designs and manufactures aircraft; its primary business is civil aerospace technology.</t>
        </is>
      </c>
      <c r="J24" s="353" t="inlineStr">
        <is>
          <t>Euronext listing announcement</t>
        </is>
      </c>
      <c r="K24" s="353" t="inlineStr">
        <is>
          <t>https://www.euronext.com/en/about/media/euronext-press-releases/porto-aviation-group-lists-euronext-growth-milan</t>
        </is>
      </c>
    </row>
    <row r="25" ht="45" customHeight="1">
      <c r="A25" s="353" t="n">
        <v>25</v>
      </c>
      <c r="B25" s="353" t="inlineStr">
        <is>
          <t>EUR-033</t>
        </is>
      </c>
      <c r="C25" s="353" t="inlineStr">
        <is>
          <t>Von Roll Schweiz</t>
        </is>
      </c>
      <c r="D25" s="353" t="inlineStr">
        <is>
          <t>N/A</t>
        </is>
      </c>
      <c r="E25" s="353" t="inlineStr">
        <is>
          <t>Von Roll Schweiz</t>
        </is>
      </c>
      <c r="F25" s="353" t="inlineStr">
        <is>
          <t>exclude</t>
        </is>
      </c>
      <c r="G25" s="353" t="inlineStr">
        <is>
          <t>verified</t>
        </is>
      </c>
      <c r="H25" s="353" t="inlineStr">
        <is>
          <t>Exclude; 11 August was announcement and majority control completed on 29 September.</t>
        </is>
      </c>
      <c r="I25" s="353" t="inlineStr">
        <is>
          <t>Von Roll is a diversified electrical-insulation and industrial-materials company serving e-mobility, renewables and industry; A&amp;D is not primary.</t>
        </is>
      </c>
      <c r="J25" s="353" t="inlineStr">
        <is>
          <t>Von Roll/ALTANA transaction release</t>
        </is>
      </c>
      <c r="K25" s="353" t="inlineStr">
        <is>
          <t>https://www.vonroll.com/de/pressemitteilungen/altana-ag-uebernimmt-die-mehrheit-der-anteile-an-der-von-roll-holding-ag/</t>
        </is>
      </c>
    </row>
    <row r="26" ht="45" customHeight="1">
      <c r="A26" s="353" t="n">
        <v>26</v>
      </c>
      <c r="B26" s="353" t="inlineStr">
        <is>
          <t>EUR-078</t>
        </is>
      </c>
      <c r="C26" s="353" t="inlineStr">
        <is>
          <t>Fibron</t>
        </is>
      </c>
      <c r="D26" s="353" t="inlineStr">
        <is>
          <t>N/A</t>
        </is>
      </c>
      <c r="E26" s="353" t="inlineStr">
        <is>
          <t>Fibron</t>
        </is>
      </c>
      <c r="F26" s="353" t="inlineStr">
        <is>
          <t>exclude</t>
        </is>
      </c>
      <c r="G26" s="353" t="inlineStr">
        <is>
          <t>verified</t>
        </is>
      </c>
      <c r="H26" s="353" t="inlineStr">
        <is>
          <t>Exclude as diversified subsea-cable supplier.</t>
        </is>
      </c>
      <c r="I26" s="353" t="inlineStr">
        <is>
          <t>Fibron supplies subsea cabling to energy, renewables, ROV, diving and defence markets; it is not A&amp;D-primary.</t>
        </is>
      </c>
      <c r="J26" s="353" t="inlineStr">
        <is>
          <t>Hexatronic closing announcement</t>
        </is>
      </c>
      <c r="K26" s="353" t="inlineStr">
        <is>
          <t>https://www.hexatronic.com/hubfs/press-releases/2023-08-18-Hexatronic-completes-acquisition-of-Fibron.pdf</t>
        </is>
      </c>
    </row>
    <row r="27" ht="45" customHeight="1">
      <c r="A27" s="353" t="n">
        <v>27</v>
      </c>
      <c r="B27" s="353" t="inlineStr">
        <is>
          <t>EUR-087</t>
        </is>
      </c>
      <c r="C27" s="353" t="inlineStr">
        <is>
          <t>Blue Bear Systems Research</t>
        </is>
      </c>
      <c r="D27" s="353" t="inlineStr">
        <is>
          <t>EUR-016</t>
        </is>
      </c>
      <c r="E27" s="353" t="inlineStr">
        <is>
          <t>Blue Bear Systems Research Ltd</t>
        </is>
      </c>
      <c r="F27" s="353" t="inlineStr">
        <is>
          <t>retain</t>
        </is>
      </c>
      <c r="G27" s="353" t="inlineStr">
        <is>
          <t>verified</t>
        </is>
      </c>
      <c r="H27" s="353" t="inlineStr">
        <is>
          <t>Retain as a completed acquisition of all shares.</t>
        </is>
      </c>
      <c r="I27" s="353" t="inlineStr">
        <is>
          <t>Blue Bear develops autonomous-system and UAV swarm technologies for defence and complex aerospace applications.</t>
        </is>
      </c>
      <c r="J27" s="353" t="inlineStr">
        <is>
          <t>Saab closing announcement</t>
        </is>
      </c>
      <c r="K27" s="353" t="inlineStr">
        <is>
          <t>https://www.saab.com/newsroom/press-releases/2023/saab-acquires-bluebear</t>
        </is>
      </c>
    </row>
    <row r="28" ht="45" customHeight="1">
      <c r="A28" s="353" t="n">
        <v>28</v>
      </c>
      <c r="B28" s="353" t="inlineStr">
        <is>
          <t>EUR-148</t>
        </is>
      </c>
      <c r="C28" s="353" t="inlineStr">
        <is>
          <t>Epicom</t>
        </is>
      </c>
      <c r="D28" s="353" t="inlineStr">
        <is>
          <t>EUR-017</t>
        </is>
      </c>
      <c r="E28" s="353" t="inlineStr">
        <is>
          <t>Epicom S.A.</t>
        </is>
      </c>
      <c r="F28" s="353" t="inlineStr">
        <is>
          <t>retain</t>
        </is>
      </c>
      <c r="G28" s="353" t="inlineStr">
        <is>
          <t>verified</t>
        </is>
      </c>
      <c r="H28" s="353" t="inlineStr">
        <is>
          <t>Correct the acquirer and structure: Indra and Grupo Oesía jointly acquired 60%; SEPI retained 40%.</t>
        </is>
      </c>
      <c r="I28" s="353" t="inlineStr">
        <is>
          <t>Epicom develops sovereign encryption and secure-communications systems for defence and government customers.</t>
        </is>
      </c>
      <c r="J28" s="353" t="inlineStr">
        <is>
          <t>Indra transaction announcement</t>
        </is>
      </c>
      <c r="K28" s="353" t="inlineStr">
        <is>
          <t>https://www.indragroup.com/en/news/indra-oesia-acquire-60-epicom-equal-shares</t>
        </is>
      </c>
    </row>
    <row r="29" ht="45" customHeight="1">
      <c r="A29" s="353" t="n">
        <v>29</v>
      </c>
      <c r="B29" s="353" t="inlineStr">
        <is>
          <t>EUR-005</t>
        </is>
      </c>
      <c r="C29" s="353" t="inlineStr">
        <is>
          <t>Eutelsat OneWeb</t>
        </is>
      </c>
      <c r="D29" s="353" t="inlineStr">
        <is>
          <t>EUR-018</t>
        </is>
      </c>
      <c r="E29" s="353" t="inlineStr">
        <is>
          <t>OneWeb Holdings Limited</t>
        </is>
      </c>
      <c r="F29" s="353" t="inlineStr">
        <is>
          <t>retain</t>
        </is>
      </c>
      <c r="G29" s="353" t="inlineStr">
        <is>
          <t>verified</t>
        </is>
      </c>
      <c r="H29" s="353" t="inlineStr">
        <is>
          <t>Use OneWeb Holdings as target and describe the event as an all-share combination, not a conventional cash full acquisition.</t>
        </is>
      </c>
      <c r="I29" s="353" t="inlineStr">
        <is>
          <t>OneWeb operates a low-Earth-orbit satellite constellation and satellite-communications network, a core space-technology business.</t>
        </is>
      </c>
      <c r="J29" s="353" t="inlineStr">
        <is>
          <t>Eutelsat completion release and FY2024 financial statements</t>
        </is>
      </c>
      <c r="K29" s="353" t="inlineStr">
        <is>
          <t>https://www.eutelsat.com/files/PR_2335_Day%201%20clean%20Wednesday%2028%20September%20-%20CLEAN%20%281%29.pdf</t>
        </is>
      </c>
    </row>
    <row r="30" ht="45" customHeight="1">
      <c r="A30" s="353" t="n">
        <v>30</v>
      </c>
      <c r="B30" s="353" t="inlineStr">
        <is>
          <t>EUR-037</t>
        </is>
      </c>
      <c r="C30" s="353" t="inlineStr">
        <is>
          <t>Waterfront Fluid Controls</t>
        </is>
      </c>
      <c r="D30" s="353" t="inlineStr">
        <is>
          <t>N/A</t>
        </is>
      </c>
      <c r="E30" s="353" t="inlineStr">
        <is>
          <t>Waterfront Fluid Controls</t>
        </is>
      </c>
      <c r="F30" s="353" t="inlineStr">
        <is>
          <t>exclude</t>
        </is>
      </c>
      <c r="G30" s="353" t="inlineStr">
        <is>
          <t>verified</t>
        </is>
      </c>
      <c r="H30" s="353" t="inlineStr">
        <is>
          <t>Exclude on sector scope; primary accounts indicate the subsidiary relationship became effective in 2024, not 3 October 2023.</t>
        </is>
      </c>
      <c r="I30" s="353" t="inlineStr">
        <is>
          <t>Waterfront Fluid Controls is a water and wastewater flow-control business, not an A&amp;D technology company.</t>
        </is>
      </c>
      <c r="J30" s="353" t="inlineStr">
        <is>
          <t>Jash Engineering regulatory disclosure</t>
        </is>
      </c>
      <c r="K30" s="353" t="inlineStr">
        <is>
          <t>https://jashindia.com/wp-content/uploads/2023/10/Disclosure-under-Reg-30-of-SEBI-LODR-2015-for-Acquisition.pdf</t>
        </is>
      </c>
    </row>
    <row r="31" ht="45" customHeight="1">
      <c r="A31" s="353" t="n">
        <v>31</v>
      </c>
      <c r="B31" s="353" t="inlineStr">
        <is>
          <t>EUR-106</t>
        </is>
      </c>
      <c r="C31" s="353" t="inlineStr">
        <is>
          <t>BoxModul</t>
        </is>
      </c>
      <c r="D31" s="353" t="inlineStr">
        <is>
          <t>N/A</t>
        </is>
      </c>
      <c r="E31" s="353" t="inlineStr">
        <is>
          <t>BoxModul</t>
        </is>
      </c>
      <c r="F31" s="353" t="inlineStr">
        <is>
          <t>exclude</t>
        </is>
      </c>
      <c r="G31" s="353" t="inlineStr">
        <is>
          <t>verified</t>
        </is>
      </c>
      <c r="H31" s="353" t="inlineStr">
        <is>
          <t>Exclude as a diversified modular-shelter supplier.</t>
        </is>
      </c>
      <c r="I31" s="353" t="inlineStr">
        <is>
          <t>Box Modul supplies modular shelters across IT, telecom, healthcare, power and defence; A&amp;D primacy is not established.</t>
        </is>
      </c>
      <c r="J31" s="353" t="inlineStr">
        <is>
          <t>W5 Solutions closing announcement</t>
        </is>
      </c>
      <c r="K31" s="353" t="inlineStr">
        <is>
          <t>https://w5solutions.com/mfn_news/w5-solutions-completes-the-acquisition-of-box-modul-and-issues-1293046-new-shares-to-the-seller/</t>
        </is>
      </c>
    </row>
    <row r="32" ht="45" customHeight="1">
      <c r="A32" s="353" t="n">
        <v>32</v>
      </c>
      <c r="B32" s="353" t="inlineStr">
        <is>
          <t>EUR-111</t>
        </is>
      </c>
      <c r="C32" s="353" t="inlineStr">
        <is>
          <t>Park Air Systems</t>
        </is>
      </c>
      <c r="D32" s="353" t="inlineStr">
        <is>
          <t>EUR-019</t>
        </is>
      </c>
      <c r="E32" s="353" t="inlineStr">
        <is>
          <t>Park Air Systems Ltd</t>
        </is>
      </c>
      <c r="F32" s="353" t="inlineStr">
        <is>
          <t>retain</t>
        </is>
      </c>
      <c r="G32" s="353" t="inlineStr">
        <is>
          <t>verified</t>
        </is>
      </c>
      <c r="H32" s="353" t="inlineStr">
        <is>
          <t>Correct completion date is 29 September 2023, not the 3 October announcement date.</t>
        </is>
      </c>
      <c r="I32" s="353" t="inlineStr">
        <is>
          <t>Park Air manufactures ground-to-air communications systems for civil and military air-traffic management and defence customers.</t>
        </is>
      </c>
      <c r="J32" s="353" t="inlineStr">
        <is>
          <t>Indra 2023 audited financial statements</t>
        </is>
      </c>
      <c r="K32" s="353" t="inlineStr">
        <is>
          <t>https://www.indragroup.com/cms-content/importacion/indra_sistemas_and_subsidiaries_2023.pdf</t>
        </is>
      </c>
    </row>
    <row r="33" ht="45" customHeight="1">
      <c r="A33" s="353" t="n">
        <v>33</v>
      </c>
      <c r="B33" s="353" t="inlineStr">
        <is>
          <t>EUR-173</t>
        </is>
      </c>
      <c r="C33" s="353" t="inlineStr">
        <is>
          <t>Scanway (WAR: SCW)</t>
        </is>
      </c>
      <c r="D33" s="353" t="inlineStr">
        <is>
          <t>EUR-021</t>
        </is>
      </c>
      <c r="E33" s="353" t="inlineStr">
        <is>
          <t>Scanway S.A.</t>
        </is>
      </c>
      <c r="F33" s="353" t="inlineStr">
        <is>
          <t>retain</t>
        </is>
      </c>
      <c r="G33" s="353" t="inlineStr">
        <is>
          <t>verified</t>
        </is>
      </c>
      <c r="H33" s="353" t="inlineStr">
        <is>
          <t>Retain; 11 October is the first-trading date, while the public offering itself was completed in June 2023.</t>
        </is>
      </c>
      <c r="I33" s="353" t="inlineStr">
        <is>
          <t>Scanway designs optical instruments for space observation; space technology is a primary operating line alongside industrial vision systems.</t>
        </is>
      </c>
      <c r="J33" s="353" t="inlineStr">
        <is>
          <t>Scanway issuer announcement</t>
        </is>
      </c>
      <c r="K33" s="353" t="inlineStr">
        <is>
          <t>https://scanway.pl/en/space-company-scanways-debut-on-newconnect-is-set-for-11-october/</t>
        </is>
      </c>
    </row>
    <row r="34" ht="45" customHeight="1">
      <c r="A34" s="353" t="n">
        <v>34</v>
      </c>
      <c r="B34" s="353" t="inlineStr">
        <is>
          <t>EUR-096</t>
        </is>
      </c>
      <c r="C34" s="353" t="inlineStr">
        <is>
          <t>Voestalpine Automotive Components Nagold</t>
        </is>
      </c>
      <c r="D34" s="353" t="inlineStr">
        <is>
          <t>N/A</t>
        </is>
      </c>
      <c r="E34" s="353" t="inlineStr">
        <is>
          <t>Voestalpine Automotive Components Nagold</t>
        </is>
      </c>
      <c r="F34" s="353" t="inlineStr">
        <is>
          <t>exclude</t>
        </is>
      </c>
      <c r="G34" s="353" t="inlineStr">
        <is>
          <t>verified</t>
        </is>
      </c>
      <c r="H34" s="353" t="inlineStr">
        <is>
          <t>Exclude on sector scope.</t>
        </is>
      </c>
      <c r="I34" s="353" t="inlineStr">
        <is>
          <t>The Nagold business produces automotive components and electric-motor laminations; it is not an A&amp;D-primary company.</t>
        </is>
      </c>
      <c r="J34" s="353" t="inlineStr">
        <is>
          <t>Worthington Steel SEC filing</t>
        </is>
      </c>
      <c r="K34" s="353" t="inlineStr">
        <is>
          <t>https://www.sec.gov/Archives/edgar/data/1968487/000095017024090031/ws-20240531.htm</t>
        </is>
      </c>
    </row>
    <row r="35" ht="45" customHeight="1">
      <c r="A35" s="353" t="n">
        <v>35</v>
      </c>
      <c r="B35" s="353" t="inlineStr">
        <is>
          <t>EUR-156</t>
        </is>
      </c>
      <c r="C35" s="353" t="inlineStr">
        <is>
          <t>OXLiD</t>
        </is>
      </c>
      <c r="D35" s="353" t="inlineStr">
        <is>
          <t>N/A</t>
        </is>
      </c>
      <c r="E35" s="353" t="inlineStr">
        <is>
          <t>OXLiD</t>
        </is>
      </c>
      <c r="F35" s="353" t="inlineStr">
        <is>
          <t>exclude</t>
        </is>
      </c>
      <c r="G35" s="353" t="inlineStr">
        <is>
          <t>verified</t>
        </is>
      </c>
      <c r="H35" s="353" t="inlineStr">
        <is>
          <t>Exclude under strict sector-primacy rule.</t>
        </is>
      </c>
      <c r="I35" s="353" t="inlineStr">
        <is>
          <t>OXLiD develops lithium-sulfur battery chemistry for broad energy-storage markets; A&amp;D primacy is not established.</t>
        </is>
      </c>
      <c r="J35" s="353" t="inlineStr">
        <is>
          <t>Gelion Annual Report 2024</t>
        </is>
      </c>
      <c r="K35" s="353" t="inlineStr">
        <is>
          <t>https://gelion.com/wp-content/uploads/2024/12/2412_Gelion-Annual-Report-2024_Web_Compressed.pdf</t>
        </is>
      </c>
    </row>
    <row r="36" ht="45" customHeight="1">
      <c r="A36" s="353" t="n">
        <v>36</v>
      </c>
      <c r="B36" s="353" t="inlineStr">
        <is>
          <t>EUR-151</t>
        </is>
      </c>
      <c r="C36" s="353" t="inlineStr">
        <is>
          <t>DP Seals</t>
        </is>
      </c>
      <c r="D36" s="353" t="inlineStr">
        <is>
          <t>N/A</t>
        </is>
      </c>
      <c r="E36" s="353" t="inlineStr">
        <is>
          <t>DP Seals</t>
        </is>
      </c>
      <c r="F36" s="353" t="inlineStr">
        <is>
          <t>exclude</t>
        </is>
      </c>
      <c r="G36" s="353" t="inlineStr">
        <is>
          <t>verified</t>
        </is>
      </c>
      <c r="H36" s="353" t="inlineStr">
        <is>
          <t>Exclude as a diversified industrial component supplier.</t>
        </is>
      </c>
      <c r="I36" s="353" t="inlineStr">
        <is>
          <t>DP Seals supplies custom seals to aerospace, subsea energy, motorsport and general industry; it is not A&amp;D-primary.</t>
        </is>
      </c>
      <c r="J36" s="353" t="inlineStr">
        <is>
          <t>Lagercrantz acquisition release</t>
        </is>
      </c>
      <c r="K36" s="353" t="inlineStr">
        <is>
          <t>https://www.lagercrantz.com/media/press-archive/2023/lagercrantz-acquires-dp-seals-ltd/</t>
        </is>
      </c>
    </row>
    <row r="37" ht="45" customHeight="1">
      <c r="A37" s="353" t="n">
        <v>37</v>
      </c>
      <c r="B37" s="353" t="inlineStr">
        <is>
          <t>EUR-167</t>
        </is>
      </c>
      <c r="C37" s="353" t="inlineStr">
        <is>
          <t>Xer Technologies (XER)</t>
        </is>
      </c>
      <c r="D37" s="353" t="inlineStr">
        <is>
          <t>N/A</t>
        </is>
      </c>
      <c r="E37" s="353" t="inlineStr">
        <is>
          <t>Xer Technologies (XER)</t>
        </is>
      </c>
      <c r="F37" s="353" t="inlineStr">
        <is>
          <t>exclude</t>
        </is>
      </c>
      <c r="G37" s="353" t="inlineStr">
        <is>
          <t>verified</t>
        </is>
      </c>
      <c r="H37" s="353" t="inlineStr">
        <is>
          <t>Exclude from a European-legal-target dataset; in any event this was a 13.33% top-up to control, not a full acquisition.</t>
        </is>
      </c>
      <c r="I37" s="353" t="inlineStr">
        <is>
          <t>The UAV operating team is Swiss, but the acquired legal target disclosed by Rex was Xer Technologies Pte Ltd, Singapore.</t>
        </is>
      </c>
      <c r="J37" s="353" t="inlineStr">
        <is>
          <t>Rex International 2023 Annual Report</t>
        </is>
      </c>
      <c r="K37" s="353" t="inlineStr">
        <is>
          <t>https://investor.rexih.com/misc/ar2023/20240327_RIH_AR2023_Final.pdf</t>
        </is>
      </c>
    </row>
    <row r="38" ht="45" customHeight="1">
      <c r="A38" s="353" t="n">
        <v>38</v>
      </c>
      <c r="B38" s="353" t="inlineStr">
        <is>
          <t>EUR-056</t>
        </is>
      </c>
      <c r="C38" s="353" t="inlineStr">
        <is>
          <t>Nixu</t>
        </is>
      </c>
      <c r="D38" s="353" t="inlineStr">
        <is>
          <t>N/A</t>
        </is>
      </c>
      <c r="E38" s="353" t="inlineStr">
        <is>
          <t>Nixu</t>
        </is>
      </c>
      <c r="F38" s="353" t="inlineStr">
        <is>
          <t>exclude</t>
        </is>
      </c>
      <c r="G38" s="353" t="inlineStr">
        <is>
          <t>verified</t>
        </is>
      </c>
      <c r="H38" s="353" t="inlineStr">
        <is>
          <t>Exclude on scope; DNV obtained control in June 2023, while December reflected later squeeze-out/delisting steps.</t>
        </is>
      </c>
      <c r="I38" s="353" t="inlineStr">
        <is>
          <t>Nixu is a broad cybersecurity-services company serving energy, finance, telecom, maritime and other industries; A&amp;D is not primary.</t>
        </is>
      </c>
      <c r="J38" s="353" t="inlineStr">
        <is>
          <t>DNV acquisition release</t>
        </is>
      </c>
      <c r="K38" s="353" t="inlineStr">
        <is>
          <t>https://www.dnv.com/news/2023/dnv-acquires-nixu-to-safeguard-society-from-rising-cyber-security-risks-244722/</t>
        </is>
      </c>
    </row>
    <row r="39" ht="45" customHeight="1">
      <c r="A39" s="353" t="n">
        <v>39</v>
      </c>
      <c r="B39" s="353" t="inlineStr">
        <is>
          <t>EUR-160</t>
        </is>
      </c>
      <c r="C39" s="353" t="inlineStr">
        <is>
          <t>Elexo</t>
        </is>
      </c>
      <c r="D39" s="353" t="inlineStr">
        <is>
          <t>EUR-022</t>
        </is>
      </c>
      <c r="E39" s="353" t="inlineStr">
        <is>
          <t>Elexo SAS</t>
        </is>
      </c>
      <c r="F39" s="353" t="inlineStr">
        <is>
          <t>retain</t>
        </is>
      </c>
      <c r="G39" s="353" t="inlineStr">
        <is>
          <t>verified</t>
        </is>
      </c>
      <c r="H39" s="353" t="inlineStr">
        <is>
          <t>Correct completion date is 31 October 2023, not 31 December; remove the unverified value pending source closure.</t>
        </is>
      </c>
      <c r="I39" s="353" t="inlineStr">
        <is>
          <t>Elexo is a defence-focused distributor and integrator of rugged mobile computing, test, network-security and telecom systems for critical environments.</t>
        </is>
      </c>
      <c r="J39" s="353" t="inlineStr">
        <is>
          <t>Logic Instrument closing announcement</t>
        </is>
      </c>
      <c r="K39" s="353" t="inlineStr">
        <is>
          <t>https://logic-instrument.com/en/logic-instrument-announces-the-definitive-acquisition-on-october-31-of-100-of-the-shares-of-elexo-a-subsidiary-of-the-atos-group/</t>
        </is>
      </c>
    </row>
    <row r="40" ht="45" customHeight="1">
      <c r="A40" s="353" t="n">
        <v>40</v>
      </c>
      <c r="B40" s="353" t="inlineStr">
        <is>
          <t>EUR-183</t>
        </is>
      </c>
      <c r="C40" s="353" t="inlineStr">
        <is>
          <t>Pathfindr (IT Consulting and Outsourcing)</t>
        </is>
      </c>
      <c r="D40" s="353" t="inlineStr">
        <is>
          <t>N/A</t>
        </is>
      </c>
      <c r="E40" s="353" t="inlineStr">
        <is>
          <t>Pathfindr (IT Consulting and Outsourcing)</t>
        </is>
      </c>
      <c r="F40" s="353" t="inlineStr">
        <is>
          <t>exclude</t>
        </is>
      </c>
      <c r="G40" s="353" t="inlineStr">
        <is>
          <t>verified</t>
        </is>
      </c>
      <c r="H40" s="353" t="inlineStr">
        <is>
          <t>Exclude; transaction was 80%, not 100%. Companies House indicates control by Bandwidth before the 5 January report.</t>
        </is>
      </c>
      <c r="I40" s="353" t="inlineStr">
        <is>
          <t>Pathfindr is an IoT asset-monitoring business across logistics, healthcare, automotive and other industries, not A&amp;D-primary.</t>
        </is>
      </c>
      <c r="J40" s="353" t="inlineStr">
        <is>
          <t>UK Companies House PSC record</t>
        </is>
      </c>
      <c r="K40" s="353" t="inlineStr">
        <is>
          <t>https://find-and-update.company-information.service.gov.uk/company/11663771/persons-with-significant-control</t>
        </is>
      </c>
    </row>
    <row r="41" ht="45" customHeight="1">
      <c r="A41" s="353" t="n">
        <v>41</v>
      </c>
      <c r="B41" s="353" t="inlineStr">
        <is>
          <t>EUR-098</t>
        </is>
      </c>
      <c r="C41" s="353" t="inlineStr">
        <is>
          <t>First Light Imaging</t>
        </is>
      </c>
      <c r="D41" s="353" t="inlineStr">
        <is>
          <t>N/A</t>
        </is>
      </c>
      <c r="E41" s="353" t="inlineStr">
        <is>
          <t>First Light Imaging</t>
        </is>
      </c>
      <c r="F41" s="353" t="inlineStr">
        <is>
          <t>exclude</t>
        </is>
      </c>
      <c r="G41" s="353" t="inlineStr">
        <is>
          <t>verified</t>
        </is>
      </c>
      <c r="H41" s="353" t="inlineStr">
        <is>
          <t>Exclude on strict sector scope.</t>
        </is>
      </c>
      <c r="I41" s="353" t="inlineStr">
        <is>
          <t>First Light Imaging makes scientific cameras for astronomy, life sciences and research; it is not A&amp;D-primary.</t>
        </is>
      </c>
      <c r="J41" s="353" t="inlineStr">
        <is>
          <t>Oxford Instruments acquisition release</t>
        </is>
      </c>
      <c r="K41" s="353" t="inlineStr">
        <is>
          <t>https://www.oxinst.com/news/oxford-instruments-acquires-first-light-imaging-sas/</t>
        </is>
      </c>
    </row>
    <row r="42" ht="45" customHeight="1">
      <c r="A42" s="353" t="n">
        <v>42</v>
      </c>
      <c r="B42" s="353" t="inlineStr">
        <is>
          <t>EUR-065</t>
        </is>
      </c>
      <c r="C42" s="353" t="inlineStr">
        <is>
          <t>Malloy Aeronautics</t>
        </is>
      </c>
      <c r="D42" s="353" t="inlineStr">
        <is>
          <t>EUR-023</t>
        </is>
      </c>
      <c r="E42" s="353" t="inlineStr">
        <is>
          <t>Malloy Aeronautics Ltd</t>
        </is>
      </c>
      <c r="F42" s="353" t="inlineStr">
        <is>
          <t>retain</t>
        </is>
      </c>
      <c r="G42" s="353" t="inlineStr">
        <is>
          <t>verified</t>
        </is>
      </c>
      <c r="H42" s="353" t="inlineStr">
        <is>
          <t>Retain as a completed 100% control acquisition.</t>
        </is>
      </c>
      <c r="I42" s="353" t="inlineStr">
        <is>
          <t>Malloy develops heavy-lift uncrewed aerial vehicles for military logistics and autonomous operations.</t>
        </is>
      </c>
      <c r="J42" s="353" t="inlineStr">
        <is>
          <t>BAE Systems RNS and UK Companies House</t>
        </is>
      </c>
      <c r="K42" s="353" t="inlineStr">
        <is>
          <t>https://www.investegate.co.uk/announcement/rns/bae-systems--ba./final-results/8742430</t>
        </is>
      </c>
    </row>
    <row r="43" ht="45" customHeight="1">
      <c r="A43" s="353" t="n">
        <v>43</v>
      </c>
      <c r="B43" s="353" t="inlineStr">
        <is>
          <t>EUR-079</t>
        </is>
      </c>
      <c r="C43" s="353" t="inlineStr">
        <is>
          <t>TESA Technology</t>
        </is>
      </c>
      <c r="D43" s="353" t="inlineStr">
        <is>
          <t>N/A</t>
        </is>
      </c>
      <c r="E43" s="353" t="inlineStr">
        <is>
          <t>TESA Technology</t>
        </is>
      </c>
      <c r="F43" s="353" t="inlineStr">
        <is>
          <t>exclude</t>
        </is>
      </c>
      <c r="G43" s="353" t="inlineStr">
        <is>
          <t>verified</t>
        </is>
      </c>
      <c r="H43" s="353" t="inlineStr">
        <is>
          <t>Exclude on sector scope; exact completion day is not independently source-closed beyond Q1 2024.</t>
        </is>
      </c>
      <c r="I43" s="353" t="inlineStr">
        <is>
          <t>TESA is a precision metrology business serving general manufacturing, not an A&amp;D-primary company.</t>
        </is>
      </c>
      <c r="J43" s="353" t="inlineStr">
        <is>
          <t>Hexagon divestiture announcement</t>
        </is>
      </c>
      <c r="K43" s="353" t="inlineStr">
        <is>
          <t>https://hexagon.com/company/newsroom/press-releases/2023/hexagon-agrees-sale-of-non-core-business-area</t>
        </is>
      </c>
    </row>
    <row r="44" ht="45" customHeight="1">
      <c r="A44" s="353" t="n">
        <v>44</v>
      </c>
      <c r="B44" s="353" t="inlineStr">
        <is>
          <t>EUR-193</t>
        </is>
      </c>
      <c r="C44" s="353" t="inlineStr">
        <is>
          <t>Specialist Aviation Services</t>
        </is>
      </c>
      <c r="D44" s="353" t="inlineStr">
        <is>
          <t>N/A</t>
        </is>
      </c>
      <c r="E44" s="353" t="inlineStr">
        <is>
          <t>Specialist Aviation Services</t>
        </is>
      </c>
      <c r="F44" s="353" t="inlineStr">
        <is>
          <t>exclude</t>
        </is>
      </c>
      <c r="G44" s="353" t="inlineStr">
        <is>
          <t>verified</t>
        </is>
      </c>
      <c r="H44" s="353" t="inlineStr">
        <is>
          <t>Exclude; completion was 31 January and the transaction covered business/assets rather than a full-company acquisition.</t>
        </is>
      </c>
      <c r="I44" s="353" t="inlineStr">
        <is>
          <t>Specialist Aviation Services was a helicopter emergency-medical/special-mission operator and MRO service business, not an A&amp;D technology company.</t>
        </is>
      </c>
      <c r="J44" s="353" t="inlineStr">
        <is>
          <t>Gama Aviation Annual Report 2023</t>
        </is>
      </c>
      <c r="K44" s="353" t="inlineStr">
        <is>
          <t>https://www.hangar8.co.uk/wp-content/uploads/2024/07/ARA-2023-Final.pdf</t>
        </is>
      </c>
    </row>
    <row r="45" ht="45" customHeight="1">
      <c r="A45" s="353" t="n">
        <v>45</v>
      </c>
      <c r="B45" s="353" t="inlineStr">
        <is>
          <t>EUR-127</t>
        </is>
      </c>
      <c r="C45" s="353" t="inlineStr">
        <is>
          <t>Jolly Scarpe</t>
        </is>
      </c>
      <c r="D45" s="353" t="inlineStr">
        <is>
          <t>N/A</t>
        </is>
      </c>
      <c r="E45" s="353" t="inlineStr">
        <is>
          <t>Jolly Scarpe</t>
        </is>
      </c>
      <c r="F45" s="353" t="inlineStr">
        <is>
          <t>exclude</t>
        </is>
      </c>
      <c r="G45" s="353" t="inlineStr">
        <is>
          <t>verified</t>
        </is>
      </c>
      <c r="H45" s="353" t="inlineStr">
        <is>
          <t>Exclude under strict technology-sector scope.</t>
        </is>
      </c>
      <c r="I45" s="353" t="inlineStr">
        <is>
          <t>Jolly Scarpe manufactures protective footwear for fire, police, military and rescue users; it is PPE, not aerospace/defence technology.</t>
        </is>
      </c>
      <c r="J45" s="353" t="inlineStr">
        <is>
          <t>Lakeland Industries SEC filing</t>
        </is>
      </c>
      <c r="K45" s="353" t="inlineStr">
        <is>
          <t>https://www.sec.gov/Archives/edgar/data/798081/000165495425004352/lake_10k.htm</t>
        </is>
      </c>
    </row>
    <row r="46" ht="45" customHeight="1">
      <c r="A46" s="353" t="n">
        <v>46</v>
      </c>
      <c r="B46" s="353" t="inlineStr">
        <is>
          <t>EUR-026</t>
        </is>
      </c>
      <c r="C46" s="353" t="inlineStr">
        <is>
          <t>RENK Group (ETR: R3NK)</t>
        </is>
      </c>
      <c r="D46" s="353" t="inlineStr">
        <is>
          <t>EUR-024</t>
        </is>
      </c>
      <c r="E46" s="353" t="inlineStr">
        <is>
          <t>RENK Group AG</t>
        </is>
      </c>
      <c r="F46" s="353" t="inlineStr">
        <is>
          <t>retain</t>
        </is>
      </c>
      <c r="G46" s="353" t="inlineStr">
        <is>
          <t>verified</t>
        </is>
      </c>
      <c r="H46" s="353" t="inlineStr">
        <is>
          <t>Retain; listing date and placement volume are exchange-verified.</t>
        </is>
      </c>
      <c r="I46" s="353" t="inlineStr">
        <is>
          <t>RENK develops transmissions and propulsion systems with a major focus on military tracked vehicles, naval vessels and defence applications.</t>
        </is>
      </c>
      <c r="J46" s="353" t="inlineStr">
        <is>
          <t>Deutsche Börse</t>
        </is>
      </c>
      <c r="K46" s="353" t="inlineStr">
        <is>
          <t>https://www.deutsche-boerse.com/dbg-en/media/news-stories/press-releases/RENK-Group-AG-new-in-the-Prime-Standard-of-the-Frankfurt-Stock-Exchange-3847060</t>
        </is>
      </c>
    </row>
    <row r="47" ht="45" customHeight="1">
      <c r="A47" s="353" t="n">
        <v>47</v>
      </c>
      <c r="B47" s="353" t="inlineStr">
        <is>
          <t>EUR-085</t>
        </is>
      </c>
      <c r="C47" s="353" t="inlineStr">
        <is>
          <t>Silent Sentinel</t>
        </is>
      </c>
      <c r="D47" s="353" t="inlineStr">
        <is>
          <t>N/A</t>
        </is>
      </c>
      <c r="E47" s="353" t="inlineStr">
        <is>
          <t>Silent Sentinel</t>
        </is>
      </c>
      <c r="F47" s="353" t="inlineStr">
        <is>
          <t>exclude</t>
        </is>
      </c>
      <c r="G47" s="353" t="inlineStr">
        <is>
          <t>unresolved</t>
        </is>
      </c>
      <c r="H47" s="353" t="inlineStr">
        <is>
          <t>Exclude conservatively under strict primacy rule. Remove the erroneous seller label 'Motorola Mobility'.</t>
        </is>
      </c>
      <c r="I47" s="353" t="inlineStr">
        <is>
          <t>Silent Sentinel provides long-range surveillance to security, critical-infrastructure and defence customers; available evidence does not establish A&amp;D as its primary market.</t>
        </is>
      </c>
      <c r="J47" s="353" t="inlineStr">
        <is>
          <t>Motorola Solutions 2024 Form 10-K</t>
        </is>
      </c>
      <c r="K47" s="353" t="inlineStr">
        <is>
          <t>https://www.sec.gov/Archives/edgar/data/68505/000006850525000012/msi-20241231.htm</t>
        </is>
      </c>
    </row>
    <row r="48" ht="45" customHeight="1">
      <c r="A48" s="353" t="n">
        <v>48</v>
      </c>
      <c r="B48" s="353" t="inlineStr">
        <is>
          <t>EUR-100</t>
        </is>
      </c>
      <c r="C48" s="353" t="inlineStr">
        <is>
          <t>Fat Shark Holdings</t>
        </is>
      </c>
      <c r="D48" s="353" t="inlineStr">
        <is>
          <t>N/A</t>
        </is>
      </c>
      <c r="E48" s="353" t="inlineStr">
        <is>
          <t>Fat Shark Holdings</t>
        </is>
      </c>
      <c r="F48" s="353" t="inlineStr">
        <is>
          <t>exclude</t>
        </is>
      </c>
      <c r="G48" s="353" t="inlineStr">
        <is>
          <t>verified</t>
        </is>
      </c>
      <c r="H48" s="353" t="inlineStr">
        <is>
          <t>Remove. The $20m consideration covered Fat Shark plus Rotor Riot, not Fat Shark alone.</t>
        </is>
      </c>
      <c r="I48" s="353" t="inlineStr">
        <is>
          <t>Fat Shark's acquired segment was consumer/recreational FPV equipment, and the legal target was not a UK-headquartered European operating company.</t>
        </is>
      </c>
      <c r="J48" s="353" t="inlineStr">
        <is>
          <t>Unusual Machines/Red Cat SEC filings</t>
        </is>
      </c>
      <c r="K48" s="353" t="inlineStr">
        <is>
          <t>https://www.sec.gov/Archives/edgar/data/748268/000155479524000020/rcat0220form8k.htm</t>
        </is>
      </c>
    </row>
    <row r="49" ht="45" customHeight="1">
      <c r="A49" s="353" t="n">
        <v>49</v>
      </c>
      <c r="B49" s="353" t="inlineStr">
        <is>
          <t>EUR-144</t>
        </is>
      </c>
      <c r="C49" s="353" t="inlineStr">
        <is>
          <t>Aeropolis</t>
        </is>
      </c>
      <c r="D49" s="353" t="inlineStr">
        <is>
          <t>N/A</t>
        </is>
      </c>
      <c r="E49" s="353" t="inlineStr">
        <is>
          <t>Aeropolis</t>
        </is>
      </c>
      <c r="F49" s="353" t="inlineStr">
        <is>
          <t>exclude</t>
        </is>
      </c>
      <c r="G49" s="353" t="inlineStr">
        <is>
          <t>unresolved</t>
        </is>
      </c>
      <c r="H49" s="353" t="inlineStr">
        <is>
          <t>Exclude unresolved; target identity, completion, consideration and sector classification could not be verified.</t>
        </is>
      </c>
      <c r="I49" s="353" t="inlineStr">
        <is>
          <t>The dataset description is a web communication/training/archive product and does not evidence an aerospace or defence technology company; no authoritative transaction source was closed.</t>
        </is>
      </c>
      <c r="J49" s="353" t="inlineStr">
        <is>
          <t>No authoritative source closed</t>
        </is>
      </c>
      <c r="K49" s="353" t="inlineStr">
        <is>
          <t>No authoritative source found</t>
        </is>
      </c>
    </row>
    <row r="50" ht="45" customHeight="1">
      <c r="A50" s="353" t="n">
        <v>50</v>
      </c>
      <c r="B50" s="353" t="inlineStr">
        <is>
          <t>EUR-158</t>
        </is>
      </c>
      <c r="C50" s="353" t="inlineStr">
        <is>
          <t>COGIA (Socializer Messenger)</t>
        </is>
      </c>
      <c r="D50" s="353" t="inlineStr">
        <is>
          <t>N/A</t>
        </is>
      </c>
      <c r="E50" s="353" t="inlineStr">
        <is>
          <t>Socializer Messenger platform from Cogia GmbH</t>
        </is>
      </c>
      <c r="F50" s="353" t="inlineStr">
        <is>
          <t>exclude</t>
        </is>
      </c>
      <c r="G50" s="353" t="inlineStr">
        <is>
          <t>verified</t>
        </is>
      </c>
      <c r="H50" s="353" t="inlineStr">
        <is>
          <t>Exclude under strict scope and correct target from Cogia company to the Socializer Messenger platform/business.</t>
        </is>
      </c>
      <c r="I50" s="353" t="inlineStr">
        <is>
          <t>The platform is secure messaging for broad enterprise and government use; A&amp;D primacy is not established.</t>
        </is>
      </c>
      <c r="J50" s="353" t="inlineStr">
        <is>
          <t>VCI Global closing release</t>
        </is>
      </c>
      <c r="K50" s="353" t="inlineStr">
        <is>
          <t>https://ir-api.v-capital.co/download/%282024-03-18%29%20VCIG%20Acquire%20AI-Based%20Secured%20messaging%20platform%20from%20Cogia.pdf</t>
        </is>
      </c>
    </row>
    <row r="51" ht="45" customHeight="1">
      <c r="A51" s="353" t="n">
        <v>51</v>
      </c>
      <c r="B51" s="353" t="inlineStr">
        <is>
          <t>EUR-190</t>
        </is>
      </c>
      <c r="C51" s="353" t="inlineStr">
        <is>
          <t>Drurys Engineering</t>
        </is>
      </c>
      <c r="D51" s="353" t="inlineStr">
        <is>
          <t>N/A</t>
        </is>
      </c>
      <c r="E51" s="353" t="inlineStr">
        <is>
          <t>Drurys Engineering</t>
        </is>
      </c>
      <c r="F51" s="353" t="inlineStr">
        <is>
          <t>exclude</t>
        </is>
      </c>
      <c r="G51" s="353" t="inlineStr">
        <is>
          <t>unresolved</t>
        </is>
      </c>
      <c r="H51" s="353" t="inlineStr">
        <is>
          <t>Exclude unresolved; exact legal target, completion date and consideration were not closed to a primary source.</t>
        </is>
      </c>
      <c r="I51" s="353" t="inlineStr">
        <is>
          <t>Drurys is described as precision engineering across aerospace, oil and gas, defence and automotive markets; A&amp;D primacy is not established.</t>
        </is>
      </c>
      <c r="J51" s="353" t="inlineStr">
        <is>
          <t>No authoritative source closed</t>
        </is>
      </c>
      <c r="K51" s="353" t="inlineStr">
        <is>
          <t>No authoritative source found</t>
        </is>
      </c>
    </row>
    <row r="52" ht="45" customHeight="1">
      <c r="A52" s="353" t="n">
        <v>52</v>
      </c>
      <c r="B52" s="353" t="inlineStr">
        <is>
          <t>EUR-041</t>
        </is>
      </c>
      <c r="C52" s="353" t="inlineStr">
        <is>
          <t>Civitanavi Systems</t>
        </is>
      </c>
      <c r="D52" s="353" t="inlineStr">
        <is>
          <t>EUR-038</t>
        </is>
      </c>
      <c r="E52" s="353" t="inlineStr">
        <is>
          <t>Civitanavi Systems S.p.A.</t>
        </is>
      </c>
      <c r="F52" s="353" t="inlineStr">
        <is>
          <t>retain</t>
        </is>
      </c>
      <c r="G52" s="353" t="inlineStr">
        <is>
          <t>verified</t>
        </is>
      </c>
      <c r="H52" s="353" t="inlineStr">
        <is>
          <t>27 March was announcement; correct completion/control date is 19 August 2024.</t>
        </is>
      </c>
      <c r="I52" s="353" t="inlineStr">
        <is>
          <t>Civitanavi develops inertial navigation and stabilization systems for aerospace, defence and autonomous platforms.</t>
        </is>
      </c>
      <c r="J52" s="353" t="inlineStr">
        <is>
          <t>Honeywell 2024 Annual Report and announcement</t>
        </is>
      </c>
      <c r="K52" s="353" t="inlineStr">
        <is>
          <t>https://investor.honeywell.com/static-files/98bf174f-edb5-4dfe-8f24-1455590edbcb</t>
        </is>
      </c>
    </row>
    <row r="53" ht="45" customHeight="1">
      <c r="A53" s="353" t="n">
        <v>53</v>
      </c>
      <c r="B53" s="353" t="inlineStr">
        <is>
          <t>EUR-015</t>
        </is>
      </c>
      <c r="C53" s="353" t="inlineStr">
        <is>
          <t>Cobham Aerospace Communications</t>
        </is>
      </c>
      <c r="D53" s="353" t="inlineStr">
        <is>
          <t>EUR-026</t>
        </is>
      </c>
      <c r="E53" s="353" t="inlineStr">
        <is>
          <t>Cobham Aerospace Communications</t>
        </is>
      </c>
      <c r="F53" s="353" t="inlineStr">
        <is>
          <t>retain</t>
        </is>
      </c>
      <c r="G53" s="353" t="inlineStr">
        <is>
          <t>verified</t>
        </is>
      </c>
      <c r="H53" s="353" t="inlineStr">
        <is>
          <t>Retain as completed acquisition of the aerospace communications operating business.</t>
        </is>
      </c>
      <c r="I53" s="353" t="inlineStr">
        <is>
          <t>Cobham Aerospace Communications develops safety-critical and secure cockpit communications for civil and military aircraft.</t>
        </is>
      </c>
      <c r="J53" s="353" t="inlineStr">
        <is>
          <t>Thales closing announcement</t>
        </is>
      </c>
      <c r="K53" s="353" t="inlineStr">
        <is>
          <t>https://www.thalesgroup.com/sites/default/files/investor/documents/Thales_completes_the_acquisition_of_Cobham_Aerospace_Communications___2_April_2024_1.pdf</t>
        </is>
      </c>
    </row>
    <row r="54" ht="45" customHeight="1">
      <c r="A54" s="353" t="n">
        <v>54</v>
      </c>
      <c r="B54" s="353" t="inlineStr">
        <is>
          <t>EUR-017</t>
        </is>
      </c>
      <c r="C54" s="353" t="inlineStr">
        <is>
          <t>ESG Elektroniksystem- und Logistik</t>
        </is>
      </c>
      <c r="D54" s="353" t="inlineStr">
        <is>
          <t>EUR-027</t>
        </is>
      </c>
      <c r="E54" s="353" t="inlineStr">
        <is>
          <t>ESG Elektroniksystem- und Logistik-GmbH</t>
        </is>
      </c>
      <c r="F54" s="353" t="inlineStr">
        <is>
          <t>retain</t>
        </is>
      </c>
      <c r="G54" s="353" t="inlineStr">
        <is>
          <t>verified</t>
        </is>
      </c>
      <c r="H54" s="353" t="inlineStr">
        <is>
          <t>Retain; closing effective 2 April 2024.</t>
        </is>
      </c>
      <c r="I54" s="353" t="inlineStr">
        <is>
          <t>ESG is a defence-electronics, systems-integration and logistics technology company active in FCAS, F-35, AI and cyber programmes.</t>
        </is>
      </c>
      <c r="J54" s="353" t="inlineStr">
        <is>
          <t>HENSOLDT closing announcement</t>
        </is>
      </c>
      <c r="K54" s="353" t="inlineStr">
        <is>
          <t>https://investors.hensoldt.net/news/hensoldt-completes-acquisition-of-esg/fc5faac1-65bb-4c36-9dc2-1eed4f010c8b</t>
        </is>
      </c>
    </row>
    <row r="55" ht="45" customHeight="1">
      <c r="A55" s="353" t="n">
        <v>55</v>
      </c>
      <c r="B55" s="353" t="inlineStr">
        <is>
          <t>EUR-086</t>
        </is>
      </c>
      <c r="C55" s="353" t="inlineStr">
        <is>
          <t>Valeport</t>
        </is>
      </c>
      <c r="D55" s="353" t="inlineStr">
        <is>
          <t>N/A</t>
        </is>
      </c>
      <c r="E55" s="353" t="inlineStr">
        <is>
          <t>Valeport</t>
        </is>
      </c>
      <c r="F55" s="353" t="inlineStr">
        <is>
          <t>exclude</t>
        </is>
      </c>
      <c r="G55" s="353" t="inlineStr">
        <is>
          <t>verified</t>
        </is>
      </c>
      <c r="H55" s="353" t="inlineStr">
        <is>
          <t>Exclude as diversified marine instrumentation.</t>
        </is>
      </c>
      <c r="I55" s="353" t="inlineStr">
        <is>
          <t>Valeport's underwater sensors serve environmental, energy, construction and defence markets; A&amp;D is not primary.</t>
        </is>
      </c>
      <c r="J55" s="353" t="inlineStr">
        <is>
          <t>Teledyne acquisition announcement</t>
        </is>
      </c>
      <c r="K55" s="353" t="inlineStr">
        <is>
          <t>https://www.teledyne.com/en-us/news/Pages/teledyne-to-acquire-valeport.aspx</t>
        </is>
      </c>
    </row>
    <row r="56" ht="45" customHeight="1">
      <c r="A56" s="353" t="n">
        <v>56</v>
      </c>
      <c r="B56" s="353" t="inlineStr">
        <is>
          <t>EUR-187</t>
        </is>
      </c>
      <c r="C56" s="353" t="inlineStr">
        <is>
          <t>ES Systems</t>
        </is>
      </c>
      <c r="D56" s="353" t="inlineStr">
        <is>
          <t>N/A</t>
        </is>
      </c>
      <c r="E56" s="353" t="inlineStr">
        <is>
          <t>ES Systems</t>
        </is>
      </c>
      <c r="F56" s="353" t="inlineStr">
        <is>
          <t>exclude</t>
        </is>
      </c>
      <c r="G56" s="353" t="inlineStr">
        <is>
          <t>unresolved</t>
        </is>
      </c>
      <c r="H56" s="353" t="inlineStr">
        <is>
          <t>Exclude unresolved; exact completion date, consideration and legal transaction were not closed to a primary source.</t>
        </is>
      </c>
      <c r="I56" s="353" t="inlineStr">
        <is>
          <t>ES Systems serves medical, industrial, maritime and aerospace markets; core A&amp;D primacy is not established.</t>
        </is>
      </c>
      <c r="J56" s="353" t="inlineStr">
        <is>
          <t>EFA Group corporate profile</t>
        </is>
      </c>
      <c r="K56" s="353" t="inlineStr">
        <is>
          <t>https://efagroup.eu/the-group/</t>
        </is>
      </c>
    </row>
    <row r="57" ht="45" customHeight="1">
      <c r="A57" s="353" t="n">
        <v>57</v>
      </c>
      <c r="B57" s="353" t="inlineStr">
        <is>
          <t>EUR-130</t>
        </is>
      </c>
      <c r="C57" s="353" t="inlineStr">
        <is>
          <t>MK Test Systems</t>
        </is>
      </c>
      <c r="D57" s="353" t="inlineStr">
        <is>
          <t>N/A</t>
        </is>
      </c>
      <c r="E57" s="353" t="inlineStr">
        <is>
          <t>MK Test Systems</t>
        </is>
      </c>
      <c r="F57" s="353" t="inlineStr">
        <is>
          <t>exclude</t>
        </is>
      </c>
      <c r="G57" s="353" t="inlineStr">
        <is>
          <t>verified</t>
        </is>
      </c>
      <c r="H57" s="353" t="inlineStr">
        <is>
          <t>Exclude. The publicly announced headline price was GBP44m, conflicting with the sheet's GBP6.9m accounting figure.</t>
        </is>
      </c>
      <c r="I57" s="353" t="inlineStr">
        <is>
          <t>MK Test supplies electrical-safety testing to aerospace, rail and commercial electric-vehicle customers; it is not A&amp;D-primary.</t>
        </is>
      </c>
      <c r="J57" s="353" t="inlineStr">
        <is>
          <t>Halma acquisition announcement</t>
        </is>
      </c>
      <c r="K57" s="353" t="inlineStr">
        <is>
          <t>https://www.halma.com/news/press-releases/2024/halma-acquires-electrical-safety-business-for-44m</t>
        </is>
      </c>
    </row>
    <row r="58" ht="45" customHeight="1">
      <c r="A58" s="353" t="n">
        <v>58</v>
      </c>
      <c r="B58" s="353" t="inlineStr">
        <is>
          <t>EUR-112</t>
        </is>
      </c>
      <c r="C58" s="353" t="inlineStr">
        <is>
          <t>MAGnetIC (Electronic Equipment and Instruments)</t>
        </is>
      </c>
      <c r="D58" s="353" t="inlineStr">
        <is>
          <t>N/A</t>
        </is>
      </c>
      <c r="E58" s="353" t="inlineStr">
        <is>
          <t>MAGnetIC (Electronic Equipment and Instruments)</t>
        </is>
      </c>
      <c r="F58" s="353" t="inlineStr">
        <is>
          <t>exclude</t>
        </is>
      </c>
      <c r="G58" s="353" t="inlineStr">
        <is>
          <t>unresolved</t>
        </is>
      </c>
      <c r="H58" s="353" t="inlineStr">
        <is>
          <t>Exclude unresolved; Satori history confirms a May 2024 share acquisition but not the exact day, ownership or value.</t>
        </is>
      </c>
      <c r="I58" s="353" t="inlineStr">
        <is>
          <t>MAGnetIC develops general magnetic current sensors; no authoritative evidence establishes A&amp;D primacy.</t>
        </is>
      </c>
      <c r="J58" s="353" t="inlineStr">
        <is>
          <t>Satori Electric corporate history</t>
        </is>
      </c>
      <c r="K58" s="353" t="inlineStr">
        <is>
          <t>https://www.satori.co.jp/english/history.html</t>
        </is>
      </c>
    </row>
    <row r="59" ht="45" customHeight="1">
      <c r="A59" s="353" t="n">
        <v>59</v>
      </c>
      <c r="B59" s="353" t="inlineStr">
        <is>
          <t>EUR-088</t>
        </is>
      </c>
      <c r="C59" s="353" t="inlineStr">
        <is>
          <t>Mabway</t>
        </is>
      </c>
      <c r="D59" s="353" t="inlineStr">
        <is>
          <t>EUR-029</t>
        </is>
      </c>
      <c r="E59" s="353" t="inlineStr">
        <is>
          <t>Mabway Ltd</t>
        </is>
      </c>
      <c r="F59" s="353" t="inlineStr">
        <is>
          <t>retain</t>
        </is>
      </c>
      <c r="G59" s="353" t="inlineStr">
        <is>
          <t>verified</t>
        </is>
      </c>
      <c r="H59" s="353" t="inlineStr">
        <is>
          <t>Retain; Calian reporting confirms completion in the second quarter on 9 May.</t>
        </is>
      </c>
      <c r="I59" s="353" t="inlineStr">
        <is>
          <t>Mabway provides defence training, simulation, operational support and technical services to armed-forces customers.</t>
        </is>
      </c>
      <c r="J59" s="353" t="inlineStr">
        <is>
          <t>Calian Q2 2024 results</t>
        </is>
      </c>
      <c r="K59" s="353" t="inlineStr">
        <is>
          <t>https://www.calian.com/news-media/calian-reports-record-results-for-the-second-quarter/</t>
        </is>
      </c>
    </row>
    <row r="60" ht="45" customHeight="1">
      <c r="A60" s="353" t="n">
        <v>60</v>
      </c>
      <c r="B60" s="353" t="inlineStr">
        <is>
          <t>EUR-072</t>
        </is>
      </c>
      <c r="C60" s="353" t="inlineStr">
        <is>
          <t>AD Industries</t>
        </is>
      </c>
      <c r="D60" s="353" t="inlineStr">
        <is>
          <t>EUR-030</t>
        </is>
      </c>
      <c r="E60" s="353" t="inlineStr">
        <is>
          <t>AD Industries SAS</t>
        </is>
      </c>
      <c r="F60" s="353" t="inlineStr">
        <is>
          <t>retain</t>
        </is>
      </c>
      <c r="G60" s="353" t="inlineStr">
        <is>
          <t>verified</t>
        </is>
      </c>
      <c r="H60" s="353" t="inlineStr">
        <is>
          <t>Correct completion date to 13 May and consideration to EUR30.3m plus potential EUR6m, not EUR45m plus EUR10m.</t>
        </is>
      </c>
      <c r="I60" s="353" t="inlineStr">
        <is>
          <t>Motherson describes AD Industries as a group manufacturing components mainly for aero engines, with a smaller healthcare activity.</t>
        </is>
      </c>
      <c r="J60" s="353" t="inlineStr">
        <is>
          <t>Motherson interim consolidated financial statements</t>
        </is>
      </c>
      <c r="K60" s="353" t="inlineStr">
        <is>
          <t>https://www.motherson.com/storage/Corporate%20Announcements/FY2024-25/Interim_condensed_consolidated_financial_statements.16.09.24.pdf</t>
        </is>
      </c>
    </row>
    <row r="61" ht="45" customHeight="1">
      <c r="A61" s="353" t="n">
        <v>61</v>
      </c>
      <c r="B61" s="353" t="inlineStr">
        <is>
          <t>EUR-019</t>
        </is>
      </c>
      <c r="C61" s="353" t="inlineStr">
        <is>
          <t>Sellier &amp; Bellot</t>
        </is>
      </c>
      <c r="D61" s="353" t="inlineStr">
        <is>
          <t>EUR-031</t>
        </is>
      </c>
      <c r="E61" s="353" t="inlineStr">
        <is>
          <t>Sellier &amp; Bellot a.s.</t>
        </is>
      </c>
      <c r="F61" s="353" t="inlineStr">
        <is>
          <t>retain</t>
        </is>
      </c>
      <c r="G61" s="353" t="inlineStr">
        <is>
          <t>verified</t>
        </is>
      </c>
      <c r="H61" s="353" t="inlineStr">
        <is>
          <t>Retain as completed acquisition of 100% of the shares.</t>
        </is>
      </c>
      <c r="I61" s="353" t="inlineStr">
        <is>
          <t>Sellier &amp; Bellot is an ammunition manufacturer serving military, law-enforcement and commercial markets; ammunition is its primary business.</t>
        </is>
      </c>
      <c r="J61" s="353" t="inlineStr">
        <is>
          <t>Colt CZ closing announcement</t>
        </is>
      </c>
      <c r="K61" s="353" t="inlineStr">
        <is>
          <t>https://www.coltczgroup.com/en/media-press-releases/Colt-CZ-Group-SE-announces-closing-of-the-acquisition-of-Sellier-Bellot</t>
        </is>
      </c>
    </row>
    <row r="62" ht="45" customHeight="1">
      <c r="A62" s="353" t="n">
        <v>62</v>
      </c>
      <c r="B62" s="353" t="inlineStr">
        <is>
          <t>EUR-147</t>
        </is>
      </c>
      <c r="C62" s="353" t="inlineStr">
        <is>
          <t>Steel Electronique</t>
        </is>
      </c>
      <c r="D62" s="353" t="inlineStr">
        <is>
          <t>EUR-033</t>
        </is>
      </c>
      <c r="E62" s="353" t="inlineStr">
        <is>
          <t>Steel Electronique SAS</t>
        </is>
      </c>
      <c r="F62" s="353" t="inlineStr">
        <is>
          <t>retain</t>
        </is>
      </c>
      <c r="G62" s="353" t="inlineStr">
        <is>
          <t>verified</t>
        </is>
      </c>
      <c r="H62" s="353" t="inlineStr">
        <is>
          <t>Replace simple divestiture description with a 100% contribution/share exchange; EUR5.7m is not a clean cash purchase price.</t>
        </is>
      </c>
      <c r="I62" s="353" t="inlineStr">
        <is>
          <t>Steel Electronique designs and manufactures embedded electronics for space and aerospace customers.</t>
        </is>
      </c>
      <c r="J62" s="353" t="inlineStr">
        <is>
          <t>ACTIA closing announcement and 2024 Annual Report</t>
        </is>
      </c>
      <c r="K62" s="353" t="inlineStr">
        <is>
          <t>https://investors.actia.com/en/actia-group-completes-the-merger-with-steel-electronique-2/</t>
        </is>
      </c>
    </row>
    <row r="63" ht="45" customHeight="1">
      <c r="A63" s="353" t="n">
        <v>63</v>
      </c>
      <c r="B63" s="353" t="inlineStr">
        <is>
          <t>EUR-168</t>
        </is>
      </c>
      <c r="C63" s="353" t="inlineStr">
        <is>
          <t>Interactive Technical Solutions</t>
        </is>
      </c>
      <c r="D63" s="353" t="inlineStr">
        <is>
          <t>EUR-034</t>
        </is>
      </c>
      <c r="E63" s="353" t="inlineStr">
        <is>
          <t>Interactive Technical Solutions Ltd</t>
        </is>
      </c>
      <c r="F63" s="353" t="inlineStr">
        <is>
          <t>retain</t>
        </is>
      </c>
      <c r="G63" s="353" t="inlineStr">
        <is>
          <t>verified</t>
        </is>
      </c>
      <c r="H63" s="353" t="inlineStr">
        <is>
          <t>Retain as a completed 100% acquisition of a defence-focused operating company.</t>
        </is>
      </c>
      <c r="I63" s="353" t="inlineStr">
        <is>
          <t>ITS provides technical support, integration and services for military vehicles to the UK Ministry of Defence and defence primes.</t>
        </is>
      </c>
      <c r="J63" s="353" t="inlineStr">
        <is>
          <t>Cohort acquisition announcement</t>
        </is>
      </c>
      <c r="K63" s="353" t="inlineStr">
        <is>
          <t>https://www.cohortplc.com/download_file/597/0</t>
        </is>
      </c>
    </row>
    <row r="64" ht="45" customHeight="1">
      <c r="A64" s="353" t="n">
        <v>64</v>
      </c>
      <c r="B64" s="353" t="inlineStr">
        <is>
          <t>EUR-076</t>
        </is>
      </c>
      <c r="C64" s="353" t="inlineStr">
        <is>
          <t>Inrotech</t>
        </is>
      </c>
      <c r="D64" s="353" t="inlineStr">
        <is>
          <t>N/A</t>
        </is>
      </c>
      <c r="E64" s="353" t="inlineStr">
        <is>
          <t>Inrotech</t>
        </is>
      </c>
      <c r="F64" s="353" t="inlineStr">
        <is>
          <t>exclude</t>
        </is>
      </c>
      <c r="G64" s="353" t="inlineStr">
        <is>
          <t>verified</t>
        </is>
      </c>
      <c r="H64" s="353" t="inlineStr">
        <is>
          <t>Exclude on strict sector scope.</t>
        </is>
      </c>
      <c r="I64" s="353" t="inlineStr">
        <is>
          <t>Inrotech provides automated welding systems mainly to shipbuilding, energy and heavy industry; it is not A&amp;D-primary.</t>
        </is>
      </c>
      <c r="J64" s="353" t="inlineStr">
        <is>
          <t>Lincoln Electric 2024 Form 10-K</t>
        </is>
      </c>
      <c r="K64" s="353" t="inlineStr">
        <is>
          <t>https://www.sec.gov/Archives/edgar/data/59527/000005952725000006/leco-20241231x10k.htm</t>
        </is>
      </c>
    </row>
    <row r="65" ht="45" customHeight="1">
      <c r="A65" s="353" t="n">
        <v>65</v>
      </c>
      <c r="B65" s="353" t="inlineStr">
        <is>
          <t>EUR-014</t>
        </is>
      </c>
      <c r="C65" s="353" t="inlineStr">
        <is>
          <t>Exosens (PAR: EXENS)</t>
        </is>
      </c>
      <c r="D65" s="353" t="inlineStr">
        <is>
          <t>EUR-035</t>
        </is>
      </c>
      <c r="E65" s="353" t="inlineStr">
        <is>
          <t>Exosens S.A.</t>
        </is>
      </c>
      <c r="F65" s="353" t="inlineStr">
        <is>
          <t>retain</t>
        </is>
      </c>
      <c r="G65" s="353" t="inlineStr">
        <is>
          <t>verified</t>
        </is>
      </c>
      <c r="H65" s="353" t="inlineStr">
        <is>
          <t>Correct IPO metrics: EUR402.5m final placement, 20,125,003 shares offered, 50,782,552 post-IPO shares and about EUR1.016bn market cap at the offer price.</t>
        </is>
      </c>
      <c r="I65" s="353" t="inlineStr">
        <is>
          <t>Exosens develops mission-critical amplification, detection and imaging devices, including night-vision technology for defence.</t>
        </is>
      </c>
      <c r="J65" s="353" t="inlineStr">
        <is>
          <t>Exosens IPO announcements</t>
        </is>
      </c>
      <c r="K65" s="353" t="inlineStr">
        <is>
          <t>https://www.exosens.com/news/exosens-increases-size-offering-context-its-initial-public-offering</t>
        </is>
      </c>
    </row>
    <row r="66" ht="45" customHeight="1">
      <c r="A66" s="353" t="n">
        <v>66</v>
      </c>
      <c r="B66" s="353" t="inlineStr">
        <is>
          <t>EUR-035</t>
        </is>
      </c>
      <c r="C66" s="353" t="inlineStr">
        <is>
          <t>Arquus</t>
        </is>
      </c>
      <c r="D66" s="353" t="inlineStr">
        <is>
          <t>EUR-036</t>
        </is>
      </c>
      <c r="E66" s="353" t="inlineStr">
        <is>
          <t>Arquus SAS</t>
        </is>
      </c>
      <c r="F66" s="353" t="inlineStr">
        <is>
          <t>retain</t>
        </is>
      </c>
      <c r="G66" s="353" t="inlineStr">
        <is>
          <t>verified</t>
        </is>
      </c>
      <c r="H66" s="353" t="inlineStr">
        <is>
          <t>Retain, but remove the unsupported EUR300m purchase-price claim.</t>
        </is>
      </c>
      <c r="I66" s="353" t="inlineStr">
        <is>
          <t>Arquus designs, manufactures and supports armoured and tactical military vehicles.</t>
        </is>
      </c>
      <c r="J66" s="353" t="inlineStr">
        <is>
          <t>Volvo Group closing announcement</t>
        </is>
      </c>
      <c r="K66" s="353" t="inlineStr">
        <is>
          <t>https://www.volvogroup.com/en/news-and-media/news/2024/jul/volvo-group-completes-divestment-of-arquus.html</t>
        </is>
      </c>
    </row>
    <row r="67" ht="45" customHeight="1">
      <c r="A67" s="353" t="n">
        <v>67</v>
      </c>
      <c r="B67" s="353" t="inlineStr">
        <is>
          <t>EUR-169</t>
        </is>
      </c>
      <c r="C67" s="353" t="inlineStr">
        <is>
          <t>Woodford Engineering Consultancy</t>
        </is>
      </c>
      <c r="D67" s="353" t="inlineStr">
        <is>
          <t>EUR-028</t>
        </is>
      </c>
      <c r="E67" s="353" t="inlineStr">
        <is>
          <t>Woodford Engineering Consultancy (UK) Ltd</t>
        </is>
      </c>
      <c r="F67" s="353" t="inlineStr">
        <is>
          <t>retain</t>
        </is>
      </c>
      <c r="G67" s="353" t="inlineStr">
        <is>
          <t>verified</t>
        </is>
      </c>
      <c r="H67" s="353" t="inlineStr">
        <is>
          <t>Correct acquisition date is 26 April 2024, not 8 July.</t>
        </is>
      </c>
      <c r="I67" s="353" t="inlineStr">
        <is>
          <t>Woodford is an aerospace engineering consultancy focused on aircraft design, certification and technical services.</t>
        </is>
      </c>
      <c r="J67" s="353" t="inlineStr">
        <is>
          <t>ALTEN 2024 Universal Registration Document</t>
        </is>
      </c>
      <c r="K67" s="353" t="inlineStr">
        <is>
          <t>https://www.alten.com/wp-content/uploads/2025/09/2024_Universal_Registration_Document-accessibility.pdf</t>
        </is>
      </c>
    </row>
    <row r="68" ht="45" customHeight="1">
      <c r="A68" s="353" t="n">
        <v>68</v>
      </c>
      <c r="B68" s="353" t="inlineStr">
        <is>
          <t>EUR-171</t>
        </is>
      </c>
      <c r="C68" s="353" t="inlineStr">
        <is>
          <t>Rockford Components</t>
        </is>
      </c>
      <c r="D68" s="353" t="inlineStr">
        <is>
          <t>EUR-037</t>
        </is>
      </c>
      <c r="E68" s="353" t="inlineStr">
        <is>
          <t>Rockford Components Holdings Ltd</t>
        </is>
      </c>
      <c r="F68" s="353" t="inlineStr">
        <is>
          <t>retain</t>
        </is>
      </c>
      <c r="G68" s="353" t="inlineStr">
        <is>
          <t>verified</t>
        </is>
      </c>
      <c r="H68" s="353" t="inlineStr">
        <is>
          <t>Retain. Replace SEK34m estimate with SEK18m fixed cash and separately disclose the conflicting official earn-out caps.</t>
        </is>
      </c>
      <c r="I68" s="353" t="inlineStr">
        <is>
          <t>AQ reports that Rockford manufactures wiring and electromechanical systems primarily for aerospace and defence customers.</t>
        </is>
      </c>
      <c r="J68" s="353" t="inlineStr">
        <is>
          <t>AQ Group Q2 and Q3 2024 reports</t>
        </is>
      </c>
      <c r="K68" s="353" t="inlineStr">
        <is>
          <t>https://www.aqgroup.com/download/4678-765F80FA4B1B365EBD697F2A8A0EEB1C/AQ-Group-Q2-2024.pdf</t>
        </is>
      </c>
    </row>
    <row r="69" ht="45" customHeight="1">
      <c r="A69" s="353" t="n">
        <v>69</v>
      </c>
      <c r="B69" s="353" t="inlineStr">
        <is>
          <t>EUR-101</t>
        </is>
      </c>
      <c r="C69" s="353" t="inlineStr">
        <is>
          <t>Air Control Entech</t>
        </is>
      </c>
      <c r="D69" s="353" t="inlineStr">
        <is>
          <t>N/A</t>
        </is>
      </c>
      <c r="E69" s="353" t="inlineStr">
        <is>
          <t>Air Control Entech</t>
        </is>
      </c>
      <c r="F69" s="353" t="inlineStr">
        <is>
          <t>exclude</t>
        </is>
      </c>
      <c r="G69" s="353" t="inlineStr">
        <is>
          <t>verified</t>
        </is>
      </c>
      <c r="H69" s="353" t="inlineStr">
        <is>
          <t>Exclude; 25 July was announcement and completion occurred in August 2024.</t>
        </is>
      </c>
      <c r="I69" s="353" t="inlineStr">
        <is>
          <t>Air Control Entech provides UAV and robotic inspection for oil, gas and energy assets; it is not A&amp;D-primary.</t>
        </is>
      </c>
      <c r="J69" s="353" t="inlineStr">
        <is>
          <t>ACE/SRJ announcement and ASX annual filing</t>
        </is>
      </c>
      <c r="K69" s="353" t="inlineStr">
        <is>
          <t>https://aircontrolentech.com/news/2024-07-25-srj-acquires-ace-to-bolster-energy-industry-offering</t>
        </is>
      </c>
    </row>
    <row r="70" ht="45" customHeight="1">
      <c r="A70" s="353" t="n">
        <v>70</v>
      </c>
      <c r="B70" s="353" t="inlineStr">
        <is>
          <t>EUR-102</t>
        </is>
      </c>
      <c r="C70" s="353" t="inlineStr">
        <is>
          <t>Teer Coatings</t>
        </is>
      </c>
      <c r="D70" s="353" t="inlineStr">
        <is>
          <t>N/A</t>
        </is>
      </c>
      <c r="E70" s="353" t="inlineStr">
        <is>
          <t>Teer Coatings</t>
        </is>
      </c>
      <c r="F70" s="353" t="inlineStr">
        <is>
          <t>exclude</t>
        </is>
      </c>
      <c r="G70" s="353" t="inlineStr">
        <is>
          <t>verified</t>
        </is>
      </c>
      <c r="H70" s="353" t="inlineStr">
        <is>
          <t>Exclude as diversified coatings technology.</t>
        </is>
      </c>
      <c r="I70" s="353" t="inlineStr">
        <is>
          <t>Teer Coatings serves mints, universities, medical, motorsport, aerospace and general industry; it is not A&amp;D-primary.</t>
        </is>
      </c>
      <c r="J70" s="353" t="inlineStr">
        <is>
          <t>Judges Scientific interim report and corporate profile</t>
        </is>
      </c>
      <c r="K70" s="353" t="inlineStr">
        <is>
          <t>https://judges.uk.com/__assets__/WebPages/00075/Judges-Scientific-Group-interim-stats-2024-Website-version.pdf</t>
        </is>
      </c>
    </row>
    <row r="71" ht="45" customHeight="1">
      <c r="A71" s="353" t="n">
        <v>71</v>
      </c>
      <c r="B71" s="353" t="inlineStr">
        <is>
          <t>EUR-192</t>
        </is>
      </c>
      <c r="C71" s="353" t="inlineStr">
        <is>
          <t>Composite Design Sweden</t>
        </is>
      </c>
      <c r="D71" s="353" t="inlineStr">
        <is>
          <t>N/A</t>
        </is>
      </c>
      <c r="E71" s="353" t="inlineStr">
        <is>
          <t>Composite Design Sweden</t>
        </is>
      </c>
      <c r="F71" s="353" t="inlineStr">
        <is>
          <t>exclude</t>
        </is>
      </c>
      <c r="G71" s="353" t="inlineStr">
        <is>
          <t>verified</t>
        </is>
      </c>
      <c r="H71" s="353" t="inlineStr">
        <is>
          <t>Exclude; transaction covered brand, customer register, machinery, inventory and personnel, not a full legal-company acquisition.</t>
        </is>
      </c>
      <c r="I71" s="353" t="inlineStr">
        <is>
          <t>Composite Design Sweden is a multi-sector composites supplier; available evidence does not establish A&amp;D primacy.</t>
        </is>
      </c>
      <c r="J71" s="353" t="inlineStr">
        <is>
          <t>Marstrom/Scandinavian Astor Group filing</t>
        </is>
      </c>
      <c r="K71" s="353" t="inlineStr">
        <is>
          <t>https://mb.cision.com/Main/22055/4136792/3393574.pdf</t>
        </is>
      </c>
    </row>
    <row r="72" ht="45" customHeight="1">
      <c r="A72" s="353" t="n">
        <v>72</v>
      </c>
      <c r="B72" s="353" t="inlineStr">
        <is>
          <t>EUR-104</t>
        </is>
      </c>
      <c r="C72" s="353" t="inlineStr">
        <is>
          <t>GEM elettronica</t>
        </is>
      </c>
      <c r="D72" s="353" t="inlineStr">
        <is>
          <t>EUR-041</t>
        </is>
      </c>
      <c r="E72" s="353" t="inlineStr">
        <is>
          <t>GEM elettronica S.r.l.</t>
        </is>
      </c>
      <c r="F72" s="353" t="inlineStr">
        <is>
          <t>retain</t>
        </is>
      </c>
      <c r="G72" s="353" t="inlineStr">
        <is>
          <t>verified</t>
        </is>
      </c>
      <c r="H72" s="353" t="inlineStr">
        <is>
          <t>Correct structure from full acquisition to a 35% top-up that increased Leonardo's holding from 30% to 65% and conferred control.</t>
        </is>
      </c>
      <c r="I72" s="353" t="inlineStr">
        <is>
          <t>GEM develops naval and coastal surveillance radars, sensors and defence electronics.</t>
        </is>
      </c>
      <c r="J72" s="353" t="inlineStr">
        <is>
          <t>Leonardo closing announcement</t>
        </is>
      </c>
      <c r="K72" s="353" t="inlineStr">
        <is>
          <t>https://www.leonardo.com/documents/15646808/29153006/ComLDO_Closing%2BGEM_ENG.pdf?t=1727108001697</t>
        </is>
      </c>
    </row>
    <row r="73" ht="45" customHeight="1">
      <c r="A73" s="353" t="n">
        <v>73</v>
      </c>
      <c r="B73" s="353" t="inlineStr">
        <is>
          <t>EUR-116</t>
        </is>
      </c>
      <c r="C73" s="353" t="inlineStr">
        <is>
          <t>Bolab Systems</t>
        </is>
      </c>
      <c r="D73" s="353" t="inlineStr">
        <is>
          <t>N/A</t>
        </is>
      </c>
      <c r="E73" s="353" t="inlineStr">
        <is>
          <t>Bolab Systems</t>
        </is>
      </c>
      <c r="F73" s="353" t="inlineStr">
        <is>
          <t>exclude</t>
        </is>
      </c>
      <c r="G73" s="353" t="inlineStr">
        <is>
          <t>verified</t>
        </is>
      </c>
      <c r="H73" s="353" t="inlineStr">
        <is>
          <t>Exclude; the dataset description overstates A&amp;D exposure.</t>
        </is>
      </c>
      <c r="I73" s="353" t="inlineStr">
        <is>
          <t>Bolab is a specialist in automotive power-electronics testing, not an aerospace or defence technology company.</t>
        </is>
      </c>
      <c r="J73" s="353" t="inlineStr">
        <is>
          <t>AB Dynamics acquisition announcement</t>
        </is>
      </c>
      <c r="K73" s="353" t="inlineStr">
        <is>
          <t>https://www.abdplc.com/news/acquisition-bolab-systems/</t>
        </is>
      </c>
    </row>
    <row r="74" ht="45" customHeight="1">
      <c r="A74" s="353" t="n">
        <v>74</v>
      </c>
      <c r="B74" s="353" t="inlineStr">
        <is>
          <t>EUR-054</t>
        </is>
      </c>
      <c r="C74" s="353" t="inlineStr">
        <is>
          <t>Tess-Defence</t>
        </is>
      </c>
      <c r="D74" s="353" t="inlineStr">
        <is>
          <t>EUR-059</t>
        </is>
      </c>
      <c r="E74" s="353" t="inlineStr">
        <is>
          <t>Tess-Defence</t>
        </is>
      </c>
      <c r="F74" s="353" t="inlineStr">
        <is>
          <t>replace</t>
        </is>
      </c>
      <c r="G74" s="353" t="inlineStr">
        <is>
          <t>verified</t>
        </is>
      </c>
      <c r="H74" s="353" t="inlineStr">
        <is>
          <t>Move to 2025: the 2024 entry was an agreement; the 26.34% incremental purchase completed on 13 June 2025 and raised Indra's ownership to 51.01% control. Promoted to the completed population because the transaction legally closed by the 2026-08-02 cutoff.</t>
        </is>
      </c>
      <c r="I74" s="353" t="inlineStr">
        <is>
          <t>TESS Defence is a core Spanish defence land-systems joint venture, but no qualifying 2024 completion occurred.</t>
        </is>
      </c>
      <c r="J74" s="353" t="inlineStr">
        <is>
          <t>Indra 2025 closing announcement</t>
        </is>
      </c>
      <c r="K74" s="353" t="inlineStr">
        <is>
          <t>https://www.indragroup.com/en/news/indra-acquires-majority-stake-tess-defence</t>
        </is>
      </c>
    </row>
    <row r="75" ht="45" customHeight="1">
      <c r="A75" s="353" t="n">
        <v>75</v>
      </c>
      <c r="B75" s="353" t="inlineStr">
        <is>
          <t>EUR-121</t>
        </is>
      </c>
      <c r="C75" s="353" t="inlineStr">
        <is>
          <t>Otesat-Maritel</t>
        </is>
      </c>
      <c r="D75" s="353" t="inlineStr">
        <is>
          <t>N/A</t>
        </is>
      </c>
      <c r="E75" s="353" t="inlineStr">
        <is>
          <t>Otesat-Maritel</t>
        </is>
      </c>
      <c r="F75" s="353" t="inlineStr">
        <is>
          <t>exclude</t>
        </is>
      </c>
      <c r="G75" s="353" t="inlineStr">
        <is>
          <t>verified</t>
        </is>
      </c>
      <c r="H75" s="353" t="inlineStr">
        <is>
          <t>Exclude; all shares transferred on 9 September 2024, not 7 October.</t>
        </is>
      </c>
      <c r="I75" s="353" t="inlineStr">
        <is>
          <t>Otesat-Maritel is a commercial maritime satellite-communications provider; A&amp;D is not its primary market.</t>
        </is>
      </c>
      <c r="J75" s="353" t="inlineStr">
        <is>
          <t>Orbyt-Maritel 2024 Annual Report</t>
        </is>
      </c>
      <c r="K75" s="353" t="inlineStr">
        <is>
          <t>https://www.orbyt-maritel.com/media/inlinepics/Annual-Reports-and-Financial-Statements-2024.pdf</t>
        </is>
      </c>
    </row>
    <row r="76" ht="45" customHeight="1">
      <c r="A76" s="353" t="n">
        <v>76</v>
      </c>
      <c r="B76" s="353" t="inlineStr">
        <is>
          <t>EUR-133</t>
        </is>
      </c>
      <c r="C76" s="353" t="inlineStr">
        <is>
          <t>Al-Met</t>
        </is>
      </c>
      <c r="D76" s="353" t="inlineStr">
        <is>
          <t>N/A</t>
        </is>
      </c>
      <c r="E76" s="353" t="inlineStr">
        <is>
          <t>Al-Met</t>
        </is>
      </c>
      <c r="F76" s="353" t="inlineStr">
        <is>
          <t>exclude</t>
        </is>
      </c>
      <c r="G76" s="353" t="inlineStr">
        <is>
          <t>verified</t>
        </is>
      </c>
      <c r="H76" s="353" t="inlineStr">
        <is>
          <t>Exclude; it was one component of the PMC division sale completed 8 October 2024, not a standalone A&amp;D acquisition on 9 October.</t>
        </is>
      </c>
      <c r="I76" s="353" t="inlineStr">
        <is>
          <t>Al-Met supplies valve materials mainly to oil, gas, petrochemical and power customers, with defence only one end market.</t>
        </is>
      </c>
      <c r="J76" s="353" t="inlineStr">
        <is>
          <t>Pressure Technologies FY2024 Annual Report</t>
        </is>
      </c>
      <c r="K76" s="353" t="inlineStr">
        <is>
          <t>https://www.pressuretechnologies.com/wp-content/uploads/2025/02/Pressure-Technologies-plc-Annual-Report-and-Accounts-FY24.pdf</t>
        </is>
      </c>
    </row>
    <row r="77" ht="45" customHeight="1">
      <c r="A77" s="353" t="n">
        <v>77</v>
      </c>
      <c r="B77" s="353" t="inlineStr">
        <is>
          <t>EUR-177</t>
        </is>
      </c>
      <c r="C77" s="353" t="inlineStr">
        <is>
          <t>Defence Holdings (LON: ALRT)</t>
        </is>
      </c>
      <c r="D77" s="353" t="inlineStr">
        <is>
          <t>N/A</t>
        </is>
      </c>
      <c r="E77" s="353" t="inlineStr">
        <is>
          <t>Guild Esports operating assets</t>
        </is>
      </c>
      <c r="F77" s="353" t="inlineStr">
        <is>
          <t>exclude</t>
        </is>
      </c>
      <c r="G77" s="353" t="inlineStr">
        <is>
          <t>verified</t>
        </is>
      </c>
      <c r="H77" s="353" t="inlineStr">
        <is>
          <t>Remove as a false target identity, sector, structure, date and value entry.</t>
        </is>
      </c>
      <c r="I77" s="353" t="inlineStr">
        <is>
          <t>At completion the business was esports/media, not Defence Holdings or an A&amp;D technology company; the listed shell adopted the Defence Holdings name only in 2025.</t>
        </is>
      </c>
      <c r="J77" s="353" t="inlineStr">
        <is>
          <t>Guild Esports regulated completion announcement</t>
        </is>
      </c>
      <c r="K77" s="353" t="inlineStr">
        <is>
          <t>https://www.lse.co.uk/rns/completion-of-the-asset-acquisition-by-dcb-sports-xbh6qw272txlx57.html</t>
        </is>
      </c>
    </row>
    <row r="78" ht="45" customHeight="1">
      <c r="A78" s="353" t="n">
        <v>78</v>
      </c>
      <c r="B78" s="353" t="inlineStr">
        <is>
          <t>EUR-105</t>
        </is>
      </c>
      <c r="C78" s="353" t="inlineStr">
        <is>
          <t>Steyr Motors (ETR: 4X0)</t>
        </is>
      </c>
      <c r="D78" s="353" t="inlineStr">
        <is>
          <t>EUR-044</t>
        </is>
      </c>
      <c r="E78" s="353" t="inlineStr">
        <is>
          <t>Steyr Motors AG</t>
        </is>
      </c>
      <c r="F78" s="353" t="inlineStr">
        <is>
          <t>retain</t>
        </is>
      </c>
      <c r="G78" s="353" t="inlineStr">
        <is>
          <t>verified</t>
        </is>
      </c>
      <c r="H78" s="353" t="inlineStr">
        <is>
          <t>Label as private-placement/Scale listing; correct shares outstanding to 5,200,000 and first-price market cap to EUR82.68m.</t>
        </is>
      </c>
      <c r="I78" s="353" t="inlineStr">
        <is>
          <t>Steyr Motors manufactures high-performance engines with a material and primary focus on military vehicles, boats and auxiliary-power systems.</t>
        </is>
      </c>
      <c r="J78" s="353" t="inlineStr">
        <is>
          <t>Deutsche Börse new-company statistics</t>
        </is>
      </c>
      <c r="K78" s="353" t="inlineStr">
        <is>
          <t>https://www.cashmarket.deutsche-boerse.com/cash-en/Data-Tech/statistics/New-Companies/Steyr-Motors-AG-4158938</t>
        </is>
      </c>
    </row>
    <row r="79" ht="45" customHeight="1">
      <c r="A79" s="353" t="n">
        <v>79</v>
      </c>
      <c r="B79" s="353" t="inlineStr">
        <is>
          <t>EUR-128</t>
        </is>
      </c>
      <c r="C79" s="353" t="inlineStr">
        <is>
          <t>Phoenix Optical Technologies</t>
        </is>
      </c>
      <c r="D79" s="353" t="inlineStr">
        <is>
          <t>N/A</t>
        </is>
      </c>
      <c r="E79" s="353" t="inlineStr">
        <is>
          <t>Phoenix Optical Technologies</t>
        </is>
      </c>
      <c r="F79" s="353" t="inlineStr">
        <is>
          <t>exclude</t>
        </is>
      </c>
      <c r="G79" s="353" t="inlineStr">
        <is>
          <t>unresolved</t>
        </is>
      </c>
      <c r="H79" s="353" t="inlineStr">
        <is>
          <t>Exclude conservatively under the strict primary-business rule.</t>
        </is>
      </c>
      <c r="I79" s="353" t="inlineStr">
        <is>
          <t>Phoenix supplies precision optics to defence primes but also aerospace, space, industrial, medical and research markets; no source-closed revenue mix establishes A&amp;D primacy.</t>
        </is>
      </c>
      <c r="J79" s="353" t="inlineStr">
        <is>
          <t>Gooch &amp; Housego RNS</t>
        </is>
      </c>
      <c r="K79" s="353" t="inlineStr">
        <is>
          <t>https://www.investegate.co.uk/announcement/rns/gooch-housego--ghh/acquisition-of-phoenix-optical-/8517168</t>
        </is>
      </c>
    </row>
    <row r="80" ht="45" customHeight="1">
      <c r="A80" s="353" t="n">
        <v>80</v>
      </c>
      <c r="B80" s="353" t="inlineStr">
        <is>
          <t>EUR-099</t>
        </is>
      </c>
      <c r="C80" s="353" t="inlineStr">
        <is>
          <t>Geosat Satélites</t>
        </is>
      </c>
      <c r="D80" s="353" t="inlineStr">
        <is>
          <t>EUR-045</t>
        </is>
      </c>
      <c r="E80" s="353" t="inlineStr">
        <is>
          <t>Elecnor Deimos / Deimos Space</t>
        </is>
      </c>
      <c r="F80" s="353" t="inlineStr">
        <is>
          <t>replace</t>
        </is>
      </c>
      <c r="G80" s="353" t="inlineStr">
        <is>
          <t>verified</t>
        </is>
      </c>
      <c r="H80" s="353" t="inlineStr">
        <is>
          <t>Replace Geosat Satélites with the actual acquired target, Elecnor Deimos/Deimos Space.</t>
        </is>
      </c>
      <c r="I80" s="353" t="inlineStr">
        <is>
          <t>Deimos develops satellites, mission systems, flight dynamics, Earth-observation and space-domain technology.</t>
        </is>
      </c>
      <c r="J80" s="353" t="inlineStr">
        <is>
          <t>Indra closing announcement</t>
        </is>
      </c>
      <c r="K80" s="353" t="inlineStr">
        <is>
          <t>https://www.indragroup.com/en/news/indra-completes-acquisition-deimos</t>
        </is>
      </c>
    </row>
    <row r="81" ht="45" customHeight="1">
      <c r="A81" s="353" t="n">
        <v>81</v>
      </c>
      <c r="B81" s="353" t="inlineStr">
        <is>
          <t>EUR-052</t>
        </is>
      </c>
      <c r="C81" s="353" t="inlineStr">
        <is>
          <t>DMV</t>
        </is>
      </c>
      <c r="D81" s="353" t="inlineStr">
        <is>
          <t>N/A</t>
        </is>
      </c>
      <c r="E81" s="353" t="inlineStr">
        <is>
          <t>Mannesmann Stainless Tubes Group</t>
        </is>
      </c>
      <c r="F81" s="353" t="inlineStr">
        <is>
          <t>exclude</t>
        </is>
      </c>
      <c r="G81" s="353" t="inlineStr">
        <is>
          <t>unresolved</t>
        </is>
      </c>
      <c r="H81" s="353" t="inlineStr">
        <is>
          <t>Exclude and rename target; exact completion day and final consideration were not source-closed.</t>
        </is>
      </c>
      <c r="I81" s="353" t="inlineStr">
        <is>
          <t>The business produces seamless stainless and nickel-alloy tubes mainly for power, chemical and petrochemical applications, not A&amp;D-primary.</t>
        </is>
      </c>
      <c r="J81" s="353" t="inlineStr">
        <is>
          <t>Salzgitter divestiture announcement</t>
        </is>
      </c>
      <c r="K81" s="353" t="inlineStr">
        <is>
          <t>https://www.salzgitter-ag.com/en/newsroom/press-releases/details/salzgitter-ag-sells-mannesmann-stainless-tubes-group-to-cogne-acciai-speciali-21487.html</t>
        </is>
      </c>
    </row>
    <row r="82" ht="45" customHeight="1">
      <c r="A82" s="353" t="n">
        <v>82</v>
      </c>
      <c r="B82" s="353" t="inlineStr">
        <is>
          <t>EUR-134</t>
        </is>
      </c>
      <c r="C82" s="353" t="inlineStr">
        <is>
          <t>Roota Engineering</t>
        </is>
      </c>
      <c r="D82" s="353" t="inlineStr">
        <is>
          <t>N/A</t>
        </is>
      </c>
      <c r="E82" s="353" t="inlineStr">
        <is>
          <t>Roota Engineering</t>
        </is>
      </c>
      <c r="F82" s="353" t="inlineStr">
        <is>
          <t>exclude</t>
        </is>
      </c>
      <c r="G82" s="353" t="inlineStr">
        <is>
          <t>verified</t>
        </is>
      </c>
      <c r="H82" s="353" t="inlineStr">
        <is>
          <t>Exclude; this duplicates part of the same PMC division transaction as Al-Met, completed 8 October 2024.</t>
        </is>
      </c>
      <c r="I82" s="353" t="inlineStr">
        <is>
          <t>Roota is part of a precision-machined-components division serving oil and gas, nuclear, petrochemical and other sectors; defence is not primary.</t>
        </is>
      </c>
      <c r="J82" s="353" t="inlineStr">
        <is>
          <t>Pressure Technologies FY2024 Annual Report</t>
        </is>
      </c>
      <c r="K82" s="353" t="inlineStr">
        <is>
          <t>https://www.pressuretechnologies.com/wp-content/uploads/2025/02/Pressure-Technologies-plc-Annual-Report-and-Accounts-FY24.pdf</t>
        </is>
      </c>
    </row>
    <row r="83" ht="45" customHeight="1">
      <c r="A83" s="353" t="n">
        <v>83</v>
      </c>
      <c r="B83" s="353" t="inlineStr">
        <is>
          <t>EUR-075</t>
        </is>
      </c>
      <c r="C83" s="353" t="inlineStr">
        <is>
          <t>Clue Tech</t>
        </is>
      </c>
      <c r="D83" s="353" t="inlineStr">
        <is>
          <t>EUR-047</t>
        </is>
      </c>
      <c r="E83" s="353" t="inlineStr">
        <is>
          <t>Clue Technologies S.L.</t>
        </is>
      </c>
      <c r="F83" s="353" t="inlineStr">
        <is>
          <t>retain</t>
        </is>
      </c>
      <c r="G83" s="353" t="inlineStr">
        <is>
          <t>verified</t>
        </is>
      </c>
      <c r="H83" s="353" t="inlineStr">
        <is>
          <t>Retain; relabel approximately EUR40m as aggregate estimated consideration including contingent liability.</t>
        </is>
      </c>
      <c r="I83" s="353" t="inlineStr">
        <is>
          <t>Clue develops avionics, embedded electronics and aerospace systems for aircraft and defence applications.</t>
        </is>
      </c>
      <c r="J83" s="353" t="inlineStr">
        <is>
          <t>Indra 2024 Annual Report</t>
        </is>
      </c>
      <c r="K83" s="353" t="inlineStr">
        <is>
          <t>https://www.indragroup.com/sites/default/files/memoria_grupo_indra_eng.pdf</t>
        </is>
      </c>
    </row>
    <row r="84" ht="45" customHeight="1">
      <c r="A84" s="353" t="n">
        <v>84</v>
      </c>
      <c r="B84" s="353" t="inlineStr">
        <is>
          <t>EUR-049</t>
        </is>
      </c>
      <c r="C84" s="353" t="inlineStr">
        <is>
          <t>Piezocryst Advanced Sensorics</t>
        </is>
      </c>
      <c r="D84" s="353" t="inlineStr">
        <is>
          <t>N/A</t>
        </is>
      </c>
      <c r="E84" s="353" t="inlineStr">
        <is>
          <t>Piezocryst Advanced Sensorics</t>
        </is>
      </c>
      <c r="F84" s="353" t="inlineStr">
        <is>
          <t>exclude</t>
        </is>
      </c>
      <c r="G84" s="353" t="inlineStr">
        <is>
          <t>verified</t>
        </is>
      </c>
      <c r="H84" s="353" t="inlineStr">
        <is>
          <t>Exclude. Official consideration was EUR133.5m; do not present a converted USD figure as the native price.</t>
        </is>
      </c>
      <c r="I84" s="353" t="inlineStr">
        <is>
          <t>Piezocryst supplies piezoelectric sensors across automotive, energy, industrial and aerospace/defence applications; it is not A&amp;D-primary.</t>
        </is>
      </c>
      <c r="J84" s="353" t="inlineStr">
        <is>
          <t>Spectris acquisition release and scheme document</t>
        </is>
      </c>
      <c r="K84" s="353" t="inlineStr">
        <is>
          <t>https://www.spectris.com/our-group/newsroom/acquisition-of-piezocryst/</t>
        </is>
      </c>
    </row>
    <row r="85" ht="45" customHeight="1">
      <c r="A85" s="353" t="n">
        <v>85</v>
      </c>
      <c r="B85" s="353" t="inlineStr">
        <is>
          <t>EUR-174</t>
        </is>
      </c>
      <c r="C85" s="353" t="inlineStr">
        <is>
          <t>TEMMA (Core Business)</t>
        </is>
      </c>
      <c r="D85" s="353" t="inlineStr">
        <is>
          <t>N/A</t>
        </is>
      </c>
      <c r="E85" s="353" t="inlineStr">
        <is>
          <t>TEMMA core operating business</t>
        </is>
      </c>
      <c r="F85" s="353" t="inlineStr">
        <is>
          <t>exclude</t>
        </is>
      </c>
      <c r="G85" s="353" t="inlineStr">
        <is>
          <t>unresolved</t>
        </is>
      </c>
      <c r="H85" s="353" t="inlineStr">
        <is>
          <t>Exclude conservatively; correct completion date is 10 December and structure is an operating-business acquisition.</t>
        </is>
      </c>
      <c r="I85" s="353" t="inlineStr">
        <is>
          <t>TEMMA serves defence, aviation, telecommunications and power customers; evidence does not establish A&amp;D as the primary business.</t>
        </is>
      </c>
      <c r="J85" s="353" t="inlineStr">
        <is>
          <t>Petros Petropoulos ATHEX filing</t>
        </is>
      </c>
      <c r="K85" s="353" t="inlineStr">
        <is>
          <t>https://www.athexgroup.gr/sites/default/files/hermes/2024-12/a918988e-1333-46b9-9c0a-a82eed257d49/752_10559_2024_Greek_1.pdf</t>
        </is>
      </c>
    </row>
    <row r="86" ht="45" customHeight="1">
      <c r="A86" s="353" t="n">
        <v>86</v>
      </c>
      <c r="B86" s="353" t="inlineStr">
        <is>
          <t>EUR-131</t>
        </is>
      </c>
      <c r="C86" s="353" t="inlineStr">
        <is>
          <t>Odyssée Technologies Group (PAR: ALODY)</t>
        </is>
      </c>
      <c r="D86" s="353" t="inlineStr">
        <is>
          <t>EUR-048</t>
        </is>
      </c>
      <c r="E86" s="353" t="inlineStr">
        <is>
          <t>Odyssée Technologies Group S.A.</t>
        </is>
      </c>
      <c r="F86" s="353" t="inlineStr">
        <is>
          <t>retain</t>
        </is>
      </c>
      <c r="G86" s="353" t="inlineStr">
        <is>
          <t>verified</t>
        </is>
      </c>
      <c r="H86" s="353" t="inlineStr">
        <is>
          <t>Retain; fill the missing post-offering outstanding-share count with 1,615,384.</t>
        </is>
      </c>
      <c r="I86" s="353" t="inlineStr">
        <is>
          <t>Odyssée is a precision-engineering group positioned as a strategic supplier to aerospace, defence and space customers, with energy as an additional end market.</t>
        </is>
      </c>
      <c r="J86" s="353" t="inlineStr">
        <is>
          <t>Euronext listing announcement</t>
        </is>
      </c>
      <c r="K86" s="353" t="inlineStr">
        <is>
          <t>https://www.euronext.com/en/about/media/euronext-press-releases/odyssee-technologies-lists-euronext-growth</t>
        </is>
      </c>
    </row>
    <row r="87" ht="45" customHeight="1">
      <c r="A87" s="353" t="n">
        <v>87</v>
      </c>
      <c r="B87" s="353" t="inlineStr">
        <is>
          <t>EUR-194</t>
        </is>
      </c>
      <c r="C87" s="353" t="inlineStr">
        <is>
          <t>Rotors &amp; Cams</t>
        </is>
      </c>
      <c r="D87" s="353" t="inlineStr">
        <is>
          <t>N/A</t>
        </is>
      </c>
      <c r="E87" s="353" t="inlineStr">
        <is>
          <t>Rotors &amp; Cams</t>
        </is>
      </c>
      <c r="F87" s="353" t="inlineStr">
        <is>
          <t>exclude</t>
        </is>
      </c>
      <c r="G87" s="353" t="inlineStr">
        <is>
          <t>unresolved</t>
        </is>
      </c>
      <c r="H87" s="353" t="inlineStr">
        <is>
          <t>Exclude conservatively. The event was a 31% top-up to majority control, not a minority-only transaction or full acquisition.</t>
        </is>
      </c>
      <c r="I87" s="353" t="inlineStr">
        <is>
          <t>Rotors &amp; Cams develops custom UAVs for broad industrial, mapping, agriculture and disaster-relief uses and has developed one air-defence target drone; A&amp;D primacy is not established.</t>
        </is>
      </c>
      <c r="J87" s="353" t="inlineStr">
        <is>
          <t>4iG extraordinary announcement</t>
        </is>
      </c>
      <c r="K87" s="353" t="inlineStr">
        <is>
          <t>https://www.4ig.hu/4ig-plc_-extraordinary-announcement---2024_12_20_</t>
        </is>
      </c>
    </row>
    <row r="88" ht="45" customHeight="1">
      <c r="A88" s="353" t="n">
        <v>88</v>
      </c>
      <c r="B88" s="353" t="inlineStr">
        <is>
          <t>EUR-043</t>
        </is>
      </c>
      <c r="C88" s="353" t="inlineStr">
        <is>
          <t>Ultra Energy (Electronic Equipment and Instruments)</t>
        </is>
      </c>
      <c r="D88" s="353" t="inlineStr">
        <is>
          <t>N/A</t>
        </is>
      </c>
      <c r="E88" s="353" t="inlineStr">
        <is>
          <t>Ultra Energy (Ultra Nuclear Limited and Weed Instrument Co., Inc.)</t>
        </is>
      </c>
      <c r="F88" s="353" t="inlineStr">
        <is>
          <t>exclude</t>
        </is>
      </c>
      <c r="G88" s="353" t="inlineStr">
        <is>
          <t>verified</t>
        </is>
      </c>
      <c r="H88" s="353" t="inlineStr">
        <is>
          <t>Exclude under strict A&amp;D-primary scope despite the transaction itself being correctly dated and completed.</t>
        </is>
      </c>
      <c r="I88" s="353" t="inlineStr">
        <is>
          <t>Curtiss-Wright classifies Ultra Energy primarily within commercial nuclear; aerospace and defence are secondary supporting markets.</t>
        </is>
      </c>
      <c r="J88" s="353" t="inlineStr">
        <is>
          <t>Curtiss-Wright 2024 Form 10-K and Annual Report</t>
        </is>
      </c>
      <c r="K88" s="353" t="inlineStr">
        <is>
          <t>https://curtisswright.com/sites/default/files/Investor-Relations/annual-report/2024/2024.12.31-10K_Final.pdf</t>
        </is>
      </c>
    </row>
    <row r="89" ht="45" customHeight="1">
      <c r="A89" s="353" t="n">
        <v>89</v>
      </c>
      <c r="B89" s="353" t="inlineStr">
        <is>
          <t>EUR-057</t>
        </is>
      </c>
      <c r="C89" s="353" t="inlineStr">
        <is>
          <t>JAI (Electronic Components)</t>
        </is>
      </c>
      <c r="D89" s="353" t="inlineStr">
        <is>
          <t>N/A</t>
        </is>
      </c>
      <c r="E89" s="353" t="inlineStr">
        <is>
          <t>JAI</t>
        </is>
      </c>
      <c r="F89" s="353" t="inlineStr">
        <is>
          <t>exclude</t>
        </is>
      </c>
      <c r="G89" s="353" t="inlineStr">
        <is>
          <t>verified</t>
        </is>
      </c>
      <c r="H89" s="353" t="inlineStr">
        <is>
          <t>Exclude under the strict core-A&amp;D-primary test. Exact closing day was not independently established from the cited retrospective.</t>
        </is>
      </c>
      <c r="I89" s="353" t="inlineStr">
        <is>
          <t>Industrial machine-vision cameras serve many manufacturing markets; aerospace and security are applications, not the company's primary sector.</t>
        </is>
      </c>
      <c r="J89" s="353" t="inlineStr">
        <is>
          <t>LUSTER LightTech</t>
        </is>
      </c>
      <c r="K89" s="353" t="inlineStr">
        <is>
          <t>https://en.lusterinc.com/indexnews/news/2026-new-year-message.html</t>
        </is>
      </c>
    </row>
    <row r="90" ht="45" customHeight="1">
      <c r="A90" s="353" t="n">
        <v>90</v>
      </c>
      <c r="B90" s="353" t="inlineStr">
        <is>
          <t>EUR-062</t>
        </is>
      </c>
      <c r="C90" s="353" t="inlineStr">
        <is>
          <t>Halo Group Holdings Realisations</t>
        </is>
      </c>
      <c r="D90" s="353" t="inlineStr">
        <is>
          <t>N/A</t>
        </is>
      </c>
      <c r="E90" s="353" t="inlineStr">
        <is>
          <t>Harland &amp; Wolff business and four shipyards</t>
        </is>
      </c>
      <c r="F90" s="353" t="inlineStr">
        <is>
          <t>exclude</t>
        </is>
      </c>
      <c r="G90" s="353" t="inlineStr">
        <is>
          <t>verified</t>
        </is>
      </c>
      <c r="H90" s="353" t="inlineStr">
        <is>
          <t>Exclude under the strict policy: the acquired perimeter comprised four mixed-use shipyard and fabrication operations spanning defence, commercial maritime and clean energy; primary A&amp;D-technology status is not established.</t>
        </is>
      </c>
      <c r="I90" s="353" t="inlineStr">
        <is>
          <t>The acquired operating shipyards provide naval shipbuilding and support central to the UK Fleet Solid Support programme.</t>
        </is>
      </c>
      <c r="J90" s="353" t="inlineStr">
        <is>
          <t>Navantia</t>
        </is>
      </c>
      <c r="K90" s="353" t="inlineStr">
        <is>
          <t>https://www.navantia.es/en/news/press-releases/navantia-uk-completes-acquisition-of-harland-wolff/</t>
        </is>
      </c>
    </row>
    <row r="91" ht="45" customHeight="1">
      <c r="A91" s="353" t="n">
        <v>91</v>
      </c>
      <c r="B91" s="353" t="inlineStr">
        <is>
          <t>EUR-018</t>
        </is>
      </c>
      <c r="C91" s="353" t="inlineStr">
        <is>
          <t>The Qioptiq Group</t>
        </is>
      </c>
      <c r="D91" s="353" t="inlineStr">
        <is>
          <t>EUR-050</t>
        </is>
      </c>
      <c r="E91" s="353" t="inlineStr">
        <is>
          <t>Excelitas aerospace and defence electronics businesses, including Qioptiq</t>
        </is>
      </c>
      <c r="F91" s="353" t="inlineStr">
        <is>
          <t>replace</t>
        </is>
      </c>
      <c r="G91" s="353" t="inlineStr">
        <is>
          <t>verified</t>
        </is>
      </c>
      <c r="H91" s="353" t="inlineStr">
        <is>
          <t>Use the carve-out perimeter rather than implying acquisition of the entire Qioptiq group; normalize value to buyer's approximately $710m.</t>
        </is>
      </c>
      <c r="I91" s="353" t="inlineStr">
        <is>
          <t>The acquired businesses manufacture high-performance electronics and optics specifically for aerospace and defence applications.</t>
        </is>
      </c>
      <c r="J91" s="353" t="inlineStr">
        <is>
          <t>Teledyne Technologies</t>
        </is>
      </c>
      <c r="K91" s="353" t="inlineStr">
        <is>
          <t>https://www.teledyne.com/en-us/news/Pages/teledyne-completes-acquisition-of-select-aerospace-and-defense-electronics-businesses-of-excelitas.aspx</t>
        </is>
      </c>
    </row>
    <row r="92" ht="45" customHeight="1">
      <c r="A92" s="353" t="n">
        <v>92</v>
      </c>
      <c r="B92" s="353" t="inlineStr">
        <is>
          <t>EUR-108</t>
        </is>
      </c>
      <c r="C92" s="353" t="inlineStr">
        <is>
          <t>Hexagon Purus (Hexagon Masterworks)</t>
        </is>
      </c>
      <c r="D92" s="353" t="inlineStr">
        <is>
          <t>N/A</t>
        </is>
      </c>
      <c r="E92" s="353" t="inlineStr">
        <is>
          <t>Hexagon Purus aerospace business in Maryland</t>
        </is>
      </c>
      <c r="F92" s="353" t="inlineStr">
        <is>
          <t>exclude</t>
        </is>
      </c>
      <c r="G92" s="353" t="inlineStr">
        <is>
          <t>verified</t>
        </is>
      </c>
      <c r="H92" s="353" t="inlineStr">
        <is>
          <t>Exclude: wrong geography and wrong year; the public announcement was 5 February 2026.</t>
        </is>
      </c>
      <c r="I92" s="353" t="inlineStr">
        <is>
          <t>The divested business is located in Maryland, United States, not Norway/Europe.</t>
        </is>
      </c>
      <c r="J92" s="353" t="inlineStr">
        <is>
          <t>Hexagon Purus</t>
        </is>
      </c>
      <c r="K92" s="353" t="inlineStr">
        <is>
          <t>https://www.globenewswire.com/news-release/2026/02/05/3233265/0/en/Divestment-of-aerospace-business-to-SpaceX.html</t>
        </is>
      </c>
    </row>
    <row r="93" ht="45" customHeight="1">
      <c r="A93" s="353" t="n">
        <v>93</v>
      </c>
      <c r="B93" s="353" t="inlineStr">
        <is>
          <t>EUR-136</t>
        </is>
      </c>
      <c r="C93" s="353" t="inlineStr">
        <is>
          <t>RC Fornax (LON: RCFX)</t>
        </is>
      </c>
      <c r="D93" s="353" t="inlineStr">
        <is>
          <t>EUR-051</t>
        </is>
      </c>
      <c r="E93" s="353" t="inlineStr">
        <is>
          <t>RC Fornax plc</t>
        </is>
      </c>
      <c r="F93" s="353" t="inlineStr">
        <is>
          <t>retain</t>
        </is>
      </c>
      <c r="G93" s="353" t="inlineStr">
        <is>
          <t>verified</t>
        </is>
      </c>
      <c r="H93" s="353" t="inlineStr">
        <is>
          <t>Retain; source-native GBP value is preferable to an undocumented USD conversion.</t>
        </is>
      </c>
      <c r="I93" s="353" t="inlineStr">
        <is>
          <t>Defence engineering and project-delivery consultancy focused on UK defence programmes.</t>
        </is>
      </c>
      <c r="J93" s="353" t="inlineStr">
        <is>
          <t>London Stock Exchange</t>
        </is>
      </c>
      <c r="K93" s="353" t="inlineStr">
        <is>
          <t>https://www.londonstockexchange.com/discover/news-and-insights/london-stock-exchange-welcomes-rc-fornax-aim</t>
        </is>
      </c>
    </row>
    <row r="94" ht="45" customHeight="1">
      <c r="A94" s="353" t="n">
        <v>94</v>
      </c>
      <c r="B94" s="353" t="inlineStr">
        <is>
          <t>EUR-185</t>
        </is>
      </c>
      <c r="C94" s="353" t="inlineStr">
        <is>
          <t>PowerFlex</t>
        </is>
      </c>
      <c r="D94" s="353" t="inlineStr">
        <is>
          <t>EUR-053</t>
        </is>
      </c>
      <c r="E94" s="353" t="inlineStr">
        <is>
          <t>PowerFlex S.r.l.</t>
        </is>
      </c>
      <c r="F94" s="353" t="inlineStr">
        <is>
          <t>replace</t>
        </is>
      </c>
      <c r="G94" s="353" t="inlineStr">
        <is>
          <t>verified</t>
        </is>
      </c>
      <c r="H94" s="353" t="inlineStr">
        <is>
          <t>Correct completion from 20 February to 23 February 2025.</t>
        </is>
      </c>
      <c r="I94" s="353" t="inlineStr">
        <is>
          <t>PowerFlex designs and manufactures products for defence, avionics, aerospace and naval applications.</t>
        </is>
      </c>
      <c r="J94" s="353" t="inlineStr">
        <is>
          <t>Mare Group</t>
        </is>
      </c>
      <c r="K94" s="353" t="inlineStr">
        <is>
          <t>https://www.maregroup.it/wp-content/uploads/2025/03/20318_152166_2025_oneinfo.pdf</t>
        </is>
      </c>
    </row>
    <row r="95" ht="45" customHeight="1">
      <c r="A95" s="353" t="n">
        <v>95</v>
      </c>
      <c r="B95" s="353" t="inlineStr">
        <is>
          <t>EUR-074</t>
        </is>
      </c>
      <c r="C95" s="353" t="inlineStr">
        <is>
          <t>Leden Group</t>
        </is>
      </c>
      <c r="D95" s="353" t="inlineStr">
        <is>
          <t>N/A</t>
        </is>
      </c>
      <c r="E95" s="353" t="inlineStr">
        <is>
          <t>Leden Group</t>
        </is>
      </c>
      <c r="F95" s="353" t="inlineStr">
        <is>
          <t>exclude</t>
        </is>
      </c>
      <c r="G95" s="353" t="inlineStr">
        <is>
          <t>verified</t>
        </is>
      </c>
      <c r="H95" s="353" t="inlineStr">
        <is>
          <t>Exclude: defence is not established as the target's primary sector.</t>
        </is>
      </c>
      <c r="I95" s="353" t="inlineStr">
        <is>
          <t>Leden is primarily an industrial contract manufacturer in energy storage/distribution and industrial automation.</t>
        </is>
      </c>
      <c r="J95" s="353" t="inlineStr">
        <is>
          <t>HANZA</t>
        </is>
      </c>
      <c r="K95" s="353" t="inlineStr">
        <is>
          <t>https://hanza.com/investor/pressreleases/hanza-completes-billion-sek-acquisition-broadens-customer-base-and-strengthens-mechanical-expertise/</t>
        </is>
      </c>
    </row>
    <row r="96" ht="45" customHeight="1">
      <c r="A96" s="353" t="n">
        <v>96</v>
      </c>
      <c r="B96" s="353" t="inlineStr">
        <is>
          <t>EUR-059</t>
        </is>
      </c>
      <c r="C96" s="353" t="inlineStr">
        <is>
          <t>Roda Computer</t>
        </is>
      </c>
      <c r="D96" s="353" t="inlineStr">
        <is>
          <t>EUR-054</t>
        </is>
      </c>
      <c r="E96" s="353" t="inlineStr">
        <is>
          <t>roda computer GmbH</t>
        </is>
      </c>
      <c r="F96" s="353" t="inlineStr">
        <is>
          <t>retain</t>
        </is>
      </c>
      <c r="G96" s="353" t="inlineStr">
        <is>
          <t>verified</t>
        </is>
      </c>
      <c r="H96" s="353" t="inlineStr">
        <is>
          <t>Retain; use source-native consideration and disclose its contingent component.</t>
        </is>
      </c>
      <c r="I96" s="353" t="inlineStr">
        <is>
          <t>roda develops rugged military IT systems and is dedicated to defence customers.</t>
        </is>
      </c>
      <c r="J96" s="353" t="inlineStr">
        <is>
          <t>MilDef Group</t>
        </is>
      </c>
      <c r="K96" s="353" t="inlineStr">
        <is>
          <t>https://news.cision.com/mildef-group-ab/r/mildef-successfully-completes-the-acquisition-of-roda-computer-gmbh-and-resolves-on-an-issue-in-kind%2Cc4114017</t>
        </is>
      </c>
    </row>
    <row r="97" ht="45" customHeight="1">
      <c r="A97" s="353" t="n">
        <v>97</v>
      </c>
      <c r="B97" s="353" t="inlineStr">
        <is>
          <t>EUR-084</t>
        </is>
      </c>
      <c r="C97" s="353" t="inlineStr">
        <is>
          <t>Noxant, an Exosens company</t>
        </is>
      </c>
      <c r="D97" s="353" t="inlineStr">
        <is>
          <t>EUR-055</t>
        </is>
      </c>
      <c r="E97" s="353" t="inlineStr">
        <is>
          <t>Noxant</t>
        </is>
      </c>
      <c r="F97" s="353" t="inlineStr">
        <is>
          <t>retain</t>
        </is>
      </c>
      <c r="G97" s="353" t="inlineStr">
        <is>
          <t>verified</t>
        </is>
      </c>
      <c r="H97" s="353" t="inlineStr">
        <is>
          <t>Retain as a defence-imaging technology acquisition.</t>
        </is>
      </c>
      <c r="I97" s="353" t="inlineStr">
        <is>
          <t>Noxant's cooled infrared cameras are used in surveillance, drones and defence systems; defence end-use is a material stated market.</t>
        </is>
      </c>
      <c r="J97" s="353" t="inlineStr">
        <is>
          <t>Exosens</t>
        </is>
      </c>
      <c r="K97" s="353" t="inlineStr">
        <is>
          <t>https://www.exosens.com/news/q1-2025-results</t>
        </is>
      </c>
    </row>
    <row r="98" ht="45" customHeight="1">
      <c r="A98" s="353" t="n">
        <v>98</v>
      </c>
      <c r="B98" s="353" t="inlineStr">
        <is>
          <t>EUR-143</t>
        </is>
      </c>
      <c r="C98" s="353" t="inlineStr">
        <is>
          <t>Natech (Industrial Chemicals)</t>
        </is>
      </c>
      <c r="D98" s="353" t="inlineStr">
        <is>
          <t>N/A</t>
        </is>
      </c>
      <c r="E98" s="353" t="inlineStr">
        <is>
          <t>Natech</t>
        </is>
      </c>
      <c r="F98" s="353" t="inlineStr">
        <is>
          <t>exclude</t>
        </is>
      </c>
      <c r="G98" s="353" t="inlineStr">
        <is>
          <t>verified</t>
        </is>
      </c>
      <c r="H98" s="353" t="inlineStr">
        <is>
          <t>Exclude under the strict core-sector rule.</t>
        </is>
      </c>
      <c r="I98" s="353" t="inlineStr">
        <is>
          <t>Natech produces industrial surface-treatment chemicals; aerospace is only one customer market.</t>
        </is>
      </c>
      <c r="J98" s="353" t="inlineStr">
        <is>
          <t>Quaker Houghton</t>
        </is>
      </c>
      <c r="K98" s="353" t="inlineStr">
        <is>
          <t>https://investors.quakerhoughton.com/node/22051</t>
        </is>
      </c>
    </row>
    <row r="99" ht="45" customHeight="1">
      <c r="A99" s="353" t="n">
        <v>99</v>
      </c>
      <c r="B99" s="353" t="inlineStr">
        <is>
          <t>EUR-060</t>
        </is>
      </c>
      <c r="C99" s="353" t="inlineStr">
        <is>
          <t>Carr's Group (Engineering Division)</t>
        </is>
      </c>
      <c r="D99" s="353" t="inlineStr">
        <is>
          <t>N/A</t>
        </is>
      </c>
      <c r="E99" s="353" t="inlineStr">
        <is>
          <t>Carrs Engineering Ltd, excluding Chirton and Carr's US</t>
        </is>
      </c>
      <c r="F99" s="353" t="inlineStr">
        <is>
          <t>exclude</t>
        </is>
      </c>
      <c r="G99" s="353" t="inlineStr">
        <is>
          <t>verified</t>
        </is>
      </c>
      <c r="H99" s="353" t="inlineStr">
        <is>
          <t>Exclude for sector; also narrow the transaction perimeter if retained elsewhere.</t>
        </is>
      </c>
      <c r="I99" s="353" t="inlineStr">
        <is>
          <t>The divested division is principally nuclear and safety engineering rather than aerospace/defence technology.</t>
        </is>
      </c>
      <c r="J99" s="353" t="inlineStr">
        <is>
          <t>Carr's Group plc</t>
        </is>
      </c>
      <c r="K99" s="353" t="inlineStr">
        <is>
          <t>https://www.investegate.co.uk/announcement/rns/carr-s-group--carr/sale-of-engineering-division-and-notice-of-results/8840297</t>
        </is>
      </c>
    </row>
    <row r="100" ht="45" customHeight="1">
      <c r="A100" s="353" t="n">
        <v>100</v>
      </c>
      <c r="B100" s="353" t="inlineStr">
        <is>
          <t>EUR-029</t>
        </is>
      </c>
      <c r="C100" s="353" t="inlineStr">
        <is>
          <t>Ultra Maritime (Signature Management &amp; Power Business)</t>
        </is>
      </c>
      <c r="D100" s="353" t="inlineStr">
        <is>
          <t>EUR-056</t>
        </is>
      </c>
      <c r="E100" s="353" t="inlineStr">
        <is>
          <t>Ultra Maritime Signature Management &amp; Power business</t>
        </is>
      </c>
      <c r="F100" s="353" t="inlineStr">
        <is>
          <t>retain</t>
        </is>
      </c>
      <c r="G100" s="353" t="inlineStr">
        <is>
          <t>verified</t>
        </is>
      </c>
      <c r="H100" s="353" t="inlineStr">
        <is>
          <t>Retain; explicitly label USD472m as net consideration, not headline gross price.</t>
        </is>
      </c>
      <c r="I100" s="353" t="inlineStr">
        <is>
          <t>The business supplies signature-management and power technologies for naval defence platforms.</t>
        </is>
      </c>
      <c r="J100" s="353" t="inlineStr">
        <is>
          <t>ESCO Technologies</t>
        </is>
      </c>
      <c r="K100" s="353" t="inlineStr">
        <is>
          <t>https://investor.escotechnologies.com/news-releases/news-release-details/esco-completes-acquisition-smp</t>
        </is>
      </c>
    </row>
    <row r="101" ht="45" customHeight="1">
      <c r="A101" s="353" t="n">
        <v>101</v>
      </c>
      <c r="B101" s="353" t="inlineStr">
        <is>
          <t>EUR-070</t>
        </is>
      </c>
      <c r="C101" s="353" t="inlineStr">
        <is>
          <t>Dewetron</t>
        </is>
      </c>
      <c r="D101" s="353" t="inlineStr">
        <is>
          <t>N/A</t>
        </is>
      </c>
      <c r="E101" s="353" t="inlineStr">
        <is>
          <t>DEWETRON</t>
        </is>
      </c>
      <c r="F101" s="353" t="inlineStr">
        <is>
          <t>exclude</t>
        </is>
      </c>
      <c r="G101" s="353" t="inlineStr">
        <is>
          <t>verified</t>
        </is>
      </c>
      <c r="H101" s="353" t="inlineStr">
        <is>
          <t>Exclude for sector; 2 May was not completion, and the share transfer occurred 21 October 2025.</t>
        </is>
      </c>
      <c r="I101" s="353" t="inlineStr">
        <is>
          <t>DEWETRON is a broad power-analysis and data-acquisition supplier serving automotive, energy and industrial applications.</t>
        </is>
      </c>
      <c r="J101" s="353" t="inlineStr">
        <is>
          <t>Anritsu</t>
        </is>
      </c>
      <c r="K101" s="353" t="inlineStr">
        <is>
          <t>https://www.anritsu.com/en-gb/test-measurement/news/news-releases/2025/2025-04-28-gb01</t>
        </is>
      </c>
    </row>
    <row r="102" ht="45" customHeight="1">
      <c r="A102" s="353" t="n">
        <v>102</v>
      </c>
      <c r="B102" s="353" t="inlineStr">
        <is>
          <t>EUR-092</t>
        </is>
      </c>
      <c r="C102" s="353" t="inlineStr">
        <is>
          <t>Prima Additive</t>
        </is>
      </c>
      <c r="D102" s="353" t="inlineStr">
        <is>
          <t>N/A</t>
        </is>
      </c>
      <c r="E102" s="353" t="inlineStr">
        <is>
          <t>Prima Additive S.r.l.</t>
        </is>
      </c>
      <c r="F102" s="353" t="inlineStr">
        <is>
          <t>exclude</t>
        </is>
      </c>
      <c r="G102" s="353" t="inlineStr">
        <is>
          <t>verified</t>
        </is>
      </c>
      <c r="H102" s="353" t="inlineStr">
        <is>
          <t>Exclude for sector; original row also incorrectly described the transaction as 100% ownership.</t>
        </is>
      </c>
      <c r="I102" s="353" t="inlineStr">
        <is>
          <t>Prima Additive supplies general industrial metal-additive systems across automotive, energy, medical, marine and aerospace markets.</t>
        </is>
      </c>
      <c r="J102" s="353" t="inlineStr">
        <is>
          <t>Sodick</t>
        </is>
      </c>
      <c r="K102" s="353" t="inlineStr">
        <is>
          <t>https://www.sodick.co.jp/en/ir/pdf/tmp/20250513134240.pdf</t>
        </is>
      </c>
    </row>
    <row r="103" ht="45" customHeight="1">
      <c r="A103" s="353" t="n">
        <v>103</v>
      </c>
      <c r="B103" s="353" t="inlineStr">
        <is>
          <t>EUR-155</t>
        </is>
      </c>
      <c r="C103" s="353" t="inlineStr">
        <is>
          <t>Carbonia Composites</t>
        </is>
      </c>
      <c r="D103" s="353" t="inlineStr">
        <is>
          <t>N/A</t>
        </is>
      </c>
      <c r="E103" s="353" t="inlineStr">
        <is>
          <t>Carbonia Composites AB</t>
        </is>
      </c>
      <c r="F103" s="353" t="inlineStr">
        <is>
          <t>exclude</t>
        </is>
      </c>
      <c r="G103" s="353" t="inlineStr">
        <is>
          <t>verified</t>
        </is>
      </c>
      <c r="H103" s="353" t="inlineStr">
        <is>
          <t>Exclude for sector; correct signing/completion distinction to 19 May/27 June.</t>
        </is>
      </c>
      <c r="I103" s="353" t="inlineStr">
        <is>
          <t>Carbonia is primarily an automotive and industrial composites supplier; defence is only one stated segment.</t>
        </is>
      </c>
      <c r="J103" s="353" t="inlineStr">
        <is>
          <t>Scandinavian Astor Group</t>
        </is>
      </c>
      <c r="K103" s="353" t="inlineStr">
        <is>
          <t>https://astorgroup.se/mfn_news/scandinavian-astor-group-completes-the-acquisition-of-carbonia-composites/</t>
        </is>
      </c>
    </row>
    <row r="104" ht="45" customHeight="1">
      <c r="A104" s="353" t="n">
        <v>104</v>
      </c>
      <c r="B104" s="353" t="inlineStr">
        <is>
          <t>EUR-161</t>
        </is>
      </c>
      <c r="C104" s="353" t="inlineStr">
        <is>
          <t>Spafax International</t>
        </is>
      </c>
      <c r="D104" s="353" t="inlineStr">
        <is>
          <t>N/A</t>
        </is>
      </c>
      <c r="E104" s="353" t="inlineStr">
        <is>
          <t>Spafax International Ltd.</t>
        </is>
      </c>
      <c r="F104" s="353" t="inlineStr">
        <is>
          <t>exclude</t>
        </is>
      </c>
      <c r="G104" s="353" t="inlineStr">
        <is>
          <t>verified</t>
        </is>
      </c>
      <c r="H104" s="353" t="inlineStr">
        <is>
          <t>Exclude under the strict sector policy: Spafax is primarily an automotive mirrors and lighting supplier; aerospace exposure is incidental, and no controlling acquisition had completed by the cutoff.</t>
        </is>
      </c>
      <c r="I104" s="353" t="inlineStr">
        <is>
          <t>Spafax supplies mirrors and lighting mainly to automotive markets, with some aerospace exposure; no 2025 control event occurred.</t>
        </is>
      </c>
      <c r="J104" s="353" t="inlineStr">
        <is>
          <t>Uravi Defence and Technology</t>
        </is>
      </c>
      <c r="K104" s="353" t="inlineStr">
        <is>
          <t>https://nsearchives.nseindia.com/corporate/URAVI_25062025121741_Spafax_Acquisition_Signed.pdf</t>
        </is>
      </c>
    </row>
    <row r="105" ht="45" customHeight="1">
      <c r="A105" s="353" t="n">
        <v>105</v>
      </c>
      <c r="B105" s="353" t="inlineStr">
        <is>
          <t>EUR-153</t>
        </is>
      </c>
      <c r="C105" s="353" t="inlineStr">
        <is>
          <t>ISED</t>
        </is>
      </c>
      <c r="D105" s="353" t="inlineStr">
        <is>
          <t>N/A</t>
        </is>
      </c>
      <c r="E105" s="353" t="inlineStr">
        <is>
          <t>ISED S.p.A.</t>
        </is>
      </c>
      <c r="F105" s="353" t="inlineStr">
        <is>
          <t>exclude</t>
        </is>
      </c>
      <c r="G105" s="353" t="inlineStr">
        <is>
          <t>verified</t>
        </is>
      </c>
      <c r="H105" s="353" t="inlineStr">
        <is>
          <t>Exclude for sector.</t>
        </is>
      </c>
      <c r="I105" s="353" t="inlineStr">
        <is>
          <t>ISED provides general IT solutions for public administration and healthcare, not core aerospace/defence technology.</t>
        </is>
      </c>
      <c r="J105" s="353" t="inlineStr">
        <is>
          <t>Expert.ai</t>
        </is>
      </c>
      <c r="K105" s="353" t="inlineStr">
        <is>
          <t>https://media.expert.ai/expertai2025/uploads/2025/05/20250701_CS_ISED-Aucap-ENG.pdf</t>
        </is>
      </c>
    </row>
    <row r="106" ht="45" customHeight="1">
      <c r="A106" s="353" t="n">
        <v>106</v>
      </c>
      <c r="B106" s="353" t="inlineStr">
        <is>
          <t>EUR-159</t>
        </is>
      </c>
      <c r="C106" s="353" t="inlineStr">
        <is>
          <t>Milso</t>
        </is>
      </c>
      <c r="D106" s="353" t="inlineStr">
        <is>
          <t>EUR-062</t>
        </is>
      </c>
      <c r="E106" s="353" t="inlineStr">
        <is>
          <t>Milso AB</t>
        </is>
      </c>
      <c r="F106" s="353" t="inlineStr">
        <is>
          <t>retain</t>
        </is>
      </c>
      <c r="G106" s="353" t="inlineStr">
        <is>
          <t>verified</t>
        </is>
      </c>
      <c r="H106" s="353" t="inlineStr">
        <is>
          <t>Retain as a completed defence-technology services acquisition.</t>
        </is>
      </c>
      <c r="I106" s="353" t="inlineStr">
        <is>
          <t>Milso is a defence-focused technology, management and IT consultancy.</t>
        </is>
      </c>
      <c r="J106" s="353" t="inlineStr">
        <is>
          <t>Knowit</t>
        </is>
      </c>
      <c r="K106" s="353" t="inlineStr">
        <is>
          <t>https://www.knowit.eu/news-press/knowit-acquires-consulting-firm-milso-and-further-strengthens-its-position-in-the-defense-sector/</t>
        </is>
      </c>
    </row>
    <row r="107" ht="45" customHeight="1">
      <c r="A107" s="353" t="n">
        <v>107</v>
      </c>
      <c r="B107" s="353" t="inlineStr">
        <is>
          <t>EUR-164</t>
        </is>
      </c>
      <c r="C107" s="353" t="inlineStr">
        <is>
          <t>West Wales Airport</t>
        </is>
      </c>
      <c r="D107" s="353" t="inlineStr">
        <is>
          <t>N/A</t>
        </is>
      </c>
      <c r="E107" s="353" t="inlineStr">
        <is>
          <t>West Wales Airport Ltd.</t>
        </is>
      </c>
      <c r="F107" s="353" t="inlineStr">
        <is>
          <t>exclude</t>
        </is>
      </c>
      <c r="G107" s="353" t="inlineStr">
        <is>
          <t>verified</t>
        </is>
      </c>
      <c r="H107" s="353" t="inlineStr">
        <is>
          <t>Exclude under the strict technology-company test.</t>
        </is>
      </c>
      <c r="I107" s="353" t="inlineStr">
        <is>
          <t>The target is an airport and UAS test-range infrastructure operator, not an aerospace/defence technology company.</t>
        </is>
      </c>
      <c r="J107" s="353" t="inlineStr">
        <is>
          <t>TEKEVER</t>
        </is>
      </c>
      <c r="K107" s="353" t="inlineStr">
        <is>
          <t>https://www.tekever.com/news/tekever-acquires-west-wales-airport-to-advance-uk-and-nato-defence-capabilities/</t>
        </is>
      </c>
    </row>
    <row r="108" ht="45" customHeight="1">
      <c r="A108" s="353" t="n">
        <v>108</v>
      </c>
      <c r="B108" s="353" t="inlineStr">
        <is>
          <t>EUR-138</t>
        </is>
      </c>
      <c r="C108" s="353" t="inlineStr">
        <is>
          <t>Nightvision Lasers Spain</t>
        </is>
      </c>
      <c r="D108" s="353" t="inlineStr">
        <is>
          <t>EUR-063</t>
        </is>
      </c>
      <c r="E108" s="353" t="inlineStr">
        <is>
          <t>Nightvision Lasers Spain S.L.</t>
        </is>
      </c>
      <c r="F108" s="353" t="inlineStr">
        <is>
          <t>replace</t>
        </is>
      </c>
      <c r="G108" s="353" t="inlineStr">
        <is>
          <t>verified</t>
        </is>
      </c>
      <c r="H108" s="353" t="inlineStr">
        <is>
          <t>Correct from full acquisition/16 July to 75% majority acquisition closed 15 July.</t>
        </is>
      </c>
      <c r="I108" s="353" t="inlineStr">
        <is>
          <t>NVLS develops laser and night-vision technologies for defence applications.</t>
        </is>
      </c>
      <c r="J108" s="353" t="inlineStr">
        <is>
          <t>Exosens</t>
        </is>
      </c>
      <c r="K108" s="353" t="inlineStr">
        <is>
          <t>https://ldar.exosens.com/system/files/2025-09/Exosens%20RFS%20EN%202025_06.pdf</t>
        </is>
      </c>
    </row>
    <row r="109" ht="45" customHeight="1">
      <c r="A109" s="353" t="n">
        <v>109</v>
      </c>
      <c r="B109" s="353" t="inlineStr">
        <is>
          <t>EUR-089</t>
        </is>
      </c>
      <c r="C109" s="353" t="inlineStr">
        <is>
          <t>Beadlight</t>
        </is>
      </c>
      <c r="D109" s="353" t="inlineStr">
        <is>
          <t>EUR-064</t>
        </is>
      </c>
      <c r="E109" s="353" t="inlineStr">
        <is>
          <t>Beadlight Ltd.</t>
        </is>
      </c>
      <c r="F109" s="353" t="inlineStr">
        <is>
          <t>retain</t>
        </is>
      </c>
      <c r="G109" s="353" t="inlineStr">
        <is>
          <t>verified</t>
        </is>
      </c>
      <c r="H109" s="353" t="inlineStr">
        <is>
          <t>Retain as a commercial-aerospace technology acquisition.</t>
        </is>
      </c>
      <c r="I109" s="353" t="inlineStr">
        <is>
          <t>Beadlight designs and manufactures LED lighting products for aircraft interiors.</t>
        </is>
      </c>
      <c r="J109" s="353" t="inlineStr">
        <is>
          <t>Loar Holdings</t>
        </is>
      </c>
      <c r="K109" s="353" t="inlineStr">
        <is>
          <t>https://ir.loargroup.com/news-events/press-releases/detail/30/loar-holdings-inc-reports-q2-2025-record-results-and-upward-revision-to-2025-outlook-and-announces-the-acquisition-of-beadlight-ltd</t>
        </is>
      </c>
    </row>
    <row r="110" ht="45" customHeight="1">
      <c r="A110" s="353" t="n">
        <v>110</v>
      </c>
      <c r="B110" s="353" t="inlineStr">
        <is>
          <t>EUR-103</t>
        </is>
      </c>
      <c r="C110" s="353" t="inlineStr">
        <is>
          <t>Remsdaq</t>
        </is>
      </c>
      <c r="D110" s="353" t="inlineStr">
        <is>
          <t>N/A</t>
        </is>
      </c>
      <c r="E110" s="353" t="inlineStr">
        <is>
          <t>Remsdaq Ltd.</t>
        </is>
      </c>
      <c r="F110" s="353" t="inlineStr">
        <is>
          <t>exclude</t>
        </is>
      </c>
      <c r="G110" s="353" t="inlineStr">
        <is>
          <t>verified</t>
        </is>
      </c>
      <c r="H110" s="353" t="inlineStr">
        <is>
          <t>Exclude for sector.</t>
        </is>
      </c>
      <c r="I110" s="353" t="inlineStr">
        <is>
          <t>Remsdaq supplies SCADA and automation systems mainly for electric-utility grids.</t>
        </is>
      </c>
      <c r="J110" s="353" t="inlineStr">
        <is>
          <t>Powell Industries</t>
        </is>
      </c>
      <c r="K110" s="353" t="inlineStr">
        <is>
          <t>https://www.sec.gov/Archives/edgar/data/80420/000008042025000152/powl-20250930.htm</t>
        </is>
      </c>
    </row>
    <row r="111" ht="45" customHeight="1">
      <c r="A111" s="353" t="n">
        <v>111</v>
      </c>
      <c r="B111" s="353" t="inlineStr">
        <is>
          <t>EUR-071</t>
        </is>
      </c>
      <c r="C111" s="353" t="inlineStr">
        <is>
          <t>Saab Transpondertech</t>
        </is>
      </c>
      <c r="D111" s="353" t="inlineStr">
        <is>
          <t>N/A</t>
        </is>
      </c>
      <c r="E111" s="353" t="inlineStr">
        <is>
          <t>Saab TransponderTech AB</t>
        </is>
      </c>
      <c r="F111" s="353" t="inlineStr">
        <is>
          <t>exclude</t>
        </is>
      </c>
      <c r="G111" s="353" t="inlineStr">
        <is>
          <t>verified</t>
        </is>
      </c>
      <c r="H111" s="353" t="inlineStr">
        <is>
          <t>Exclude under the strict policy: the divested portfolio is described by the buyer as connected commercial-maritime products; defence applications do not establish A&amp;D as the primary business. Completion was 31 October 2025.</t>
        </is>
      </c>
      <c r="I111" s="353" t="inlineStr">
        <is>
          <t>TransponderTech supplies maritime automatic-identification and navigation systems with defence and security applications.</t>
        </is>
      </c>
      <c r="J111" s="353" t="inlineStr">
        <is>
          <t>Teledyne Technologies</t>
        </is>
      </c>
      <c r="K111" s="353" t="inlineStr">
        <is>
          <t>https://www.teledyne.com/en-us/news/Pages/teledyne-completes-acquisition-of-transpondertech-from-saab.aspx</t>
        </is>
      </c>
    </row>
    <row r="112" ht="45" customHeight="1">
      <c r="A112" s="353" t="n">
        <v>112</v>
      </c>
      <c r="B112" s="353" t="inlineStr">
        <is>
          <t>EUR-122</t>
        </is>
      </c>
      <c r="C112" s="353" t="inlineStr">
        <is>
          <t>Crane Electronics</t>
        </is>
      </c>
      <c r="D112" s="353" t="inlineStr">
        <is>
          <t>N/A</t>
        </is>
      </c>
      <c r="E112" s="353" t="inlineStr">
        <is>
          <t>Crane Electronics Ltd.</t>
        </is>
      </c>
      <c r="F112" s="353" t="inlineStr">
        <is>
          <t>exclude</t>
        </is>
      </c>
      <c r="G112" s="353" t="inlineStr">
        <is>
          <t>verified</t>
        </is>
      </c>
      <c r="H112" s="353" t="inlineStr">
        <is>
          <t>Exclude under the strict core-sector test.</t>
        </is>
      </c>
      <c r="I112" s="353" t="inlineStr">
        <is>
          <t>Crane provides cross-industry torque-management tools; aerospace and defence are customer verticals rather than its primary sector.</t>
        </is>
      </c>
      <c r="J112" s="353" t="inlineStr">
        <is>
          <t>Indutrade</t>
        </is>
      </c>
      <c r="K112" s="353" t="inlineStr">
        <is>
          <t>https://www.inderes.dk/en/releases/indutrade-acquires-torque-management-specialist-crane-electronics</t>
        </is>
      </c>
    </row>
    <row r="113" ht="45" customHeight="1">
      <c r="A113" s="353" t="n">
        <v>113</v>
      </c>
      <c r="B113" s="353" t="inlineStr">
        <is>
          <t>EUR-050</t>
        </is>
      </c>
      <c r="C113" s="353" t="inlineStr">
        <is>
          <t>Rebound Electronics</t>
        </is>
      </c>
      <c r="D113" s="353" t="inlineStr">
        <is>
          <t>N/A</t>
        </is>
      </c>
      <c r="E113" s="353" t="inlineStr">
        <is>
          <t>Rebound Technologies Group Holdings Ltd.</t>
        </is>
      </c>
      <c r="F113" s="353" t="inlineStr">
        <is>
          <t>exclude</t>
        </is>
      </c>
      <c r="G113" s="353" t="inlineStr">
        <is>
          <t>verified</t>
        </is>
      </c>
      <c r="H113" s="353" t="inlineStr">
        <is>
          <t>Exclude for sector and correct legal target name.</t>
        </is>
      </c>
      <c r="I113" s="353" t="inlineStr">
        <is>
          <t>Rebound is a broad electronic-components distributor serving multiple industries.</t>
        </is>
      </c>
      <c r="J113" s="353" t="inlineStr">
        <is>
          <t>Jabil</t>
        </is>
      </c>
      <c r="K113" s="353" t="inlineStr">
        <is>
          <t>https://www.sec.gov/Archives/edgar/data/898293/000162828026024148/jbl-20260228.htm</t>
        </is>
      </c>
    </row>
    <row r="114" ht="45" customHeight="1">
      <c r="A114" s="353" t="n">
        <v>114</v>
      </c>
      <c r="B114" s="353" t="inlineStr">
        <is>
          <t>EUR-044</t>
        </is>
      </c>
      <c r="C114" s="353" t="inlineStr">
        <is>
          <t>SOBEK</t>
        </is>
      </c>
      <c r="D114" s="353" t="inlineStr">
        <is>
          <t>N/A</t>
        </is>
      </c>
      <c r="E114" s="353" t="inlineStr">
        <is>
          <t>SOBEK Drives GmbH</t>
        </is>
      </c>
      <c r="F114" s="353" t="inlineStr">
        <is>
          <t>exclude</t>
        </is>
      </c>
      <c r="G114" s="353" t="inlineStr">
        <is>
          <t>unresolved</t>
        </is>
      </c>
      <c r="H114" s="353" t="inlineStr">
        <is>
          <t>Strict-ledger exclusion pending a primary record establishing the exact close and core-A&amp;D-primary classification; remove unsupported EUR160m value.</t>
        </is>
      </c>
      <c r="I114" s="353" t="inlineStr">
        <is>
          <t>SOBEK's electric drives have defence-drone applications, but the company also serves motorsport, medical and robotics markets.</t>
        </is>
      </c>
      <c r="J114" s="353" t="inlineStr">
        <is>
          <t>DEUTZ</t>
        </is>
      </c>
      <c r="K114" s="353" t="inlineStr">
        <is>
          <t>https://www.deutz.com/en/investor-relations/mandatory-announcements/ad-hoc-disclosure/</t>
        </is>
      </c>
    </row>
    <row r="115" ht="45" customHeight="1">
      <c r="A115" s="353" t="n">
        <v>115</v>
      </c>
      <c r="B115" s="353" t="inlineStr">
        <is>
          <t>EUR-163</t>
        </is>
      </c>
      <c r="C115" s="353" t="inlineStr">
        <is>
          <t>Kayser Italia</t>
        </is>
      </c>
      <c r="D115" s="353" t="inlineStr">
        <is>
          <t>N/A</t>
        </is>
      </c>
      <c r="E115" s="353" t="inlineStr">
        <is>
          <t>Kayser Italia S.r.l.</t>
        </is>
      </c>
      <c r="F115" s="353" t="inlineStr">
        <is>
          <t>exclude</t>
        </is>
      </c>
      <c r="G115" s="353" t="inlineStr">
        <is>
          <t>verified</t>
        </is>
      </c>
      <c r="H115" s="353" t="inlineStr">
        <is>
          <t>Exclude under the approved no-minority/no-phased-close rule; original full acquisition on 9 September was false.</t>
        </is>
      </c>
      <c r="I115" s="353" t="inlineStr">
        <is>
          <t>Kayser Italia is a core space-systems company, but only a 29.9% equity stake transferred in 2025.</t>
        </is>
      </c>
      <c r="J115" s="353" t="inlineStr">
        <is>
          <t>FAE Technology</t>
        </is>
      </c>
      <c r="K115" s="353" t="inlineStr">
        <is>
          <t>https://fae.technology/news/fae-technology-completes-the-first-closing-for-the-acquisition-of-kayser-italia-and-launches-the-space-division</t>
        </is>
      </c>
    </row>
    <row r="116" ht="45" customHeight="1">
      <c r="A116" s="353" t="n">
        <v>116</v>
      </c>
      <c r="B116" s="353" t="inlineStr">
        <is>
          <t>EUR-068</t>
        </is>
      </c>
      <c r="C116" s="353" t="inlineStr">
        <is>
          <t>EllioSat</t>
        </is>
      </c>
      <c r="D116" s="353" t="inlineStr">
        <is>
          <t>N/A</t>
        </is>
      </c>
      <c r="E116" s="353" t="inlineStr">
        <is>
          <t>EllioSat Ltd.</t>
        </is>
      </c>
      <c r="F116" s="353" t="inlineStr">
        <is>
          <t>exclude</t>
        </is>
      </c>
      <c r="G116" s="353" t="inlineStr">
        <is>
          <t>verified</t>
        </is>
      </c>
      <c r="H116" s="353" t="inlineStr">
        <is>
          <t>Exclude under the approved no-pure-assets rule.</t>
        </is>
      </c>
      <c r="I116" s="353" t="inlineStr">
        <is>
          <t>EllioSat is a holding vehicle for S-band ITU priority rights rather than an operating aerospace/defence technology business.</t>
        </is>
      </c>
      <c r="J116" s="353" t="inlineStr">
        <is>
          <t>AST SpaceMobile</t>
        </is>
      </c>
      <c r="K116" s="353" t="inlineStr">
        <is>
          <t>https://www.sec.gov/Archives/edgar/data/1780312/000119312525274391/asts-20250930.htm</t>
        </is>
      </c>
    </row>
    <row r="117" ht="45" customHeight="1">
      <c r="A117" s="353" t="n">
        <v>117</v>
      </c>
      <c r="B117" s="353" t="inlineStr">
        <is>
          <t>EUR-113</t>
        </is>
      </c>
      <c r="C117" s="353" t="inlineStr">
        <is>
          <t>Quilinox</t>
        </is>
      </c>
      <c r="D117" s="353" t="inlineStr">
        <is>
          <t>N/A</t>
        </is>
      </c>
      <c r="E117" s="353" t="inlineStr">
        <is>
          <t>Quilinox S.L.</t>
        </is>
      </c>
      <c r="F117" s="353" t="inlineStr">
        <is>
          <t>exclude</t>
        </is>
      </c>
      <c r="G117" s="353" t="inlineStr">
        <is>
          <t>verified</t>
        </is>
      </c>
      <c r="H117" s="353" t="inlineStr">
        <is>
          <t>Exclude for sector.</t>
        </is>
      </c>
      <c r="I117" s="353" t="inlineStr">
        <is>
          <t>Quilinox distributes industrial pumps, valves and sanitary-process equipment.</t>
        </is>
      </c>
      <c r="J117" s="353" t="inlineStr">
        <is>
          <t>Thermador Groupe</t>
        </is>
      </c>
      <c r="K117" s="353" t="inlineStr">
        <is>
          <t>https://www.thermador-groupe.fr/communique-de-presse/acquisition-de-quilinox/</t>
        </is>
      </c>
    </row>
    <row r="118" ht="45" customHeight="1">
      <c r="A118" s="353" t="n">
        <v>118</v>
      </c>
      <c r="B118" s="353" t="inlineStr">
        <is>
          <t>EUR-091</t>
        </is>
      </c>
      <c r="C118" s="353" t="inlineStr">
        <is>
          <t>Milectria Group</t>
        </is>
      </c>
      <c r="D118" s="353" t="inlineStr">
        <is>
          <t>EUR-068</t>
        </is>
      </c>
      <c r="E118" s="353" t="inlineStr">
        <is>
          <t>Milectria Group</t>
        </is>
      </c>
      <c r="F118" s="353" t="inlineStr">
        <is>
          <t>retain</t>
        </is>
      </c>
      <c r="G118" s="353" t="inlineStr">
        <is>
          <t>verified</t>
        </is>
      </c>
      <c r="H118" s="353" t="inlineStr">
        <is>
          <t>Retain; separate initial and contingent consideration.</t>
        </is>
      </c>
      <c r="I118" s="353" t="inlineStr">
        <is>
          <t>Milectria manufactures electrical systems specifically for military platforms and defence customers.</t>
        </is>
      </c>
      <c r="J118" s="353" t="inlineStr">
        <is>
          <t>HANZA</t>
        </is>
      </c>
      <c r="K118" s="353" t="inlineStr">
        <is>
          <t>https://hanza.com/investor/pressreleases/hanza-completes-acquisition-and-expands-capacity-for-the-defense-industry/</t>
        </is>
      </c>
    </row>
    <row r="119" ht="45" customHeight="1">
      <c r="A119" s="353" t="n">
        <v>119</v>
      </c>
      <c r="B119" s="353" t="inlineStr">
        <is>
          <t>EUR-007</t>
        </is>
      </c>
      <c r="C119" s="353" t="inlineStr">
        <is>
          <t>Iveco Defence Vehicles (Defense Division)</t>
        </is>
      </c>
      <c r="D119" s="353" t="inlineStr">
        <is>
          <t>EUR-102</t>
        </is>
      </c>
      <c r="E119" s="353" t="inlineStr">
        <is>
          <t>Iveco Group defence business, including Iveco Defence Vehicles</t>
        </is>
      </c>
      <c r="F119" s="353" t="inlineStr">
        <is>
          <t>replace</t>
        </is>
      </c>
      <c r="G119" s="353" t="inlineStr">
        <is>
          <t>verified</t>
        </is>
      </c>
      <c r="H119" s="353" t="inlineStr">
        <is>
          <t>Move out of the 2025 completed set and into 2026. Promoted to the completed population because the transaction legally closed by the 2026-08-02 cutoff.</t>
        </is>
      </c>
      <c r="I119" s="353" t="inlineStr">
        <is>
          <t>The business is a core land-defence vehicle manufacturer, but closing occurred in 2026.</t>
        </is>
      </c>
      <c r="J119" s="353" t="inlineStr">
        <is>
          <t>Leonardo</t>
        </is>
      </c>
      <c r="K119" s="353" t="inlineStr">
        <is>
          <t>https://www.leonardo.com/en/press-release-detail/-/detail/18-03-2026-leonardo-completes-the-acquisition-of-iveco-group-s-defence-business</t>
        </is>
      </c>
    </row>
    <row r="120" ht="45" customHeight="1">
      <c r="A120" s="353" t="n">
        <v>120</v>
      </c>
      <c r="B120" s="353" t="inlineStr">
        <is>
          <t>EUR-038</t>
        </is>
      </c>
      <c r="C120" s="353" t="inlineStr">
        <is>
          <t>N7 Defence</t>
        </is>
      </c>
      <c r="D120" s="353" t="inlineStr">
        <is>
          <t>EUR-095</t>
        </is>
      </c>
      <c r="E120" s="353" t="inlineStr">
        <is>
          <t>N7 Defence Zrt.</t>
        </is>
      </c>
      <c r="F120" s="353" t="inlineStr">
        <is>
          <t>replace</t>
        </is>
      </c>
      <c r="G120" s="353" t="inlineStr">
        <is>
          <t>verified</t>
        </is>
      </c>
      <c r="H120" s="353" t="inlineStr">
        <is>
          <t>Move out of 2025; correct ownership and remove the unsupported consideration figure. Promoted to the completed population because the transaction legally closed by the 2026-08-02 cutoff.</t>
        </is>
      </c>
      <c r="I120" s="353" t="inlineStr">
        <is>
          <t>N7 is a core Hungarian defence-industry holding, but the majority acquisition closed in 2026.</t>
        </is>
      </c>
      <c r="J120" s="353" t="inlineStr">
        <is>
          <t>4iG</t>
        </is>
      </c>
      <c r="K120" s="353" t="inlineStr">
        <is>
          <t>https://www.bet.hu/newkibdata/129406957/20260227_RT_SDT_N7_zaras_EN.pdf</t>
        </is>
      </c>
    </row>
    <row r="121" ht="45" customHeight="1">
      <c r="A121" s="353" t="n">
        <v>121</v>
      </c>
      <c r="B121" s="353" t="inlineStr">
        <is>
          <t>EUR-117</t>
        </is>
      </c>
      <c r="C121" s="353" t="inlineStr">
        <is>
          <t>Viz Reflectives</t>
        </is>
      </c>
      <c r="D121" s="353" t="inlineStr">
        <is>
          <t>N/A</t>
        </is>
      </c>
      <c r="E121" s="353" t="inlineStr">
        <is>
          <t>Viz Reflectives trade and selected assets</t>
        </is>
      </c>
      <c r="F121" s="353" t="inlineStr">
        <is>
          <t>exclude</t>
        </is>
      </c>
      <c r="G121" s="353" t="inlineStr">
        <is>
          <t>verified</t>
        </is>
      </c>
      <c r="H121" s="353" t="inlineStr">
        <is>
          <t>Exclude for sector and asset-only structure; original value and full-acquisition label were incorrect.</t>
        </is>
      </c>
      <c r="I121" s="353" t="inlineStr">
        <is>
          <t>Viz provides high-visibility and PPE materials; military use is one application, not its primary sector.</t>
        </is>
      </c>
      <c r="J121" s="353" t="inlineStr">
        <is>
          <t>Coats Group</t>
        </is>
      </c>
      <c r="K121" s="353" t="inlineStr">
        <is>
          <t>https://www.investegate.co.uk/announcement/rns/coats-group--coa/2025-full-year-results/9459175</t>
        </is>
      </c>
    </row>
    <row r="122" ht="45" customHeight="1">
      <c r="A122" s="353" t="n">
        <v>122</v>
      </c>
      <c r="B122" s="353" t="inlineStr">
        <is>
          <t>EUR-028</t>
        </is>
      </c>
      <c r="C122" s="353" t="inlineStr">
        <is>
          <t>Ricardo</t>
        </is>
      </c>
      <c r="D122" s="353" t="inlineStr">
        <is>
          <t>N/A</t>
        </is>
      </c>
      <c r="E122" s="353" t="inlineStr">
        <is>
          <t>Ricardo plc</t>
        </is>
      </c>
      <c r="F122" s="353" t="inlineStr">
        <is>
          <t>exclude</t>
        </is>
      </c>
      <c r="G122" s="353" t="inlineStr">
        <is>
          <t>verified</t>
        </is>
      </c>
      <c r="H122" s="353" t="inlineStr">
        <is>
          <t>Exclude under the strict core-A&amp;D-primary test.</t>
        </is>
      </c>
      <c r="I122" s="353" t="inlineStr">
        <is>
          <t>Ricardo is a diversified engineering and environmental consultancy across automotive, rail, energy and industrial markets.</t>
        </is>
      </c>
      <c r="J122" s="353" t="inlineStr">
        <is>
          <t>Ricardo</t>
        </is>
      </c>
      <c r="K122" s="353" t="inlineStr">
        <is>
          <t>https://www.ricardo.com/en/news-and-insights/press-releases/2025/ricardo-joins-wsp-following-transaction-completion</t>
        </is>
      </c>
    </row>
    <row r="123" ht="45" customHeight="1">
      <c r="A123" s="353" t="n">
        <v>123</v>
      </c>
      <c r="B123" s="353" t="inlineStr">
        <is>
          <t>EUR-093</t>
        </is>
      </c>
      <c r="C123" s="353" t="inlineStr">
        <is>
          <t>Nasmyth Group</t>
        </is>
      </c>
      <c r="D123" s="353" t="inlineStr">
        <is>
          <t>EUR-071</t>
        </is>
      </c>
      <c r="E123" s="353" t="inlineStr">
        <is>
          <t>Nasmyth Group Ltd.</t>
        </is>
      </c>
      <c r="F123" s="353" t="inlineStr">
        <is>
          <t>replace</t>
        </is>
      </c>
      <c r="G123" s="353" t="inlineStr">
        <is>
          <t>verified</t>
        </is>
      </c>
      <c r="H123" s="353" t="inlineStr">
        <is>
          <t>Use the effective control date of 1 November; 3 November was the public announcement.</t>
        </is>
      </c>
      <c r="I123" s="353" t="inlineStr">
        <is>
          <t>Nasmyth manufactures precision components and assemblies for aerospace and defence platforms.</t>
        </is>
      </c>
      <c r="J123" s="353" t="inlineStr">
        <is>
          <t>Sigma Advanced Systems</t>
        </is>
      </c>
      <c r="K123" s="353" t="inlineStr">
        <is>
          <t>https://sigmaadvsys.com/investors/announcements/Outcome-of-BM-14022026.pdf</t>
        </is>
      </c>
    </row>
    <row r="124" ht="45" customHeight="1">
      <c r="A124" s="353" t="n">
        <v>124</v>
      </c>
      <c r="B124" s="353" t="inlineStr">
        <is>
          <t>EUR-124</t>
        </is>
      </c>
      <c r="C124" s="353" t="inlineStr">
        <is>
          <t>Ammunity</t>
        </is>
      </c>
      <c r="D124" s="353" t="inlineStr">
        <is>
          <t>EUR-072</t>
        </is>
      </c>
      <c r="E124" s="353" t="inlineStr">
        <is>
          <t>Ammunity SIA</t>
        </is>
      </c>
      <c r="F124" s="353" t="inlineStr">
        <is>
          <t>replace</t>
        </is>
      </c>
      <c r="G124" s="353" t="inlineStr">
        <is>
          <t>verified</t>
        </is>
      </c>
      <c r="H124" s="353" t="inlineStr">
        <is>
          <t>Replace USD9.87m as transaction consideration with the disclosed EUR3m cash purchase price and distinguish valuation.</t>
        </is>
      </c>
      <c r="I124" s="353" t="inlineStr">
        <is>
          <t>Ammunity is an ammunition manufacturer serving defence customers.</t>
        </is>
      </c>
      <c r="J124" s="353" t="inlineStr">
        <is>
          <t>Scandinavian Astor Group</t>
        </is>
      </c>
      <c r="K124" s="353" t="inlineStr">
        <is>
          <t>https://astorgroup.se/mfn_news/astor-group-has-completed-the-acquisition-of-latvian-ammunition-manufacturer-ammunity/</t>
        </is>
      </c>
    </row>
    <row r="125" ht="45" customHeight="1">
      <c r="A125" s="353" t="n">
        <v>125</v>
      </c>
      <c r="B125" s="353" t="inlineStr">
        <is>
          <t>EUR-040</t>
        </is>
      </c>
      <c r="C125" s="353" t="inlineStr">
        <is>
          <t>Less Common Metals</t>
        </is>
      </c>
      <c r="D125" s="353" t="inlineStr">
        <is>
          <t>N/A</t>
        </is>
      </c>
      <c r="E125" s="353" t="inlineStr">
        <is>
          <t>Indian Ocean Rare Metals Pte. Ltd., parent of Less Common Metals</t>
        </is>
      </c>
      <c r="F125" s="353" t="inlineStr">
        <is>
          <t>exclude</t>
        </is>
      </c>
      <c r="G125" s="353" t="inlineStr">
        <is>
          <t>verified</t>
        </is>
      </c>
      <c r="H125" s="353" t="inlineStr">
        <is>
          <t>Exclude for both strict sector and European-target tests.</t>
        </is>
      </c>
      <c r="I125" s="353" t="inlineStr">
        <is>
          <t>LCM is a multi-sector rare-earth alloy/materials supplier, and the acquired legal target was Singaporean.</t>
        </is>
      </c>
      <c r="J125" s="353" t="inlineStr">
        <is>
          <t>USA Rare Earth</t>
        </is>
      </c>
      <c r="K125" s="353" t="inlineStr">
        <is>
          <t>https://investors.usare.com/news-releases/news-release-details/usa-rare-earth-closes-acquisition-less-common-metals</t>
        </is>
      </c>
    </row>
    <row r="126" ht="45" customHeight="1">
      <c r="A126" s="353" t="n">
        <v>126</v>
      </c>
      <c r="B126" s="353" t="inlineStr">
        <is>
          <t>EUR-198</t>
        </is>
      </c>
      <c r="C126" s="353" t="inlineStr">
        <is>
          <t>Aviatube</t>
        </is>
      </c>
      <c r="D126" s="353" t="inlineStr">
        <is>
          <t>N/A</t>
        </is>
      </c>
      <c r="E126" s="353" t="inlineStr">
        <is>
          <t>Aviatube operating assets/business</t>
        </is>
      </c>
      <c r="F126" s="353" t="inlineStr">
        <is>
          <t>exclude</t>
        </is>
      </c>
      <c r="G126" s="353" t="inlineStr">
        <is>
          <t>unresolved</t>
        </is>
      </c>
      <c r="H126" s="353" t="inlineStr">
        <is>
          <t>Strict-ledger exclusion pending a primary closing/court record; remove Secan as seller and the unsupported purchase price.</t>
        </is>
      </c>
      <c r="I126" s="353" t="inlineStr">
        <is>
          <t>Aviatube is an aerospace tube manufacturer, but no primary transaction-party or court source was located in this audit.</t>
        </is>
      </c>
      <c r="J126" s="353" t="inlineStr">
        <is>
          <t>GIFAS</t>
        </is>
      </c>
      <c r="K126" s="353" t="inlineStr">
        <is>
          <t>https://www.gifas.fr/press-summary/la-reprise-d-aviatube-attribuee-a-telma-group</t>
        </is>
      </c>
    </row>
    <row r="127" ht="45" customHeight="1">
      <c r="A127" s="353" t="n">
        <v>127</v>
      </c>
      <c r="B127" s="353" t="inlineStr">
        <is>
          <t>EUR-145</t>
        </is>
      </c>
      <c r="C127" s="353" t="inlineStr">
        <is>
          <t>MARSS (Interceptor Drone Business)</t>
        </is>
      </c>
      <c r="D127" s="353" t="inlineStr">
        <is>
          <t>EUR-075</t>
        </is>
      </c>
      <c r="E127" s="353" t="inlineStr">
        <is>
          <t>MARSS interceptor-drone business</t>
        </is>
      </c>
      <c r="F127" s="353" t="inlineStr">
        <is>
          <t>retain</t>
        </is>
      </c>
      <c r="G127" s="353" t="inlineStr">
        <is>
          <t>verified</t>
        </is>
      </c>
      <c r="H127" s="353" t="inlineStr">
        <is>
          <t>Retain; distinguish the 19 November agreement from 26 November completion.</t>
        </is>
      </c>
      <c r="I127" s="353" t="inlineStr">
        <is>
          <t>The acquired business develops counter-UAS interceptor-drone technology.</t>
        </is>
      </c>
      <c r="J127" s="353" t="inlineStr">
        <is>
          <t>Electro Optic Systems</t>
        </is>
      </c>
      <c r="K127" s="353" t="inlineStr">
        <is>
          <t>https://eos-aus.com/news/acquisition-of-new-interceptor-capability/</t>
        </is>
      </c>
    </row>
    <row r="128" ht="45" customHeight="1">
      <c r="A128" s="353" t="n">
        <v>128</v>
      </c>
      <c r="B128" s="353" t="inlineStr">
        <is>
          <t>EUR-139</t>
        </is>
      </c>
      <c r="C128" s="353" t="inlineStr">
        <is>
          <t>Argo Defence Group (NGM: ARGO)</t>
        </is>
      </c>
      <c r="D128" s="353" t="inlineStr">
        <is>
          <t>EUR-078</t>
        </is>
      </c>
      <c r="E128" s="353" t="inlineStr">
        <is>
          <t>Argo Defence Group AB</t>
        </is>
      </c>
      <c r="F128" s="353" t="inlineStr">
        <is>
          <t>retain</t>
        </is>
      </c>
      <c r="G128" s="353" t="inlineStr">
        <is>
          <t>verified</t>
        </is>
      </c>
      <c r="H128" s="353" t="inlineStr">
        <is>
          <t>Retain; use source-native SEK proceeds.</t>
        </is>
      </c>
      <c r="I128" s="353" t="inlineStr">
        <is>
          <t>Argo is a defence-industry group focused on defence products, technology and services.</t>
        </is>
      </c>
      <c r="J128" s="353" t="inlineStr">
        <is>
          <t>Nordic Growth Market</t>
        </is>
      </c>
      <c r="K128" s="353" t="inlineStr">
        <is>
          <t>https://news.cision.com/ngm-market-notice/r/25-120-argo-defence-group-ab-approved-for-listing-at-ngm%2Cc4281296</t>
        </is>
      </c>
    </row>
    <row r="129" ht="45" customHeight="1">
      <c r="A129" s="353" t="n">
        <v>129</v>
      </c>
      <c r="B129" s="353" t="inlineStr">
        <is>
          <t>EUR-030</t>
        </is>
      </c>
      <c r="C129" s="353" t="inlineStr">
        <is>
          <t>LMB Fans &amp; Motors</t>
        </is>
      </c>
      <c r="D129" s="353" t="inlineStr">
        <is>
          <t>EUR-079</t>
        </is>
      </c>
      <c r="E129" s="353" t="inlineStr">
        <is>
          <t>LMB Fans &amp; Motors</t>
        </is>
      </c>
      <c r="F129" s="353" t="inlineStr">
        <is>
          <t>replace</t>
        </is>
      </c>
      <c r="G129" s="353" t="inlineStr">
        <is>
          <t>verified</t>
        </is>
      </c>
      <c r="H129" s="353" t="inlineStr">
        <is>
          <t>Correct completion from the 26 December press date to 23 December 2025.</t>
        </is>
      </c>
      <c r="I129" s="353" t="inlineStr">
        <is>
          <t>LMB designs and manufactures fans and motors for civil and military aircraft.</t>
        </is>
      </c>
      <c r="J129" s="353" t="inlineStr">
        <is>
          <t>Loar Holdings</t>
        </is>
      </c>
      <c r="K129" s="353" t="inlineStr">
        <is>
          <t>https://ir.loargroup.com/sec-filings/all-sec-filings/content/0001193125-25-332267/ck0002000178-20251223.htm</t>
        </is>
      </c>
    </row>
    <row r="130" ht="45" customHeight="1">
      <c r="A130" s="353" t="n">
        <v>130</v>
      </c>
      <c r="B130" s="353" t="inlineStr">
        <is>
          <t>EUR-095</t>
        </is>
      </c>
      <c r="C130" s="353" t="inlineStr">
        <is>
          <t>BRESSNER Technology</t>
        </is>
      </c>
      <c r="D130" s="353" t="inlineStr">
        <is>
          <t>N/A</t>
        </is>
      </c>
      <c r="E130" s="353" t="inlineStr">
        <is>
          <t>BRESSNER Technology GmbH</t>
        </is>
      </c>
      <c r="F130" s="353" t="inlineStr">
        <is>
          <t>exclude</t>
        </is>
      </c>
      <c r="G130" s="353" t="inlineStr">
        <is>
          <t>verified</t>
        </is>
      </c>
      <c r="H130" s="353" t="inlineStr">
        <is>
          <t>Exclude for sector; seller and buyer descriptions differ slightly on date/value basis.</t>
        </is>
      </c>
      <c r="I130" s="353" t="inlineStr">
        <is>
          <t>BRESSNER is a broad industrial-computing distributor serving many verticals.</t>
        </is>
      </c>
      <c r="J130" s="353" t="inlineStr">
        <is>
          <t>One Stop Systems</t>
        </is>
      </c>
      <c r="K130" s="353" t="inlineStr">
        <is>
          <t>https://www.globenewswire.com/news-release/2025/12/30/3211590/0/en/oss-announces-the-sale-of-bressner-technology-gmbh-to-hiper-euro-gmbh.html</t>
        </is>
      </c>
    </row>
    <row r="131" ht="45" customHeight="1">
      <c r="A131" s="353" t="n">
        <v>131</v>
      </c>
      <c r="B131" s="353" t="inlineStr">
        <is>
          <t>EUR-073</t>
        </is>
      </c>
      <c r="C131" s="353" t="inlineStr">
        <is>
          <t>GF Casting Solutions Leipzig</t>
        </is>
      </c>
      <c r="D131" s="353" t="inlineStr">
        <is>
          <t>N/A</t>
        </is>
      </c>
      <c r="E131" s="353" t="inlineStr">
        <is>
          <t>GF Casting Solutions Leipzig GmbH</t>
        </is>
      </c>
      <c r="F131" s="353" t="inlineStr">
        <is>
          <t>exclude</t>
        </is>
      </c>
      <c r="G131" s="353" t="inlineStr">
        <is>
          <t>verified</t>
        </is>
      </c>
      <c r="H131" s="353" t="inlineStr">
        <is>
          <t>Exclude for sector and replace unsupported CHF41m/USD51.41m with seller's approximately EUR45m if tracked elsewhere.</t>
        </is>
      </c>
      <c r="I131" s="353" t="inlineStr">
        <is>
          <t>The Leipzig foundry serves heavy and off-highway mobility markets rather than aerospace/defence technology.</t>
        </is>
      </c>
      <c r="J131" s="353" t="inlineStr">
        <is>
          <t>Georg Fischer</t>
        </is>
      </c>
      <c r="K131" s="353" t="inlineStr">
        <is>
          <t>https://www.georgfischer.com/en/about-gf/history.html</t>
        </is>
      </c>
    </row>
    <row r="132" ht="45" customHeight="1">
      <c r="A132" s="353" t="n">
        <v>132</v>
      </c>
      <c r="B132" s="353" t="inlineStr">
        <is>
          <t>EUR-081</t>
        </is>
      </c>
      <c r="C132" s="353" t="inlineStr">
        <is>
          <t>Scanfiber Composites</t>
        </is>
      </c>
      <c r="D132" s="353" t="inlineStr">
        <is>
          <t>EUR-091</t>
        </is>
      </c>
      <c r="E132" s="353" t="inlineStr">
        <is>
          <t>Scanfiber Composites</t>
        </is>
      </c>
      <c r="F132" s="353" t="inlineStr">
        <is>
          <t>replace</t>
        </is>
      </c>
      <c r="G132" s="353" t="inlineStr">
        <is>
          <t>verified</t>
        </is>
      </c>
      <c r="H132" s="353" t="inlineStr">
        <is>
          <t>Replace original date: completion was 25 February 2026, not 1 January.</t>
        </is>
      </c>
      <c r="I132" s="353" t="inlineStr">
        <is>
          <t>Industrial Supply Chain &amp; Manufacturing. Manufacturer of armoured clothing catering to the military and civilian industry. The company's products include ballistic panels, add-on armour, spall-liner, ballistic blankets, seat protection, spall-liners for vehicles, building protection panels, vehicle armour, and personal-protection ballistic bags thereby providing the military with ballistic protection.</t>
        </is>
      </c>
      <c r="J132" s="353" t="inlineStr">
        <is>
          <t>Issuer release via MFN</t>
        </is>
      </c>
      <c r="K132" s="353" t="inlineStr">
        <is>
          <t>https://mfn.se/ob/a/fjord-defence-group/fjord-defence-group-asa-successful-completion-of-acquisition-of-scanfiber-composites-a-s-e058dcdd.iframe</t>
        </is>
      </c>
    </row>
    <row r="133" ht="45" customHeight="1">
      <c r="A133" s="353" t="n">
        <v>133</v>
      </c>
      <c r="B133" s="353" t="inlineStr">
        <is>
          <t>EUR-170</t>
        </is>
      </c>
      <c r="C133" s="353" t="inlineStr">
        <is>
          <t>Granit Teknikbyrå</t>
        </is>
      </c>
      <c r="D133" s="353" t="inlineStr">
        <is>
          <t>EUR-081</t>
        </is>
      </c>
      <c r="E133" s="353" t="inlineStr">
        <is>
          <t>Granit Teknikbyrå</t>
        </is>
      </c>
      <c r="F133" s="353" t="inlineStr">
        <is>
          <t>retain</t>
        </is>
      </c>
      <c r="G133" s="353" t="inlineStr">
        <is>
          <t>verified</t>
        </is>
      </c>
      <c r="H133" s="353" t="inlineStr">
        <is>
          <t>Retain under strict scope; completed transaction and primary A&amp;D focus are supported by the cited source.</t>
        </is>
      </c>
      <c r="I133" s="353" t="inlineStr">
        <is>
          <t>Defence Services &amp; Engineering. Provider of technical consultancy and support services catering to the defense sector. The company offers services in integrated logistics support (ILS), system-safety analysis, CE-marking, technical documentation and lifecycle support for technical systems.</t>
        </is>
      </c>
      <c r="J133" s="353" t="inlineStr">
        <is>
          <t>EmbeddedArt Group</t>
        </is>
      </c>
      <c r="K133" s="353" t="inlineStr">
        <is>
          <t>https://www.embeddedart.se/nyheter</t>
        </is>
      </c>
    </row>
    <row r="134" ht="45" customHeight="1">
      <c r="A134" s="353" t="n">
        <v>134</v>
      </c>
      <c r="B134" s="353" t="inlineStr">
        <is>
          <t>EUR-196</t>
        </is>
      </c>
      <c r="C134" s="353" t="inlineStr">
        <is>
          <t>Praexidia Industrie Strategiche (MIL: PRXD)</t>
        </is>
      </c>
      <c r="D134" s="353" t="inlineStr">
        <is>
          <t>N/A</t>
        </is>
      </c>
      <c r="E134" s="353" t="inlineStr">
        <is>
          <t>Praexidia Industrie Strategiche (MIL: PRXD)</t>
        </is>
      </c>
      <c r="F134" s="353" t="inlineStr">
        <is>
          <t>exclude</t>
        </is>
      </c>
      <c r="G134" s="353" t="inlineStr">
        <is>
          <t>verified</t>
        </is>
      </c>
      <c r="H134" s="353" t="inlineStr">
        <is>
          <t>Exclude: listed issuer is an investment company/financial vehicle, not an operating A&amp;D-technology company.</t>
        </is>
      </c>
      <c r="I134" s="353" t="inlineStr">
        <is>
          <t>Exclude: listed issuer is an investment company/financial vehicle, not an operating A&amp;D-technology company.</t>
        </is>
      </c>
      <c r="J134" s="353" t="inlineStr">
        <is>
          <t>Borsa Italiana</t>
        </is>
      </c>
      <c r="K134" s="353" t="inlineStr">
        <is>
          <t>https://www.borsaitaliana.it/azioni/ipoematricole/ipo-home.htm</t>
        </is>
      </c>
    </row>
    <row r="135" ht="45" customHeight="1">
      <c r="A135" s="353" t="n">
        <v>135</v>
      </c>
      <c r="B135" s="353" t="inlineStr">
        <is>
          <t>EUR-119</t>
        </is>
      </c>
      <c r="C135" s="353" t="inlineStr">
        <is>
          <t>NK TRAILERS</t>
        </is>
      </c>
      <c r="D135" s="353" t="inlineStr">
        <is>
          <t>N/A</t>
        </is>
      </c>
      <c r="E135" s="353" t="inlineStr">
        <is>
          <t>NK TRAILERS</t>
        </is>
      </c>
      <c r="F135" s="353" t="inlineStr">
        <is>
          <t>exclude</t>
        </is>
      </c>
      <c r="G135" s="353" t="inlineStr">
        <is>
          <t>verified</t>
        </is>
      </c>
      <c r="H135" s="353" t="inlineStr">
        <is>
          <t>Exclude: purchase covered real estate, factory and mechanical equipment only; no company or identifiable operating business control.</t>
        </is>
      </c>
      <c r="I135" s="353" t="inlineStr">
        <is>
          <t>Exclude: purchase covered real estate, factory and mechanical equipment only; no company or identifiable operating business control.</t>
        </is>
      </c>
      <c r="J135" s="353" t="inlineStr">
        <is>
          <t>METLEN Energy &amp; Metals</t>
        </is>
      </c>
      <c r="K135" s="353" t="inlineStr">
        <is>
          <t>https://www.metlen.com/news/press-releases/acquisition-of-a-sixth-fully-operational-production-unit-for-defence-and-railway-equipment-is-announced/</t>
        </is>
      </c>
    </row>
    <row r="136" ht="45" customHeight="1">
      <c r="A136" s="353" t="n">
        <v>136</v>
      </c>
      <c r="B136" s="353" t="inlineStr">
        <is>
          <t>EUR-063</t>
        </is>
      </c>
      <c r="C136" s="353" t="inlineStr">
        <is>
          <t>Kappa Optronics</t>
        </is>
      </c>
      <c r="D136" s="353" t="inlineStr">
        <is>
          <t>EUR-083</t>
        </is>
      </c>
      <c r="E136" s="353" t="inlineStr">
        <is>
          <t>Kappa Optronics</t>
        </is>
      </c>
      <c r="F136" s="353" t="inlineStr">
        <is>
          <t>retain</t>
        </is>
      </c>
      <c r="G136" s="353" t="inlineStr">
        <is>
          <t>verified</t>
        </is>
      </c>
      <c r="H136" s="353" t="inlineStr">
        <is>
          <t>Retain under strict scope; completed transaction and primary A&amp;D focus are supported by the cited source.</t>
        </is>
      </c>
      <c r="I136" s="353" t="inlineStr">
        <is>
          <t>Defence Electronics &amp; Sensors. Manufacturer of rugged industrial cameras, appliances and electronics intended for industrial, defense, aviation, microscopy, traffic and x-ray sectors. The company's optronics platform engineers and manufactures cameras following specific customer needs, including interfaces, programming, circuitry, software and housing, enabling its clients to use them for diverse imaging.</t>
        </is>
      </c>
      <c r="J136" s="353" t="inlineStr">
        <is>
          <t>THEON International</t>
        </is>
      </c>
      <c r="K136" s="353" t="inlineStr">
        <is>
          <t>https://theon.com/en/news/2026/theon-corporate-updates-january-2026</t>
        </is>
      </c>
    </row>
    <row r="137" ht="45" customHeight="1">
      <c r="A137" s="353" t="n">
        <v>137</v>
      </c>
      <c r="B137" s="353" t="inlineStr">
        <is>
          <t>EUR-047</t>
        </is>
      </c>
      <c r="C137" s="353" t="inlineStr">
        <is>
          <t>MB Elettronica</t>
        </is>
      </c>
      <c r="D137" s="353" t="inlineStr">
        <is>
          <t>N/A</t>
        </is>
      </c>
      <c r="E137" s="353" t="inlineStr">
        <is>
          <t>MB Elettronica</t>
        </is>
      </c>
      <c r="F137" s="353" t="inlineStr">
        <is>
          <t>exclude</t>
        </is>
      </c>
      <c r="G137" s="353" t="inlineStr">
        <is>
          <t>verified</t>
        </is>
      </c>
      <c r="H137" s="353" t="inlineStr">
        <is>
          <t>Exclude under the strict policy: Scanfil reports Aerospace &amp; Defense generated approximately 40% of 2025 turnover, so A&amp;D was not the target's primary business. EUR 83.1m was the preliminary purchase price; EUR 123m was maximum enterprise value.</t>
        </is>
      </c>
      <c r="I137" s="353" t="inlineStr">
        <is>
          <t>Industrial Supply Chain &amp; Manufacturing. Manufacturer of electronic assemblies intended to serve aerospace, defense, railway, telecommunications, and automotive industries. The company offers surface-mount and through-hole circuit board assembly, rapid prototyping, electronic device integration, functional and in-circuit testing, conformal coating, and component procurement and logistics, enabling clients to access tailored production workflows and ensure consistent quality across complex electronic applications.</t>
        </is>
      </c>
      <c r="J137" s="353" t="inlineStr">
        <is>
          <t>Scanfil</t>
        </is>
      </c>
      <c r="K137" s="353" t="inlineStr">
        <is>
          <t>https://www.scanfil.com/newsroom/stock_release/scanfils-acquisition-of-italian-electronics-manufacturing-company-mb-elettronica-has-been-completed</t>
        </is>
      </c>
    </row>
    <row r="138" ht="45" customHeight="1">
      <c r="A138" s="353" t="n">
        <v>138</v>
      </c>
      <c r="B138" s="353" t="inlineStr">
        <is>
          <t>EUR-004</t>
        </is>
      </c>
      <c r="C138" s="353" t="inlineStr">
        <is>
          <t>Czechoslovak Group / CSG (AMS: CSG)</t>
        </is>
      </c>
      <c r="D138" s="353" t="inlineStr">
        <is>
          <t>EUR-086</t>
        </is>
      </c>
      <c r="E138" s="353" t="inlineStr">
        <is>
          <t>Czechoslovak Group / CSG (AMS: CSG)</t>
        </is>
      </c>
      <c r="F138" s="353" t="inlineStr">
        <is>
          <t>retain</t>
        </is>
      </c>
      <c r="G138" s="353" t="inlineStr">
        <is>
          <t>verified</t>
        </is>
      </c>
      <c r="H138" s="353" t="inlineStr">
        <is>
          <t>Retain under strict scope; completed transaction and primary A&amp;D focus are supported by the cited source.</t>
        </is>
      </c>
      <c r="I138" s="353" t="inlineStr">
        <is>
          <t>Ammunition &amp; Weapons. CSG NV is a defence group in terms of medium, large- and small-calibre ammunition sales based in Prague, Czech Republic, operating in Europe, the United States and in other regions including Asia Pacific. The company's business is divided into two segments: CSG Defence Systems and CSG Ammo.</t>
        </is>
      </c>
      <c r="J138" s="353" t="inlineStr">
        <is>
          <t>Euronext</t>
        </is>
      </c>
      <c r="K138" s="353" t="inlineStr">
        <is>
          <t>https://www.euronext.com/en/about/media/euronext-press-releases/czechoslovak-group-lists-euronext-0</t>
        </is>
      </c>
    </row>
    <row r="139" ht="45" customHeight="1">
      <c r="A139" s="353" t="n">
        <v>139</v>
      </c>
      <c r="B139" s="353" t="inlineStr">
        <is>
          <t>EUR-009</t>
        </is>
      </c>
      <c r="C139" s="353" t="inlineStr">
        <is>
          <t>Ultra PCS</t>
        </is>
      </c>
      <c r="D139" s="353" t="inlineStr">
        <is>
          <t>EUR-087</t>
        </is>
      </c>
      <c r="E139" s="353" t="inlineStr">
        <is>
          <t>Ultra PCS</t>
        </is>
      </c>
      <c r="F139" s="353" t="inlineStr">
        <is>
          <t>replace</t>
        </is>
      </c>
      <c r="G139" s="353" t="inlineStr">
        <is>
          <t>verified</t>
        </is>
      </c>
      <c r="H139" s="353" t="inlineStr">
        <is>
          <t>Replace value label: USD 1.55bn gross purchase price versus approximately USD 1.53bn net cash consideration.</t>
        </is>
      </c>
      <c r="I139" s="353" t="inlineStr">
        <is>
          <t>Avionics &amp; Flight Systems. Manufacturer of compact on-board gas compressors catering to the defense industry worldwide. The company offers data processing, store ejections, position sensing, electrical ice protection, motor and power control, propellor balance monitoring system and dynamic harnessing, enabling clients to solve mission-critical challenges in the air and on the ground.</t>
        </is>
      </c>
      <c r="J139" s="353" t="inlineStr">
        <is>
          <t>Eaton</t>
        </is>
      </c>
      <c r="K139" s="353" t="inlineStr">
        <is>
          <t>https://www.eaton.com/us/en-us/company/news-insights/news-releases/2026/eaton-completes-acquisition-of-ultra-pcs-limited.html</t>
        </is>
      </c>
    </row>
    <row r="140" ht="45" customHeight="1">
      <c r="A140" s="353" t="n">
        <v>140</v>
      </c>
      <c r="B140" s="353" t="inlineStr">
        <is>
          <t>EUR-162</t>
        </is>
      </c>
      <c r="C140" s="353" t="inlineStr">
        <is>
          <t>Newbow Aerospace</t>
        </is>
      </c>
      <c r="D140" s="353" t="inlineStr">
        <is>
          <t>EUR-088</t>
        </is>
      </c>
      <c r="E140" s="353" t="inlineStr">
        <is>
          <t>Newbow Aerospace</t>
        </is>
      </c>
      <c r="F140" s="353" t="inlineStr">
        <is>
          <t>retain</t>
        </is>
      </c>
      <c r="G140" s="353" t="inlineStr">
        <is>
          <t>verified</t>
        </is>
      </c>
      <c r="H140" s="353" t="inlineStr">
        <is>
          <t>Retain under strict scope; completed transaction and primary A&amp;D focus are supported by the cited source.</t>
        </is>
      </c>
      <c r="I140" s="353" t="inlineStr">
        <is>
          <t>Aerospace Services &amp; MRO. Manufacturer of aircraft ground support equipment intended to serve commercial airlines, maintenance service centers, and defense aviation markets. The company offers a range of products, including nitrogen service carts, oxygen service carts, wheel &amp; brake change trailers, wheel &amp; brake change dollys, wheel &amp; tire storage, digital tire inflation tools, and other equipment.</t>
        </is>
      </c>
      <c r="J140" s="353" t="inlineStr">
        <is>
          <t>Nasdaq issuer release</t>
        </is>
      </c>
      <c r="K140" s="353" t="inlineStr">
        <is>
          <t>https://view.news.eu.nasdaq.com/view?id=b52bd85cbe0fdc74bcb2978b056536768&amp;lang=en&amp;src=micro</t>
        </is>
      </c>
    </row>
    <row r="141" ht="45" customHeight="1">
      <c r="A141" s="353" t="n">
        <v>141</v>
      </c>
      <c r="B141" s="353" t="inlineStr">
        <is>
          <t>EUR-172</t>
        </is>
      </c>
      <c r="C141" s="353" t="inlineStr">
        <is>
          <t>BulletProve</t>
        </is>
      </c>
      <c r="D141" s="353" t="inlineStr">
        <is>
          <t>N/A</t>
        </is>
      </c>
      <c r="E141" s="353" t="inlineStr">
        <is>
          <t>BulletProve</t>
        </is>
      </c>
      <c r="F141" s="353" t="inlineStr">
        <is>
          <t>exclude</t>
        </is>
      </c>
      <c r="G141" s="353" t="inlineStr">
        <is>
          <t>unresolved</t>
        </is>
      </c>
      <c r="H141" s="353" t="inlineStr">
        <is>
          <t>Exclude unresolved: 93% control appears in scope, but no primary authoritative transaction/closing URL was verified in this audit.</t>
        </is>
      </c>
      <c r="I141" s="353" t="inlineStr">
        <is>
          <t>Exclude unresolved: 93% control appears in scope, but no primary authoritative transaction/closing URL was verified in this audit.</t>
        </is>
      </c>
      <c r="J141" s="353" t="inlineStr">
        <is>
          <t>strefainwestorow.pl</t>
        </is>
      </c>
      <c r="K141" s="353" t="inlineStr">
        <is>
          <t>No authoritative source found</t>
        </is>
      </c>
    </row>
    <row r="142" ht="45" customHeight="1">
      <c r="A142" s="353" t="n">
        <v>142</v>
      </c>
      <c r="B142" s="353" t="inlineStr">
        <is>
          <t>EUR-022</t>
        </is>
      </c>
      <c r="C142" s="353" t="inlineStr">
        <is>
          <t>ams-OSRAM (Non-Optical Analog/Mixed-Signal Sensor Business)</t>
        </is>
      </c>
      <c r="D142" s="353" t="inlineStr">
        <is>
          <t>N/A</t>
        </is>
      </c>
      <c r="E142" s="353" t="inlineStr">
        <is>
          <t>ams-OSRAM (Non-Optical Analog/Mixed-Signal Sensor Business)</t>
        </is>
      </c>
      <c r="F142" s="353" t="inlineStr">
        <is>
          <t>exclude</t>
        </is>
      </c>
      <c r="G142" s="353" t="inlineStr">
        <is>
          <t>verified</t>
        </is>
      </c>
      <c r="H142" s="353" t="inlineStr">
        <is>
          <t>Exclude: divested sensor portfolio is described as automotive, industrial and medical, not core A&amp;D technology.</t>
        </is>
      </c>
      <c r="I142" s="353" t="inlineStr">
        <is>
          <t>Exclude: divested sensor portfolio is described as automotive, industrial and medical, not core A&amp;D technology.</t>
        </is>
      </c>
      <c r="J142" s="353" t="inlineStr">
        <is>
          <t>Infineon Technologies</t>
        </is>
      </c>
      <c r="K142" s="353" t="inlineStr">
        <is>
          <t>https://www.infineon.com/press-release/2026/infxx202602-0431</t>
        </is>
      </c>
    </row>
    <row r="143" ht="45" customHeight="1">
      <c r="A143" s="353" t="n">
        <v>143</v>
      </c>
      <c r="B143" s="353" t="inlineStr">
        <is>
          <t>EUR-034</t>
        </is>
      </c>
      <c r="C143" s="353" t="inlineStr">
        <is>
          <t>GF Casting Solutions</t>
        </is>
      </c>
      <c r="D143" s="353" t="inlineStr">
        <is>
          <t>N/A</t>
        </is>
      </c>
      <c r="E143" s="353" t="inlineStr">
        <is>
          <t>GF Casting Solutions</t>
        </is>
      </c>
      <c r="F143" s="353" t="inlineStr">
        <is>
          <t>exclude</t>
        </is>
      </c>
      <c r="G143" s="353" t="inlineStr">
        <is>
          <t>verified</t>
        </is>
      </c>
      <c r="H143" s="353" t="inlineStr">
        <is>
          <t>Exclude: target business is automotive casting.</t>
        </is>
      </c>
      <c r="I143" s="353" t="inlineStr">
        <is>
          <t>Exclude: target business is automotive casting.</t>
        </is>
      </c>
      <c r="J143" s="353" t="inlineStr">
        <is>
          <t>Nemak</t>
        </is>
      </c>
      <c r="K143" s="353" t="inlineStr">
        <is>
          <t>https://www.nemak.com/blog/news-3/nemak-completes-the-acquisition-of-gf-casting-solutions-automotive-business-12</t>
        </is>
      </c>
    </row>
    <row r="144" ht="45" customHeight="1">
      <c r="A144" s="353" t="n">
        <v>144</v>
      </c>
      <c r="B144" s="353" t="inlineStr">
        <is>
          <t>EUR-184</t>
        </is>
      </c>
      <c r="C144" s="353" t="inlineStr">
        <is>
          <t>Alphabit Cybersecurity</t>
        </is>
      </c>
      <c r="D144" s="353" t="inlineStr">
        <is>
          <t>N/A</t>
        </is>
      </c>
      <c r="E144" s="353" t="inlineStr">
        <is>
          <t>Alphabit Cybersecurity</t>
        </is>
      </c>
      <c r="F144" s="353" t="inlineStr">
        <is>
          <t>exclude</t>
        </is>
      </c>
      <c r="G144" s="353" t="inlineStr">
        <is>
          <t>verified</t>
        </is>
      </c>
      <c r="H144" s="353" t="inlineStr">
        <is>
          <t>Exclude: generic cybersecurity provider without verified primary A&amp;D specialization; original date, currency and ownership wording were also incorrect.</t>
        </is>
      </c>
      <c r="I144" s="353" t="inlineStr">
        <is>
          <t>Exclude: generic cybersecurity provider without verified primary A&amp;D specialization; original date, currency and ownership wording were also incorrect.</t>
        </is>
      </c>
      <c r="J144" s="353" t="inlineStr">
        <is>
          <t>Softweb</t>
        </is>
      </c>
      <c r="K144" s="353" t="inlineStr">
        <is>
          <t>https://softweb.gr/media-hub/deltia-typou/i-softweb-eksagorazei-to-51-tois-ekato-tis-alphabit-cybersecurity-kai-enisxyei-stratigika-ton-pylona-cybersecurity-tou-omilou/</t>
        </is>
      </c>
    </row>
    <row r="145" ht="45" customHeight="1">
      <c r="A145" s="353" t="n">
        <v>145</v>
      </c>
      <c r="B145" s="353" t="inlineStr">
        <is>
          <t>EUR-115</t>
        </is>
      </c>
      <c r="C145" s="353" t="inlineStr">
        <is>
          <t>PRP Optoelectronics</t>
        </is>
      </c>
      <c r="D145" s="353" t="inlineStr">
        <is>
          <t>EUR-090</t>
        </is>
      </c>
      <c r="E145" s="353" t="inlineStr">
        <is>
          <t>PRP Optoelectronics</t>
        </is>
      </c>
      <c r="F145" s="353" t="inlineStr">
        <is>
          <t>retain</t>
        </is>
      </c>
      <c r="G145" s="353" t="inlineStr">
        <is>
          <t>verified</t>
        </is>
      </c>
      <c r="H145" s="353" t="inlineStr">
        <is>
          <t>Retain under strict scope; completed transaction and primary A&amp;D focus are supported by the cited source.</t>
        </is>
      </c>
      <c r="I145" s="353" t="inlineStr">
        <is>
          <t>Defence Electronics &amp; Sensors. Manufacturer of optoelectronic technology components intended to serve aviation and aerospace, defence and security, industrial printing and imaging industry. The company offers custom micro light-emitting diodes, monolithic and hybrid light-emitting diode arrays, light-emitting diode light engines, avionic and military displays, printing and ultraviolet light-emitting diode systems, plus full in-house design, manufacturing, testing, and original equipment manufacturer system integration services.</t>
        </is>
      </c>
      <c r="J145" s="353" t="inlineStr">
        <is>
          <t>London Stock Exchange issuer release</t>
        </is>
      </c>
      <c r="K145" s="353" t="inlineStr">
        <is>
          <t>https://www.londonstockexchange.com/news-article/SDI/acquisition-of-prp-optoelectronics/17459636</t>
        </is>
      </c>
    </row>
    <row r="146" ht="45" customHeight="1">
      <c r="A146" s="353" t="n">
        <v>146</v>
      </c>
      <c r="B146" s="353" t="inlineStr">
        <is>
          <t>EUR-061</t>
        </is>
      </c>
      <c r="C146" s="353" t="inlineStr">
        <is>
          <t>Wireless P2p Technologies</t>
        </is>
      </c>
      <c r="D146" s="353" t="inlineStr">
        <is>
          <t>EUR-092</t>
        </is>
      </c>
      <c r="E146" s="353" t="inlineStr">
        <is>
          <t>Wireless P2p Technologies</t>
        </is>
      </c>
      <c r="F146" s="353" t="inlineStr">
        <is>
          <t>replace</t>
        </is>
      </c>
      <c r="G146" s="353" t="inlineStr">
        <is>
          <t>verified</t>
        </is>
      </c>
      <c r="H146" s="353" t="inlineStr">
        <is>
          <t>Replace value and ownership claims: terms and percentage were not disclosed by the primary source.</t>
        </is>
      </c>
      <c r="I146" s="353" t="inlineStr">
        <is>
          <t>Secure Communications &amp; Connectivity. Developer of wireless communication technology and networking systems intended to serve defence, aerospace, and unmanned platforms. The company offers peer-to-peer wireless communication protocols and software, mobile ad-hoc networking technologies, software-defined radio platforms, tools, and libraries for decentralized connectivity, support for resilient communications without fixed infrastructure.</t>
        </is>
      </c>
      <c r="J146" s="353" t="inlineStr">
        <is>
          <t>Evallic</t>
        </is>
      </c>
      <c r="K146" s="353" t="inlineStr">
        <is>
          <t>https://evallic.com/news/evallic-welcomes-wireless-p2p-technologies-a-technology-leader-in-tactical-communication-and-electronic-warfare/</t>
        </is>
      </c>
    </row>
    <row r="147" ht="45" customHeight="1">
      <c r="A147" s="353" t="n">
        <v>147</v>
      </c>
      <c r="B147" s="353" t="inlineStr">
        <is>
          <t>EUR-179</t>
        </is>
      </c>
      <c r="C147" s="353" t="inlineStr">
        <is>
          <t>Tungsten San Juan</t>
        </is>
      </c>
      <c r="D147" s="353" t="inlineStr">
        <is>
          <t>N/A</t>
        </is>
      </c>
      <c r="E147" s="353" t="inlineStr">
        <is>
          <t>Tungsten San Juan</t>
        </is>
      </c>
      <c r="F147" s="353" t="inlineStr">
        <is>
          <t>exclude</t>
        </is>
      </c>
      <c r="G147" s="353" t="inlineStr">
        <is>
          <t>verified</t>
        </is>
      </c>
      <c r="H147" s="353" t="inlineStr">
        <is>
          <t>Exclude: tungsten mining project and non-control ownership increase, not an A&amp;D-technology company acquisition.</t>
        </is>
      </c>
      <c r="I147" s="353" t="inlineStr">
        <is>
          <t>Exclude: tungsten mining project and non-control ownership increase, not an A&amp;D-technology company acquisition.</t>
        </is>
      </c>
      <c r="J147" s="353" t="inlineStr">
        <is>
          <t>Eurobattery Minerals</t>
        </is>
      </c>
      <c r="K147" s="353" t="inlineStr">
        <is>
          <t>https://investors.eurobatteryminerals.com/en/press-releases/eurobattery-minerals-increases-its-ownership-in-tungsten-san-juan-to-58-58/</t>
        </is>
      </c>
    </row>
    <row r="148" ht="45" customHeight="1">
      <c r="A148" s="353" t="n">
        <v>148</v>
      </c>
      <c r="B148" s="353" t="inlineStr">
        <is>
          <t>EUR-025</t>
        </is>
      </c>
      <c r="C148" s="353" t="inlineStr">
        <is>
          <t>Covelya Group</t>
        </is>
      </c>
      <c r="D148" s="353" t="inlineStr">
        <is>
          <t>N/A</t>
        </is>
      </c>
      <c r="E148" s="353" t="inlineStr">
        <is>
          <t>Covelya Group</t>
        </is>
      </c>
      <c r="F148" s="353" t="inlineStr">
        <is>
          <t>exclude</t>
        </is>
      </c>
      <c r="G148" s="353" t="inlineStr">
        <is>
          <t>verified</t>
        </is>
      </c>
      <c r="H148" s="353" t="inlineStr">
        <is>
          <t>Exclude under the strict sector policy: Covelya serves energy, science, defence and commercial underwater markets, and the available primary evidence does not establish aerospace or defence as its primary business.</t>
        </is>
      </c>
      <c r="I148" s="353" t="inlineStr">
        <is>
          <t>Naval &amp; Underwater Systems. Manufacturer of advanced underwater technology catering to energy, science, defense and commercial markets. The company offers a portfolio of engineered navigation, positioning, imaging, communication and sensing products.</t>
        </is>
      </c>
      <c r="J148" s="353" t="inlineStr">
        <is>
          <t>Kraken Robotics</t>
        </is>
      </c>
      <c r="K148" s="353" t="inlineStr">
        <is>
          <t>https://www.krakenrobotics.com/news-releases/kraken-robotics-announces-signing-of-strategic-acquisition-to-expand-global-maritime-capabilities/</t>
        </is>
      </c>
    </row>
    <row r="149" ht="45" customHeight="1">
      <c r="A149" s="353" t="n">
        <v>149</v>
      </c>
      <c r="B149" s="353" t="inlineStr">
        <is>
          <t>EUR-064</t>
        </is>
      </c>
      <c r="C149" s="353" t="inlineStr">
        <is>
          <t>MASA Group</t>
        </is>
      </c>
      <c r="D149" s="353" t="inlineStr">
        <is>
          <t>N/A</t>
        </is>
      </c>
      <c r="E149" s="353" t="inlineStr">
        <is>
          <t>MASA Group</t>
        </is>
      </c>
      <c r="F149" s="353" t="inlineStr">
        <is>
          <t>exclude</t>
        </is>
      </c>
      <c r="G149" s="353" t="inlineStr">
        <is>
          <t>unresolved</t>
        </is>
      </c>
      <c r="H149" s="353" t="inlineStr">
        <is>
          <t>Exclude unresolved: target appears to be defence simulation technology, but no primary authoritative closing source was verified.</t>
        </is>
      </c>
      <c r="I149" s="353" t="inlineStr">
        <is>
          <t>Exclude unresolved: target appears to be defence simulation technology, but no primary authoritative closing source was verified.</t>
        </is>
      </c>
      <c r="J149" s="353" t="inlineStr">
        <is>
          <t>meretmarine.com</t>
        </is>
      </c>
      <c r="K149" s="353" t="inlineStr">
        <is>
          <t>No authoritative source found</t>
        </is>
      </c>
    </row>
    <row r="150" ht="45" customHeight="1">
      <c r="A150" s="353" t="n">
        <v>150</v>
      </c>
      <c r="B150" s="353" t="inlineStr">
        <is>
          <t>EUR-031</t>
        </is>
      </c>
      <c r="C150" s="353" t="inlineStr">
        <is>
          <t>VINCORION (FRA: V1NC)</t>
        </is>
      </c>
      <c r="D150" s="353" t="inlineStr">
        <is>
          <t>EUR-104</t>
        </is>
      </c>
      <c r="E150" s="353" t="inlineStr">
        <is>
          <t>VINCORION (FRA: V1NC)</t>
        </is>
      </c>
      <c r="F150" s="353" t="inlineStr">
        <is>
          <t>retain</t>
        </is>
      </c>
      <c r="G150" s="353" t="inlineStr">
        <is>
          <t>verified</t>
        </is>
      </c>
      <c r="H150" s="353" t="inlineStr">
        <is>
          <t>Retain under strict scope; completed transaction and primary A&amp;D focus are supported by the cited source.</t>
        </is>
      </c>
      <c r="I150" s="353" t="inlineStr">
        <is>
          <t>Defence Electronics &amp; Sensors. Manufacturer of mechatronic products intended for the security and defense, aviation, rail, and transport industries. The company offers power generation, electrical power management, drive systems, and innovation management technologies, providing tailored products that meet the specific requirements of its customers.</t>
        </is>
      </c>
      <c r="J150" s="353" t="inlineStr">
        <is>
          <t>Deutsche Börse</t>
        </is>
      </c>
      <c r="K150" s="353" t="inlineStr">
        <is>
          <t>https://live.deutsche-boerse.com/news/vincorion-se-joins-the-prime-standard-segment-of-the-frankfurt-stock-exchange</t>
        </is>
      </c>
    </row>
    <row r="151" ht="45" customHeight="1">
      <c r="A151" s="353" t="n">
        <v>151</v>
      </c>
      <c r="B151" s="353" t="inlineStr">
        <is>
          <t>EUR-051</t>
        </is>
      </c>
      <c r="C151" s="353" t="inlineStr">
        <is>
          <t>General Oceans (OSL: GENO)</t>
        </is>
      </c>
      <c r="D151" s="353" t="inlineStr">
        <is>
          <t>N/A</t>
        </is>
      </c>
      <c r="E151" s="353" t="inlineStr">
        <is>
          <t>General Oceans (OSL: GENO)</t>
        </is>
      </c>
      <c r="F151" s="353" t="inlineStr">
        <is>
          <t>exclude</t>
        </is>
      </c>
      <c r="G151" s="353" t="inlineStr">
        <is>
          <t>verified</t>
        </is>
      </c>
      <c r="H151" s="353" t="inlineStr">
        <is>
          <t>Exclude under the strict policy: General Oceans' 2025 annual report shows defence represented approximately 23% of Sensors revenue, while marine construction and ocean science were larger; A&amp;D was not primary. IPO statistics were separately verified.</t>
        </is>
      </c>
      <c r="I151" s="353" t="inlineStr">
        <is>
          <t>Naval &amp; Underwater Systems. General Oceans ASA is an ocean technology company engaged in providing underwater solutions, including sensors, systems, and robotic technologies for marine environments. The group operates through two segments: Sensors and Robotics. The Sensors segment focuses on instrumentation technologies for measuring ocean dynamics, imaging, and navigation, while the Robotics segment provides remotely operated and autonomous vehicle solutions with associated manipulators and control systems. It generates the majority of its revenue from the Sensors segment. The company serves industries such as ocean science, defense, and offshore energy through a portfolio of specialized brands.</t>
        </is>
      </c>
      <c r="J151" s="353" t="inlineStr">
        <is>
          <t>Euronext</t>
        </is>
      </c>
      <c r="K151" s="353" t="inlineStr">
        <is>
          <t>https://www.euronext.com/en/about/media/euronext-press-releases/general-oceans-lists-euronext</t>
        </is>
      </c>
    </row>
    <row r="152" ht="45" customHeight="1">
      <c r="A152" s="353" t="n">
        <v>152</v>
      </c>
      <c r="B152" s="353" t="inlineStr">
        <is>
          <t>EUR-129</t>
        </is>
      </c>
      <c r="C152" s="353" t="inlineStr">
        <is>
          <t>AiviewGroup</t>
        </is>
      </c>
      <c r="D152" s="353" t="inlineStr">
        <is>
          <t>EUR-105</t>
        </is>
      </c>
      <c r="E152" s="353" t="inlineStr">
        <is>
          <t>AiviewGroup</t>
        </is>
      </c>
      <c r="F152" s="353" t="inlineStr">
        <is>
          <t>replace</t>
        </is>
      </c>
      <c r="G152" s="353" t="inlineStr">
        <is>
          <t>verified</t>
        </is>
      </c>
      <c r="H152" s="353" t="inlineStr">
        <is>
          <t>Replace ownership and seller fields: ENAV acquired 85%, not 100%; the Italian Ministry was not the seller.</t>
        </is>
      </c>
      <c r="I152" s="353" t="inlineStr">
        <is>
          <t>UAVs &amp; Autonomous Systems. Provider of aviation consulting and drone services intended to work closely with other global technology companies and institutions in an effort to bring innovation to the market. The company's products offer an micro UAV, mapping, survey, aerial video, IOT, ai, inspection platforms, software, academy, consultant, and UAV solution provider, thereby enabling groundbreaking technologies that combine artificial intelligence and robotics to create the best solution for customer's needs</t>
        </is>
      </c>
      <c r="J152" s="353" t="inlineStr">
        <is>
          <t>ENAV</t>
        </is>
      </c>
      <c r="K152" s="353" t="inlineStr">
        <is>
          <t>https://www.enav.it/en/node/18571</t>
        </is>
      </c>
    </row>
    <row r="153" ht="45" customHeight="1">
      <c r="A153" s="353" t="n">
        <v>153</v>
      </c>
      <c r="B153" s="353" t="inlineStr">
        <is>
          <t>EUR-048</t>
        </is>
      </c>
      <c r="C153" s="353" t="inlineStr">
        <is>
          <t>Mynaric (STU: M0Y)</t>
        </is>
      </c>
      <c r="D153" s="353" t="inlineStr">
        <is>
          <t>EUR-111</t>
        </is>
      </c>
      <c r="E153" s="353" t="inlineStr">
        <is>
          <t>Mynaric (STU: M0Y)</t>
        </is>
      </c>
      <c r="F153" s="353" t="inlineStr">
        <is>
          <t>replace</t>
        </is>
      </c>
      <c r="G153" s="353" t="inlineStr">
        <is>
          <t>verified</t>
        </is>
      </c>
      <c r="H153" s="353" t="inlineStr">
        <is>
          <t>Replace date/value: regulatory approval was 30 March, but closing was 14 April; aggregate consideration was USD 155.3m.</t>
        </is>
      </c>
      <c r="I153" s="353" t="inlineStr">
        <is>
          <t>Space &amp; Satellite Systems. Mynaric AG operates in the communication equipment business sector. The company is engaged in the manufacture and sale of products and projects and the provision of services in the field of laser technology, in particular in the aerospace, telematics, and satellite services sectors. It operates in two segments: Air and Space. The space segment comprises CONDOR terminals, and the Air segment comprises HAWK terminals. The company's product portfolio consists of Optical ground stations, Air-to-ground terminals, Air-to-air terminals, Space terminals, and Custom products and subcomponents. Its applications consist of high-altitude networks, remote eyes, satellite constellations, earth observation satellites, and others. Geographically, its key revenue is derived from the United States.</t>
        </is>
      </c>
      <c r="J153" s="353" t="inlineStr">
        <is>
          <t>Rocket Lab SEC filing</t>
        </is>
      </c>
      <c r="K153" s="353" t="inlineStr">
        <is>
          <t>https://investors.rocketlabcorp.com/static-files/28eab5d7-0a30-4c60-a5ba-1b85e980450d</t>
        </is>
      </c>
    </row>
    <row r="154" ht="45" customHeight="1">
      <c r="A154" s="353" t="n">
        <v>154</v>
      </c>
      <c r="B154" s="353" t="inlineStr">
        <is>
          <t>EUR-008</t>
        </is>
      </c>
      <c r="C154" s="353" t="inlineStr">
        <is>
          <t>Smiths Interconnect</t>
        </is>
      </c>
      <c r="D154" s="353" t="inlineStr">
        <is>
          <t>EUR-108</t>
        </is>
      </c>
      <c r="E154" s="353" t="inlineStr">
        <is>
          <t>Smiths Interconnect</t>
        </is>
      </c>
      <c r="F154" s="353" t="inlineStr">
        <is>
          <t>replace</t>
        </is>
      </c>
      <c r="G154" s="353" t="inlineStr">
        <is>
          <t>verified</t>
        </is>
      </c>
      <c r="H154" s="353" t="inlineStr">
        <is>
          <t>Replace chronology: 16 October 2025 was announcement; completion was 1 April 2026.</t>
        </is>
      </c>
      <c r="I154" s="353" t="inlineStr">
        <is>
          <t>Defence Electronics &amp; Sensors. Manufacturer of connectivity products and solutions cateirng to serve segments of aerospace and defense, medical, semiconductor test, and industrial markets. The company manufactures technically differentiated electronic components, microwave, optical, and radio frequency products, and sub-systems that connect, protect, and control critical applications, thereby catering to the commercial aviation, defense, space, medical, rail, semiconductor test, and industrial market segments.</t>
        </is>
      </c>
      <c r="J154" s="353" t="inlineStr">
        <is>
          <t>Smiths Group</t>
        </is>
      </c>
      <c r="K154" s="353" t="inlineStr">
        <is>
          <t>https://www.smiths.com/news-and-insights/news/2026/completion-of-smiths-interconnect-sale</t>
        </is>
      </c>
    </row>
    <row r="155" ht="45" customHeight="1">
      <c r="A155" s="353" t="n">
        <v>155</v>
      </c>
      <c r="B155" s="353" t="inlineStr">
        <is>
          <t>EUR-010</t>
        </is>
      </c>
      <c r="C155" s="353" t="inlineStr">
        <is>
          <t>Waygate Technologies</t>
        </is>
      </c>
      <c r="D155" s="353" t="inlineStr">
        <is>
          <t>N/A</t>
        </is>
      </c>
      <c r="E155" s="353" t="inlineStr">
        <is>
          <t>Waygate Technologies</t>
        </is>
      </c>
      <c r="F155" s="353" t="inlineStr">
        <is>
          <t>exclude</t>
        </is>
      </c>
      <c r="G155" s="353" t="inlineStr">
        <is>
          <t>verified</t>
        </is>
      </c>
      <c r="H155" s="353" t="inlineStr">
        <is>
          <t>Exclude: Waygate is a multi-industry NDT business rather than core A&amp;D technology, and the transaction was only announced, not completed, at cutoff.</t>
        </is>
      </c>
      <c r="I155" s="353" t="inlineStr">
        <is>
          <t>Exclude: Waygate is a multi-industry NDT business rather than core A&amp;D technology, and the transaction was only announced, not completed, at cutoff.</t>
        </is>
      </c>
      <c r="J155" s="353" t="inlineStr">
        <is>
          <t>Hexagon</t>
        </is>
      </c>
      <c r="K155" s="353" t="inlineStr">
        <is>
          <t>https://hexagon.com/company/newsroom/press-releases/2026/hexagon-to-acquire-waygate-technologies-expanding-into-nondestructive-testing</t>
        </is>
      </c>
    </row>
    <row r="156" ht="45" customHeight="1">
      <c r="A156" s="353" t="n">
        <v>156</v>
      </c>
      <c r="B156" s="353" t="inlineStr">
        <is>
          <t>EUR-142</t>
        </is>
      </c>
      <c r="C156" s="353" t="inlineStr">
        <is>
          <t>Sòphia High Tech</t>
        </is>
      </c>
      <c r="D156" s="353" t="inlineStr">
        <is>
          <t>N/A</t>
        </is>
      </c>
      <c r="E156" s="353" t="inlineStr">
        <is>
          <t>Sòphia High Tech</t>
        </is>
      </c>
      <c r="F156" s="353" t="inlineStr">
        <is>
          <t>exclude</t>
        </is>
      </c>
      <c r="G156" s="353" t="inlineStr">
        <is>
          <t>verified</t>
        </is>
      </c>
      <c r="H156" s="353" t="inlineStr">
        <is>
          <t>Exclude under the strict sector policy: Sòphia High Tech is a multi-industry precision-manufacturing supplier serving aerospace, defence, automotive and rail; the available primary evidence does not establish A&amp;D as its primary business.</t>
        </is>
      </c>
      <c r="I156" s="353" t="inlineStr">
        <is>
          <t>Industrial Supply Chain &amp; Manufacturing. Manufacturer of high-precision mechanical components intended to serve the aerospace, defense, automotive, and rail industries. The company offers tech design, simulation, prototyping, and manufacturing of precision components using CNC machining and 3D printing, including thrusters, nozzles, fuel tanks, and specialized equipment.</t>
        </is>
      </c>
      <c r="J156" s="353" t="inlineStr">
        <is>
          <t>Genenta Science</t>
        </is>
      </c>
      <c r="K156" s="353" t="inlineStr">
        <is>
          <t>https://genenta.gcs-web.com/news-releases/news-release-details/genenta-signs-definitive-agreements-sophia-high-tech</t>
        </is>
      </c>
    </row>
    <row r="157" ht="45" customHeight="1">
      <c r="A157" s="353" t="n">
        <v>157</v>
      </c>
      <c r="B157" s="353" t="inlineStr">
        <is>
          <t>EUR-032</t>
        </is>
      </c>
      <c r="C157" s="353" t="inlineStr">
        <is>
          <t>ALL.SPACE</t>
        </is>
      </c>
      <c r="D157" s="353" t="inlineStr">
        <is>
          <t>EUR-129</t>
        </is>
      </c>
      <c r="E157" s="353" t="inlineStr">
        <is>
          <t>ALL.SPACE</t>
        </is>
      </c>
      <c r="F157" s="353" t="inlineStr">
        <is>
          <t>replace</t>
        </is>
      </c>
      <c r="G157" s="353" t="inlineStr">
        <is>
          <t>verified</t>
        </is>
      </c>
      <c r="H157" s="353" t="inlineStr">
        <is>
          <t>Replace status/date: announced 30 April and completed 8 July 2026.</t>
        </is>
      </c>
      <c r="I157" s="353" t="inlineStr">
        <is>
          <t>Space &amp; Satellite Systems. Developer of terminal technology designed to improve enterprise mobility across land, sea, and air, from the operational capability to the passenger experience. The company's technology is used in designing and constructing a spectrally efficient, low-profile, multi-service, low-power, fully integrated range of terminals that are conformal, enabling clients to gain returns from access to a larger customer base and increase their profits and market shares.</t>
        </is>
      </c>
      <c r="J157" s="353" t="inlineStr">
        <is>
          <t>York Space Systems</t>
        </is>
      </c>
      <c r="K157" s="353" t="inlineStr">
        <is>
          <t>https://ir.yorkspacesystems.com/news/news-details/2026/York-Space-Systems-Completes-Acquisition-of-ALL-SPACE-Delivering-Assured-Communications-and-Positioning-in-Contested-Environments/default.aspx</t>
        </is>
      </c>
    </row>
    <row r="158" ht="45" customHeight="1">
      <c r="A158" s="353" t="n">
        <v>158</v>
      </c>
      <c r="B158" s="353" t="inlineStr">
        <is>
          <t>EUR-080</t>
        </is>
      </c>
      <c r="C158" s="353" t="inlineStr">
        <is>
          <t>Electrovac (FRA: EVAC)</t>
        </is>
      </c>
      <c r="D158" s="353" t="inlineStr">
        <is>
          <t>N/A</t>
        </is>
      </c>
      <c r="E158" s="353" t="inlineStr">
        <is>
          <t>Electrovac (FRA: EVAC)</t>
        </is>
      </c>
      <c r="F158" s="353" t="inlineStr">
        <is>
          <t>exclude</t>
        </is>
      </c>
      <c r="G158" s="353" t="inlineStr">
        <is>
          <t>verified</t>
        </is>
      </c>
      <c r="H158" s="353" t="inlineStr">
        <is>
          <t>Exclude under the strict policy: Electrovac is a diversified industrial-technology supplier serving automotive, aerospace, energy and general industry, without evidence that A&amp;D is primary. The IPO itself was verified.</t>
        </is>
      </c>
      <c r="I158" s="353" t="inlineStr">
        <is>
          <t>Defence Electronics &amp; Sensors. Electrovac AG is a long-standing world-wide company. It is one of the manufacturers of hermetic packages, glass-to-metal seals, and other specialized components for the reliable and long-term protection of sensitive electronics. In addition to glass-to-metal sealing technology, its core competencies include the production of stamped parts and glass preforms, surface finishing, and the manufacture of contact elements, turned parts, and milled parts.</t>
        </is>
      </c>
      <c r="J158" s="353" t="inlineStr">
        <is>
          <t>Deutsche Börse</t>
        </is>
      </c>
      <c r="K158" s="353" t="inlineStr">
        <is>
          <t>https://www.cashmarket.deutsche-boerse.com/cash-en/Data-Tech/statistics/New-Companies/electrovac-AG-5104316</t>
        </is>
      </c>
    </row>
    <row r="159" ht="45" customHeight="1">
      <c r="A159" s="353" t="n">
        <v>159</v>
      </c>
      <c r="B159" s="353" t="inlineStr">
        <is>
          <t>EUR-199</t>
        </is>
      </c>
      <c r="C159" s="353" t="inlineStr">
        <is>
          <t>Daedalean AG</t>
        </is>
      </c>
      <c r="D159" s="353" t="inlineStr">
        <is>
          <t>EUR-082</t>
        </is>
      </c>
      <c r="E159" s="353" t="inlineStr">
        <is>
          <t>Daedalean AG</t>
        </is>
      </c>
      <c r="F159" s="353" t="inlineStr">
        <is>
          <t>retain</t>
        </is>
      </c>
      <c r="G159" s="353" t="inlineStr">
        <is>
          <t>verified</t>
        </is>
      </c>
      <c r="H159" s="353" t="inlineStr">
        <is>
          <t>Retain under strict scope; completed transaction and primary aerospace-technology focus are supported by the cited source.</t>
        </is>
      </c>
      <c r="I159" s="353" t="inlineStr">
        <is>
          <t>Avionics / Autonomous Flight. Develops certifiable AI avionics, computer-vision and autonomous-flight systems for defense and civil aircraft.</t>
        </is>
      </c>
      <c r="J159" s="353" t="inlineStr">
        <is>
          <t>Destinus issuer release via PR Newswire</t>
        </is>
      </c>
      <c r="K159" s="353" t="inlineStr">
        <is>
          <t>https://www.prnewswire.com/news-releases/destinus-completes-acquisition-of-daedalean-accelerating-next-generation-ai-for-defense-and-civil-aviation-302652183.html</t>
        </is>
      </c>
    </row>
    <row r="160" ht="45" customHeight="1">
      <c r="A160" s="353" t="n">
        <v>160</v>
      </c>
      <c r="B160" s="353" t="inlineStr">
        <is>
          <t>EUR-200</t>
        </is>
      </c>
      <c r="C160" s="353" t="inlineStr">
        <is>
          <t>Faculty</t>
        </is>
      </c>
      <c r="D160" s="353" t="inlineStr">
        <is>
          <t>N/A</t>
        </is>
      </c>
      <c r="E160" s="353" t="inlineStr">
        <is>
          <t>Faculty</t>
        </is>
      </c>
      <c r="F160" s="353" t="inlineStr">
        <is>
          <t>exclude</t>
        </is>
      </c>
      <c r="G160" s="353" t="inlineStr">
        <is>
          <t>verified</t>
        </is>
      </c>
      <c r="H160" s="353" t="inlineStr">
        <is>
          <t>Exclude: general-purpose AI consultancy; A&amp;D is not established as the target's primary sector.</t>
        </is>
      </c>
      <c r="I160" s="353" t="inlineStr">
        <is>
          <t>Exclude: general-purpose AI consultancy; A&amp;D is not established as the target's primary sector.</t>
        </is>
      </c>
      <c r="J160" s="353" t="inlineStr">
        <is>
          <t>Accenture</t>
        </is>
      </c>
      <c r="K160" s="353" t="inlineStr">
        <is>
          <t>https://newsroom.accenture.com/news/2026/accenture-completes-acquisition-of-faculty</t>
        </is>
      </c>
    </row>
    <row r="161" ht="45" customHeight="1">
      <c r="A161" s="353" t="n">
        <v>161</v>
      </c>
      <c r="B161" s="353" t="inlineStr">
        <is>
          <t>EUR-201</t>
        </is>
      </c>
      <c r="C161" s="353" t="inlineStr">
        <is>
          <t>UAV Tactical Systems Ltd (UTACS)</t>
        </is>
      </c>
      <c r="D161" s="353" t="inlineStr">
        <is>
          <t>EUR-084</t>
        </is>
      </c>
      <c r="E161" s="353" t="inlineStr">
        <is>
          <t>UAV Tactical Systems Ltd (UTACS)</t>
        </is>
      </c>
      <c r="F161" s="353" t="inlineStr">
        <is>
          <t>retain</t>
        </is>
      </c>
      <c r="G161" s="353" t="inlineStr">
        <is>
          <t>verified</t>
        </is>
      </c>
      <c r="H161" s="353" t="inlineStr">
        <is>
          <t>Retain under strict scope; completed transaction and primary defence-UAS focus are supported by the cited source.</t>
        </is>
      </c>
      <c r="I161" s="353" t="inlineStr">
        <is>
          <t>Unmanned Aircraft Systems. Designs, manufactures and supports tactical unmanned aircraft systems used for intelligence, surveillance and reconnaissance missions.</t>
        </is>
      </c>
      <c r="J161" s="353" t="inlineStr">
        <is>
          <t>Elbit Systems</t>
        </is>
      </c>
      <c r="K161" s="353" t="inlineStr">
        <is>
          <t>https://www.elbitsystems.com/news/elbit-systems-expands-europe-full-acquisition-utacs</t>
        </is>
      </c>
    </row>
    <row r="162" ht="45" customHeight="1">
      <c r="A162" s="353" t="n">
        <v>162</v>
      </c>
      <c r="B162" s="353" t="inlineStr">
        <is>
          <t>EUR-202</t>
        </is>
      </c>
      <c r="C162" s="353" t="inlineStr">
        <is>
          <t>Hacker Motor GmbH</t>
        </is>
      </c>
      <c r="D162" s="353" t="inlineStr">
        <is>
          <t>EUR-089</t>
        </is>
      </c>
      <c r="E162" s="353" t="inlineStr">
        <is>
          <t>Hacker Motor GmbH</t>
        </is>
      </c>
      <c r="F162" s="353" t="inlineStr">
        <is>
          <t>retain</t>
        </is>
      </c>
      <c r="G162" s="353" t="inlineStr">
        <is>
          <t>verified</t>
        </is>
      </c>
      <c r="H162" s="353" t="inlineStr">
        <is>
          <t>Retain under strict scope; completed transaction and primary A&amp;D focus are supported by the cited source.</t>
        </is>
      </c>
      <c r="I162" s="353" t="inlineStr">
        <is>
          <t>UAV Propulsion. Develops and manufactures high-performance electric motors, controllers and propulsion systems used in unmanned aircraft and advanced mobility applications.</t>
        </is>
      </c>
      <c r="J162" s="353" t="inlineStr">
        <is>
          <t>Quantum Systems</t>
        </is>
      </c>
      <c r="K162" s="353" t="inlineStr">
        <is>
          <t>https://quantum-systems.com/news/quantum-systems-acquires-hacker-motor/</t>
        </is>
      </c>
    </row>
    <row r="163" ht="45" customHeight="1">
      <c r="A163" s="353" t="n">
        <v>163</v>
      </c>
      <c r="B163" s="353" t="inlineStr">
        <is>
          <t>EUR-203</t>
        </is>
      </c>
      <c r="C163" s="353" t="inlineStr">
        <is>
          <t>Blickfeld GmbH</t>
        </is>
      </c>
      <c r="D163" s="353" t="inlineStr">
        <is>
          <t>N/A</t>
        </is>
      </c>
      <c r="E163" s="353" t="inlineStr">
        <is>
          <t>Blickfeld GmbH</t>
        </is>
      </c>
      <c r="F163" s="353" t="inlineStr">
        <is>
          <t>exclude</t>
        </is>
      </c>
      <c r="G163" s="353" t="inlineStr">
        <is>
          <t>verified</t>
        </is>
      </c>
      <c r="H163" s="353" t="inlineStr">
        <is>
          <t>Exclude: general lidar company serving physical security, industry and traffic; not core A&amp;D technology.</t>
        </is>
      </c>
      <c r="I163" s="353" t="inlineStr">
        <is>
          <t>Exclude: general lidar company serving physical security, industry and traffic; not core A&amp;D technology.</t>
        </is>
      </c>
      <c r="J163" s="353" t="inlineStr">
        <is>
          <t>U.S. Securities and Exchange Commission filing</t>
        </is>
      </c>
      <c r="K163" s="353" t="inlineStr">
        <is>
          <t>https://www.sec.gov/Archives/edgar/data/1993727/000117891326002328/zk2635101.htm</t>
        </is>
      </c>
    </row>
    <row r="164" ht="45" customHeight="1">
      <c r="A164" s="353" t="n">
        <v>164</v>
      </c>
      <c r="B164" s="353" t="inlineStr">
        <is>
          <t>EUR-204</t>
        </is>
      </c>
      <c r="C164" s="353" t="inlineStr">
        <is>
          <t>LMO Luxembourg Operations</t>
        </is>
      </c>
      <c r="D164" s="353" t="inlineStr">
        <is>
          <t>EUR-093</t>
        </is>
      </c>
      <c r="E164" s="353" t="inlineStr">
        <is>
          <t>LMO Luxembourg Operations</t>
        </is>
      </c>
      <c r="F164" s="353" t="inlineStr">
        <is>
          <t>retain</t>
        </is>
      </c>
      <c r="G164" s="353" t="inlineStr">
        <is>
          <t>verified</t>
        </is>
      </c>
      <c r="H164" s="353" t="inlineStr">
        <is>
          <t>Retain under strict scope; completed transaction and primary A&amp;D focus are supported by the cited source.</t>
        </is>
      </c>
      <c r="I164" s="353" t="inlineStr">
        <is>
          <t>Space-technology operations involving orbital/space capabilities; treated as an identifiable operating business rather than isolated equipment.</t>
        </is>
      </c>
      <c r="J164" s="353" t="inlineStr">
        <is>
          <t>Infinite Orbits</t>
        </is>
      </c>
      <c r="K164" s="353" t="inlineStr">
        <is>
          <t>https://www.infiniteorbits.io/post/infinite-orbits-expands-into-luxembourg</t>
        </is>
      </c>
    </row>
    <row r="165" ht="45" customHeight="1">
      <c r="A165" s="353" t="n">
        <v>165</v>
      </c>
      <c r="B165" s="353" t="inlineStr">
        <is>
          <t>EUR-205</t>
        </is>
      </c>
      <c r="C165" s="353" t="inlineStr">
        <is>
          <t>Naval Vessels Lürssen (NVL)</t>
        </is>
      </c>
      <c r="D165" s="353" t="inlineStr">
        <is>
          <t>EUR-096</t>
        </is>
      </c>
      <c r="E165" s="353" t="inlineStr">
        <is>
          <t>Naval Vessels Lürssen (NVL)</t>
        </is>
      </c>
      <c r="F165" s="353" t="inlineStr">
        <is>
          <t>retain</t>
        </is>
      </c>
      <c r="G165" s="353" t="inlineStr">
        <is>
          <t>verified</t>
        </is>
      </c>
      <c r="H165" s="353" t="inlineStr">
        <is>
          <t>Retain under strict scope; completed transaction and primary A&amp;D focus are supported by the cited source.</t>
        </is>
      </c>
      <c r="I165" s="353" t="inlineStr">
        <is>
          <t>Naval Platforms / Shipbuilding. Designs, builds and supports naval vessels and maritime-defense platforms for the German Navy and international customers.</t>
        </is>
      </c>
      <c r="J165" s="353" t="inlineStr">
        <is>
          <t>Rheinmetall</t>
        </is>
      </c>
      <c r="K165" s="353" t="inlineStr">
        <is>
          <t>https://www.rheinmetall.com/en/media/news-watch/news/2026/03/2026-03-02-rheinmetall-takes-over-nvl</t>
        </is>
      </c>
    </row>
    <row r="166" ht="45" customHeight="1">
      <c r="A166" s="353" t="n">
        <v>166</v>
      </c>
      <c r="B166" s="353" t="inlineStr">
        <is>
          <t>EUR-206</t>
        </is>
      </c>
      <c r="C166" s="353" t="inlineStr">
        <is>
          <t>Lúnasa Space</t>
        </is>
      </c>
      <c r="D166" s="353" t="inlineStr">
        <is>
          <t>EUR-099</t>
        </is>
      </c>
      <c r="E166" s="353" t="inlineStr">
        <is>
          <t>Lúnasa Space</t>
        </is>
      </c>
      <c r="F166" s="353" t="inlineStr">
        <is>
          <t>retain</t>
        </is>
      </c>
      <c r="G166" s="353" t="inlineStr">
        <is>
          <t>verified</t>
        </is>
      </c>
      <c r="H166" s="353" t="inlineStr">
        <is>
          <t>Retain under strict scope; completed transaction and primary A&amp;D focus are supported by the cited source.</t>
        </is>
      </c>
      <c r="I166" s="353" t="inlineStr">
        <is>
          <t>Space Logistics / In-Orbit Services. Develops orbital-transfer and in-space logistics solutions for satellite deployment, hosted payloads and mission services.</t>
        </is>
      </c>
      <c r="J166" s="353" t="inlineStr">
        <is>
          <t>Infinite Orbits</t>
        </is>
      </c>
      <c r="K166" s="353" t="inlineStr">
        <is>
          <t>https://www.infiniteorbits.io/post/infinite-orbits-expands-into-the-uk</t>
        </is>
      </c>
    </row>
    <row r="167" ht="45" customHeight="1">
      <c r="A167" s="353" t="n">
        <v>167</v>
      </c>
      <c r="B167" s="353" t="inlineStr">
        <is>
          <t>EUR-207</t>
        </is>
      </c>
      <c r="C167" s="353" t="inlineStr">
        <is>
          <t>Nedinsco</t>
        </is>
      </c>
      <c r="D167" s="353" t="inlineStr">
        <is>
          <t>EUR-119</t>
        </is>
      </c>
      <c r="E167" s="353" t="inlineStr">
        <is>
          <t>Nedinsco</t>
        </is>
      </c>
      <c r="F167" s="353" t="inlineStr">
        <is>
          <t>retain</t>
        </is>
      </c>
      <c r="G167" s="353" t="inlineStr">
        <is>
          <t>verified</t>
        </is>
      </c>
      <c r="H167" s="353" t="inlineStr">
        <is>
          <t>Retain under strict scope; completed transaction and primary A&amp;D focus are supported by the cited source.</t>
        </is>
      </c>
      <c r="I167" s="353" t="inlineStr">
        <is>
          <t>Optronics / Fire Control. Develops and manufactures high-precision optical, optronic and mechatronic systems for defense, security and industrial customers.</t>
        </is>
      </c>
      <c r="J167" s="353" t="inlineStr">
        <is>
          <t>HENSOLDT</t>
        </is>
      </c>
      <c r="K167" s="353" t="inlineStr">
        <is>
          <t>https://investors.hensoldt.net/news/hensoldt-uebernimmt-nedinsco-und-baut-seine-praesenz-in-europa-aus/ba1a6bf4-f402-495d-b9c4-542c4b6172d1</t>
        </is>
      </c>
    </row>
    <row r="168" ht="45" customHeight="1">
      <c r="A168" s="353" t="n">
        <v>168</v>
      </c>
      <c r="B168" s="353" t="inlineStr">
        <is>
          <t>EUR-208</t>
        </is>
      </c>
      <c r="C168" s="353" t="inlineStr">
        <is>
          <t>Rotron Aerospace Ltd</t>
        </is>
      </c>
      <c r="D168" s="353" t="inlineStr">
        <is>
          <t>EUR-101</t>
        </is>
      </c>
      <c r="E168" s="353" t="inlineStr">
        <is>
          <t>Rotron Aerospace Ltd</t>
        </is>
      </c>
      <c r="F168" s="353" t="inlineStr">
        <is>
          <t>retain</t>
        </is>
      </c>
      <c r="G168" s="353" t="inlineStr">
        <is>
          <t>verified</t>
        </is>
      </c>
      <c r="H168" s="353" t="inlineStr">
        <is>
          <t>Retain under strict scope; completed transaction and primary A&amp;D focus are supported by the cited source.</t>
        </is>
      </c>
      <c r="I168" s="353" t="inlineStr">
        <is>
          <t>UAV Propulsion. Designs and manufactures advanced rotary and heavy-fuel propulsion systems for unmanned aircraft and aerospace applications.</t>
        </is>
      </c>
      <c r="J168" s="353" t="inlineStr">
        <is>
          <t>Ondas Holdings</t>
        </is>
      </c>
      <c r="K168" s="353" t="inlineStr">
        <is>
          <t>https://ir.ondas.com/press-releases/detail/291/ondas-completes-acquisition-of-rotron-aerospace-ltd</t>
        </is>
      </c>
    </row>
    <row r="169" ht="45" customHeight="1">
      <c r="A169" s="353" t="n">
        <v>169</v>
      </c>
      <c r="B169" s="353" t="inlineStr">
        <is>
          <t>EUR-209</t>
        </is>
      </c>
      <c r="C169" s="353" t="inlineStr">
        <is>
          <t>STI Enterprises Holdings</t>
        </is>
      </c>
      <c r="D169" s="353" t="inlineStr">
        <is>
          <t>EUR-103</t>
        </is>
      </c>
      <c r="E169" s="353" t="inlineStr">
        <is>
          <t>STI Enterprises Holdings</t>
        </is>
      </c>
      <c r="F169" s="353" t="inlineStr">
        <is>
          <t>retain</t>
        </is>
      </c>
      <c r="G169" s="353" t="inlineStr">
        <is>
          <t>verified</t>
        </is>
      </c>
      <c r="H169" s="353" t="inlineStr">
        <is>
          <t>Retain under strict scope; completed transaction and primary A&amp;D focus are supported by the cited source.</t>
        </is>
      </c>
      <c r="I169" s="353" t="inlineStr">
        <is>
          <t>Defense Electronics Manufacturing. Provides high-reliability electronics manufacturing, integration and lifecycle services primarily to UK defense and aerospace customers.</t>
        </is>
      </c>
      <c r="J169" s="353" t="inlineStr">
        <is>
          <t>NOTE AB</t>
        </is>
      </c>
      <c r="K169" s="353" t="inlineStr">
        <is>
          <t>https://www.note-ems.com/en/press-release/note-strengthens-position-in-defence-through-acquisition-of-sti-uks-leading-ems-defence-industry-partner-reaffirms-2026-outlook-and-announces-q1-outlook/</t>
        </is>
      </c>
    </row>
    <row r="170" ht="45" customHeight="1">
      <c r="A170" s="353" t="n">
        <v>170</v>
      </c>
      <c r="B170" s="353" t="inlineStr">
        <is>
          <t>EUR-210</t>
        </is>
      </c>
      <c r="C170" s="353" t="inlineStr">
        <is>
          <t>GEM Elettronica (remaining 35%)</t>
        </is>
      </c>
      <c r="D170" s="353" t="inlineStr">
        <is>
          <t>N/A</t>
        </is>
      </c>
      <c r="E170" s="353" t="inlineStr">
        <is>
          <t>GEM Elettronica (remaining 35%)</t>
        </is>
      </c>
      <c r="F170" s="353" t="inlineStr">
        <is>
          <t>exclude</t>
        </is>
      </c>
      <c r="G170" s="353" t="inlineStr">
        <is>
          <t>verified</t>
        </is>
      </c>
      <c r="H170" s="353" t="inlineStr">
        <is>
          <t>Exclude: Leonardo already controlled GEM Elettronica from 2024; 2026 purchase was only the remaining 35% top-up.</t>
        </is>
      </c>
      <c r="I170" s="353" t="inlineStr">
        <is>
          <t>Exclude: Leonardo already controlled GEM Elettronica from 2024; 2026 purchase was only the remaining 35% top-up.</t>
        </is>
      </c>
      <c r="J170" s="353" t="inlineStr">
        <is>
          <t>Leonardo</t>
        </is>
      </c>
      <c r="K170" s="353" t="inlineStr">
        <is>
          <t>https://www.leonardo.com/en/press-release-detail/-/detail/23-03-2026-leonardo-completes-acquisition-of-gem-elettronica?f=%2Fhome</t>
        </is>
      </c>
    </row>
    <row r="171" ht="45" customHeight="1">
      <c r="A171" s="353" t="n">
        <v>171</v>
      </c>
      <c r="B171" s="353" t="inlineStr">
        <is>
          <t>EUR-211</t>
        </is>
      </c>
      <c r="C171" s="353" t="inlineStr">
        <is>
          <t>Ultra Cyber Ltd</t>
        </is>
      </c>
      <c r="D171" s="353" t="inlineStr">
        <is>
          <t>PEND-001</t>
        </is>
      </c>
      <c r="E171" s="353" t="inlineStr">
        <is>
          <t>Ultra Cyber Ltd</t>
        </is>
      </c>
      <c r="F171" s="353" t="inlineStr">
        <is>
          <t>move_pending</t>
        </is>
      </c>
      <c r="G171" s="353" t="inlineStr">
        <is>
          <t>verified</t>
        </is>
      </c>
      <c r="H171" s="353" t="inlineStr">
        <is>
          <t>Qualifying A&amp;D control transaction, but not completed by 2026-08-02; move to the pending pipeline.</t>
        </is>
      </c>
      <c r="I171" s="353" t="inlineStr">
        <is>
          <t>Defense Cyber / Secure Communications. Provides sovereign cryptographic products, key-management systems and secure-communications technologies for government and defense customers.</t>
        </is>
      </c>
      <c r="J171" s="353" t="inlineStr">
        <is>
          <t>Airbus</t>
        </is>
      </c>
      <c r="K171" s="353" t="inlineStr">
        <is>
          <t>https://www.airbus.com/en/newsroom/press-releases/2026-03-airbus-continues-to-strengthen-sovereign-cyber-security-with-acquisition-of-ultra-cyber-ltd-in-the</t>
        </is>
      </c>
    </row>
    <row r="172" ht="45" customHeight="1">
      <c r="A172" s="353" t="n">
        <v>172</v>
      </c>
      <c r="B172" s="353" t="inlineStr">
        <is>
          <t>EUR-212</t>
        </is>
      </c>
      <c r="C172" s="353" t="inlineStr">
        <is>
          <t>Scandinavian Seaplanes Oy / Atol Aviation</t>
        </is>
      </c>
      <c r="D172" s="353" t="inlineStr">
        <is>
          <t>EUR-106</t>
        </is>
      </c>
      <c r="E172" s="353" t="inlineStr">
        <is>
          <t>Scandinavian Seaplanes Oy / Atol Aviation</t>
        </is>
      </c>
      <c r="F172" s="353" t="inlineStr">
        <is>
          <t>retain</t>
        </is>
      </c>
      <c r="G172" s="353" t="inlineStr">
        <is>
          <t>verified</t>
        </is>
      </c>
      <c r="H172" s="353" t="inlineStr">
        <is>
          <t>Retain under strict scope; completed transaction and primary A&amp;D focus are supported by the cited source.</t>
        </is>
      </c>
      <c r="I172" s="353" t="inlineStr">
        <is>
          <t>Aircraft Platforms / Dual-Use Aviation. Develops the Atol Protector amphibious aircraft platform for civil, governmental and military operators, with surveillance, patrol, transport and special-purpose applications.</t>
        </is>
      </c>
      <c r="J172" s="353" t="inlineStr">
        <is>
          <t>Atol Aviation</t>
        </is>
      </c>
      <c r="K172" s="353" t="inlineStr">
        <is>
          <t>https://www.atolaviation.com/atol_news_blog31mar2026.html</t>
        </is>
      </c>
    </row>
    <row r="173" ht="45" customHeight="1">
      <c r="A173" s="353" t="n">
        <v>173</v>
      </c>
      <c r="B173" s="353" t="inlineStr">
        <is>
          <t>EUR-213</t>
        </is>
      </c>
      <c r="C173" s="353" t="inlineStr">
        <is>
          <t>HeliControl Kft</t>
        </is>
      </c>
      <c r="D173" s="353" t="inlineStr">
        <is>
          <t>N/A</t>
        </is>
      </c>
      <c r="E173" s="353" t="inlineStr">
        <is>
          <t>HeliControl Kft</t>
        </is>
      </c>
      <c r="F173" s="353" t="inlineStr">
        <is>
          <t>exclude</t>
        </is>
      </c>
      <c r="G173" s="353" t="inlineStr">
        <is>
          <t>verified</t>
        </is>
      </c>
      <c r="H173" s="353" t="inlineStr">
        <is>
          <t>Exclude: helicopter maintenance/operations service company, not core A&amp;D technology.</t>
        </is>
      </c>
      <c r="I173" s="353" t="inlineStr">
        <is>
          <t>Exclude: helicopter maintenance/operations service company, not core A&amp;D technology.</t>
        </is>
      </c>
      <c r="J173" s="353" t="inlineStr">
        <is>
          <t>4iG</t>
        </is>
      </c>
      <c r="K173" s="353" t="inlineStr">
        <is>
          <t>https://www.4ig.hu/sw/static/file/4iGconsolidatedreport2026Q1EN.pdf</t>
        </is>
      </c>
    </row>
    <row r="174" ht="45" customHeight="1">
      <c r="A174" s="353" t="n">
        <v>174</v>
      </c>
      <c r="B174" s="353" t="inlineStr">
        <is>
          <t>EUR-214</t>
        </is>
      </c>
      <c r="C174" s="353" t="inlineStr">
        <is>
          <t>Air Alliance GmbH</t>
        </is>
      </c>
      <c r="D174" s="353" t="inlineStr">
        <is>
          <t>N/A</t>
        </is>
      </c>
      <c r="E174" s="353" t="inlineStr">
        <is>
          <t>Air Alliance GmbH</t>
        </is>
      </c>
      <c r="F174" s="353" t="inlineStr">
        <is>
          <t>exclude</t>
        </is>
      </c>
      <c r="G174" s="353" t="inlineStr">
        <is>
          <t>verified</t>
        </is>
      </c>
      <c r="H174" s="353" t="inlineStr">
        <is>
          <t>Exclude: aircraft sales, maintenance, training and AOC-management services; also pending at cutoff.</t>
        </is>
      </c>
      <c r="I174" s="353" t="inlineStr">
        <is>
          <t>Exclude: aircraft sales, maintenance, training and AOC-management services; also pending at cutoff.</t>
        </is>
      </c>
      <c r="J174" s="353" t="inlineStr">
        <is>
          <t>Air Alliance</t>
        </is>
      </c>
      <c r="K174" s="353" t="inlineStr">
        <is>
          <t>https://air-alliance.de/en/blog/blog-detail/important-update</t>
        </is>
      </c>
    </row>
    <row r="175" ht="45" customHeight="1">
      <c r="A175" s="353" t="n">
        <v>175</v>
      </c>
      <c r="B175" s="353" t="inlineStr">
        <is>
          <t>EUR-215</t>
        </is>
      </c>
      <c r="C175" s="353" t="inlineStr">
        <is>
          <t>Texelis Defense (renamed KNDS Mobility)</t>
        </is>
      </c>
      <c r="D175" s="353" t="inlineStr">
        <is>
          <t>EUR-109</t>
        </is>
      </c>
      <c r="E175" s="353" t="inlineStr">
        <is>
          <t>Texelis Defense (renamed KNDS Mobility)</t>
        </is>
      </c>
      <c r="F175" s="353" t="inlineStr">
        <is>
          <t>retain</t>
        </is>
      </c>
      <c r="G175" s="353" t="inlineStr">
        <is>
          <t>verified</t>
        </is>
      </c>
      <c r="H175" s="353" t="inlineStr">
        <is>
          <t>Retain under strict scope; completed transaction and primary A&amp;D focus are supported by the cited source.</t>
        </is>
      </c>
      <c r="I175" s="353" t="inlineStr">
        <is>
          <t>Land Systems / Military Vehicle Mobility. Designs and manufactures mobility systems, axles and complete driveline solutions for wheeled armored and special-purpose military vehicles.</t>
        </is>
      </c>
      <c r="J175" s="353" t="inlineStr">
        <is>
          <t>KNDS</t>
        </is>
      </c>
      <c r="K175" s="353" t="inlineStr">
        <is>
          <t>https://knds.com/en/press-releases/texelis-defense-becomes-knds-mobility-and-joins-the-european-leader-in-land-defense</t>
        </is>
      </c>
    </row>
    <row r="176" ht="45" customHeight="1">
      <c r="A176" s="353" t="n">
        <v>176</v>
      </c>
      <c r="B176" s="353" t="inlineStr">
        <is>
          <t>EUR-216</t>
        </is>
      </c>
      <c r="C176" s="353" t="inlineStr">
        <is>
          <t>AeroDesignWorks GmbH</t>
        </is>
      </c>
      <c r="D176" s="353" t="inlineStr">
        <is>
          <t>EUR-110</t>
        </is>
      </c>
      <c r="E176" s="353" t="inlineStr">
        <is>
          <t>AeroDesignWorks GmbH</t>
        </is>
      </c>
      <c r="F176" s="353" t="inlineStr">
        <is>
          <t>replace</t>
        </is>
      </c>
      <c r="G176" s="353" t="inlineStr">
        <is>
          <t>verified</t>
        </is>
      </c>
      <c r="H176" s="353" t="inlineStr">
        <is>
          <t>Replace status: the official MTU release states MTU acquired 100%; treat 8 April as completed.</t>
        </is>
      </c>
      <c r="I176" s="353" t="inlineStr">
        <is>
          <t>UAV Propulsion / Aerospace Engineering. Provides aerospace design and engineering capabilities, including propulsion-system development for unmanned and advanced aircraft.</t>
        </is>
      </c>
      <c r="J176" s="353" t="inlineStr">
        <is>
          <t>MTU Aero Engines</t>
        </is>
      </c>
      <c r="K176" s="353" t="inlineStr">
        <is>
          <t>https://www.mtu.de/newsroom/press/latest-press-releases/press-release-detail/mtu-aero-engines-expands-its-portfolio-to-include-uav-propulsion-systems/</t>
        </is>
      </c>
    </row>
    <row r="177" ht="45" customHeight="1">
      <c r="A177" s="353" t="n">
        <v>177</v>
      </c>
      <c r="B177" s="353" t="inlineStr">
        <is>
          <t>EUR-217</t>
        </is>
      </c>
      <c r="C177" s="353" t="inlineStr">
        <is>
          <t>Senior plc</t>
        </is>
      </c>
      <c r="D177" s="353" t="inlineStr">
        <is>
          <t>PEND-003</t>
        </is>
      </c>
      <c r="E177" s="353" t="inlineStr">
        <is>
          <t>Senior plc</t>
        </is>
      </c>
      <c r="F177" s="353" t="inlineStr">
        <is>
          <t>move_pending</t>
        </is>
      </c>
      <c r="G177" s="353" t="inlineStr">
        <is>
          <t>verified</t>
        </is>
      </c>
      <c r="H177" s="353" t="inlineStr">
        <is>
          <t>Retain only in the pending pipeline: the proposed 100% acquisition was announced but not completed by 2026-08-02; Senior's majority Aerospace operating division establishes core sector scope.</t>
        </is>
      </c>
      <c r="I177" s="353" t="inlineStr">
        <is>
          <t>Aerospace is Senior's primary operating division: 2025 external Aerospace revenue was GBP 425.3m, or 57.6% of Group revenue. Direct end markets were civil aerospace 32% and defence 16%, with a further 10% of Group revenue from adjacent markets served by Aerospace operating businesses.</t>
        </is>
      </c>
      <c r="J177" s="353" t="inlineStr">
        <is>
          <t>Regulatory issuer announcement via Investegate</t>
        </is>
      </c>
      <c r="K177" s="353" t="inlineStr">
        <is>
          <t>https://www.investegate.co.uk/announcement/rns/senior--snr/recommended-cash-acquisition-of-senior-plc/9508660</t>
        </is>
      </c>
    </row>
    <row r="178" ht="45" customHeight="1">
      <c r="A178" s="353" t="n">
        <v>178</v>
      </c>
      <c r="B178" s="353" t="inlineStr">
        <is>
          <t>EUR-218</t>
        </is>
      </c>
      <c r="C178" s="353" t="inlineStr">
        <is>
          <t>Quarkslab</t>
        </is>
      </c>
      <c r="D178" s="353" t="inlineStr">
        <is>
          <t>PEND-004</t>
        </is>
      </c>
      <c r="E178" s="353" t="inlineStr">
        <is>
          <t>Quarkslab</t>
        </is>
      </c>
      <c r="F178" s="353" t="inlineStr">
        <is>
          <t>move_pending</t>
        </is>
      </c>
      <c r="G178" s="353" t="inlineStr">
        <is>
          <t>verified</t>
        </is>
      </c>
      <c r="H178" s="353" t="inlineStr">
        <is>
          <t>Qualifying A&amp;D control transaction, but not completed by 2026-08-02; move to the pending pipeline.</t>
        </is>
      </c>
      <c r="I178" s="353" t="inlineStr">
        <is>
          <t>Defense Cyber / Sovereign Security. Provides advanced cybersecurity research, software and services including vulnerability analysis, reverse engineering and endpoint protection.</t>
        </is>
      </c>
      <c r="J178" s="353" t="inlineStr">
        <is>
          <t>Airbus</t>
        </is>
      </c>
      <c r="K178" s="353" t="inlineStr">
        <is>
          <t>https://www.airbus.com/en/newsroom/press-releases/2026-04-airbus-strengthens-sovereign-cyber-security-with-acquisition-of-quarkslab-in-france</t>
        </is>
      </c>
    </row>
    <row r="179" ht="45" customHeight="1">
      <c r="A179" s="353" t="n">
        <v>179</v>
      </c>
      <c r="B179" s="353" t="inlineStr">
        <is>
          <t>EUR-219</t>
        </is>
      </c>
      <c r="C179" s="353" t="inlineStr">
        <is>
          <t>Starion Group</t>
        </is>
      </c>
      <c r="D179" s="353" t="inlineStr">
        <is>
          <t>EUR-112</t>
        </is>
      </c>
      <c r="E179" s="353" t="inlineStr">
        <is>
          <t>Starion Group</t>
        </is>
      </c>
      <c r="F179" s="353" t="inlineStr">
        <is>
          <t>retain</t>
        </is>
      </c>
      <c r="G179" s="353" t="inlineStr">
        <is>
          <t>verified</t>
        </is>
      </c>
      <c r="H179" s="353" t="inlineStr">
        <is>
          <t>Retain under strict scope; completed transaction and primary A&amp;D focus are supported by the cited source.</t>
        </is>
      </c>
      <c r="I179" s="353" t="inlineStr">
        <is>
          <t>Space Systems Engineering / Mission Operations. Provides space systems engineering, mission operations, ground-segment, data and cybersecurity services to European institutional and commercial customers.</t>
        </is>
      </c>
      <c r="J179" s="353" t="inlineStr">
        <is>
          <t>Starion Group</t>
        </is>
      </c>
      <c r="K179" s="353" t="inlineStr">
        <is>
          <t>https://www.stariongroup.eu/completion-of-starion-and-nexova-acquisitions/</t>
        </is>
      </c>
    </row>
    <row r="180" ht="45" customHeight="1">
      <c r="A180" s="353" t="n">
        <v>180</v>
      </c>
      <c r="B180" s="353" t="inlineStr">
        <is>
          <t>EUR-220</t>
        </is>
      </c>
      <c r="C180" s="353" t="inlineStr">
        <is>
          <t>Nexova Group</t>
        </is>
      </c>
      <c r="D180" s="353" t="inlineStr">
        <is>
          <t>N/A</t>
        </is>
      </c>
      <c r="E180" s="353" t="inlineStr">
        <is>
          <t>Nexova Group</t>
        </is>
      </c>
      <c r="F180" s="353" t="inlineStr">
        <is>
          <t>exclude</t>
        </is>
      </c>
      <c r="G180" s="353" t="inlineStr">
        <is>
          <t>verified</t>
        </is>
      </c>
      <c r="H180" s="353" t="inlineStr">
        <is>
          <t>Exclude under the strict policy: Nexova provides general cybersecurity and critical-infrastructure services; the cited primary source does not establish A&amp;D as its primary business.</t>
        </is>
      </c>
      <c r="I180" s="353" t="inlineStr">
        <is>
          <t>Cybersecurity / Secure Systems. Provides cybersecurity consulting, managed security and secure digital-transformation services for regulated, public-sector and critical-infrastructure customers.</t>
        </is>
      </c>
      <c r="J180" s="353" t="inlineStr">
        <is>
          <t>Starion Group</t>
        </is>
      </c>
      <c r="K180" s="353" t="inlineStr">
        <is>
          <t>https://www.stariongroup.eu/completion-of-starion-and-nexova-acquisitions/</t>
        </is>
      </c>
    </row>
    <row r="181" ht="45" customHeight="1">
      <c r="A181" s="353" t="n">
        <v>181</v>
      </c>
      <c r="B181" s="353" t="inlineStr">
        <is>
          <t>EUR-221</t>
        </is>
      </c>
      <c r="C181" s="353" t="inlineStr">
        <is>
          <t>Tethys</t>
        </is>
      </c>
      <c r="D181" s="353" t="inlineStr">
        <is>
          <t>EUR-113</t>
        </is>
      </c>
      <c r="E181" s="353" t="inlineStr">
        <is>
          <t>Tethys</t>
        </is>
      </c>
      <c r="F181" s="353" t="inlineStr">
        <is>
          <t>retain</t>
        </is>
      </c>
      <c r="G181" s="353" t="inlineStr">
        <is>
          <t>verified</t>
        </is>
      </c>
      <c r="H181" s="353" t="inlineStr">
        <is>
          <t>Retain under strict scope; completed transaction and primary A&amp;D focus are supported by the cited source.</t>
        </is>
      </c>
      <c r="I181" s="353" t="inlineStr">
        <is>
          <t>Pyrotechnics / Aerospace Components. Designs and manufactures pyrotechnic and pyromechanical components and systems for defense, aerospace and space programs.</t>
        </is>
      </c>
      <c r="J181" s="353" t="inlineStr">
        <is>
          <t>Abenex</t>
        </is>
      </c>
      <c r="K181" s="353" t="inlineStr">
        <is>
          <t>https://www.abenex.com/en/publications/abenex-acquires-tethys</t>
        </is>
      </c>
    </row>
    <row r="182" ht="45" customHeight="1">
      <c r="A182" s="353" t="n">
        <v>182</v>
      </c>
      <c r="B182" s="353" t="inlineStr">
        <is>
          <t>EUR-222</t>
        </is>
      </c>
      <c r="C182" s="353" t="inlineStr">
        <is>
          <t>SensusQ</t>
        </is>
      </c>
      <c r="D182" s="353" t="inlineStr">
        <is>
          <t>EUR-130</t>
        </is>
      </c>
      <c r="E182" s="353" t="inlineStr">
        <is>
          <t>SensusQ</t>
        </is>
      </c>
      <c r="F182" s="353" t="inlineStr">
        <is>
          <t>replace</t>
        </is>
      </c>
      <c r="G182" s="353" t="inlineStr">
        <is>
          <t>verified</t>
        </is>
      </c>
      <c r="H182" s="353" t="inlineStr">
        <is>
          <t>Replace structure/date support: acquisition announcement was 10 July; 100% signing evidence comes from Estonian concentration records.</t>
        </is>
      </c>
      <c r="I182" s="353" t="inlineStr">
        <is>
          <t>C4ISR / Defense Intelligence Software. Develops intelligence-management and AI-enabled data-fusion software for defense, security and operational decision support.</t>
        </is>
      </c>
      <c r="J182" s="353" t="inlineStr">
        <is>
          <t>Quantum Systems</t>
        </is>
      </c>
      <c r="K182" s="353" t="inlineStr">
        <is>
          <t>https://quantum-systems.com/news/quantum-systems-expands-estonia/</t>
        </is>
      </c>
    </row>
    <row r="183" ht="45" customHeight="1">
      <c r="A183" s="353" t="n">
        <v>183</v>
      </c>
      <c r="B183" s="353" t="inlineStr">
        <is>
          <t>EUR-223</t>
        </is>
      </c>
      <c r="C183" s="353" t="inlineStr">
        <is>
          <t>Gauzy SAS / Vision Systems aeronautical activities</t>
        </is>
      </c>
      <c r="D183" s="353" t="inlineStr">
        <is>
          <t>EUR-114</t>
        </is>
      </c>
      <c r="E183" s="353" t="inlineStr">
        <is>
          <t>Gauzy SAS / Vision Systems aeronautical activities</t>
        </is>
      </c>
      <c r="F183" s="353" t="inlineStr">
        <is>
          <t>retain</t>
        </is>
      </c>
      <c r="G183" s="353" t="inlineStr">
        <is>
          <t>verified</t>
        </is>
      </c>
      <c r="H183" s="353" t="inlineStr">
        <is>
          <t>Retain under strict scope; completed transaction and primary A&amp;D focus are supported by the cited source.</t>
        </is>
      </c>
      <c r="I183" s="353" t="inlineStr">
        <is>
          <t>Transferred aeronautical operating activities produce aircraft vision/shading systems; treated as an identifiable aerospace business carve-out.</t>
        </is>
      </c>
      <c r="J183" s="353" t="inlineStr">
        <is>
          <t>Clayens</t>
        </is>
      </c>
      <c r="K183" s="353" t="inlineStr">
        <is>
          <t>https://www.clayens.com/en/sintex-group-news/clayens-announces-acquisition-aeronautical-activities-gauzy-sasvision-systems-and</t>
        </is>
      </c>
    </row>
    <row r="184" ht="45" customHeight="1">
      <c r="A184" s="353" t="n">
        <v>184</v>
      </c>
      <c r="B184" s="353" t="inlineStr">
        <is>
          <t>EUR-224</t>
        </is>
      </c>
      <c r="C184" s="353" t="inlineStr">
        <is>
          <t>KT-Shelter Oy</t>
        </is>
      </c>
      <c r="D184" s="353" t="inlineStr">
        <is>
          <t>EUR-118</t>
        </is>
      </c>
      <c r="E184" s="353" t="inlineStr">
        <is>
          <t>KT-Shelter Oy</t>
        </is>
      </c>
      <c r="F184" s="353" t="inlineStr">
        <is>
          <t>replace</t>
        </is>
      </c>
      <c r="G184" s="353" t="inlineStr">
        <is>
          <t>verified</t>
        </is>
      </c>
      <c r="H184" s="353" t="inlineStr">
        <is>
          <t>Replace consideration basis with EUR 22m upfront plus up to EUR 4m earn-out.</t>
        </is>
      </c>
      <c r="I184" s="353" t="inlineStr">
        <is>
          <t>Deployable Defense Infrastructure. Designs and manufactures deployable shelters and mobile infrastructure systems for defense, emergency and critical-operations customers.</t>
        </is>
      </c>
      <c r="J184" s="353" t="inlineStr">
        <is>
          <t>W5 Solutions</t>
        </is>
      </c>
      <c r="K184" s="353" t="inlineStr">
        <is>
          <t>https://w5solutions.com/mfn_news/w5-solutions-completes-the-acquisition-of-kt-shelter/</t>
        </is>
      </c>
    </row>
    <row r="185" ht="45" customHeight="1">
      <c r="A185" s="353" t="n">
        <v>185</v>
      </c>
      <c r="B185" s="353" t="inlineStr">
        <is>
          <t>EUR-225</t>
        </is>
      </c>
      <c r="C185" s="353" t="inlineStr">
        <is>
          <t>Swift Works assets</t>
        </is>
      </c>
      <c r="D185" s="353" t="inlineStr">
        <is>
          <t>N/A</t>
        </is>
      </c>
      <c r="E185" s="353" t="inlineStr">
        <is>
          <t>Swift Works assets</t>
        </is>
      </c>
      <c r="F185" s="353" t="inlineStr">
        <is>
          <t>exclude</t>
        </is>
      </c>
      <c r="G185" s="353" t="inlineStr">
        <is>
          <t>verified</t>
        </is>
      </c>
      <c r="H185" s="353" t="inlineStr">
        <is>
          <t>Exclude: explicit acquisition of selected assets only, not a company or identifiable operating business.</t>
        </is>
      </c>
      <c r="I185" s="353" t="inlineStr">
        <is>
          <t>Exclude: explicit acquisition of selected assets only, not a company or identifiable operating business.</t>
        </is>
      </c>
      <c r="J185" s="353" t="inlineStr">
        <is>
          <t>MTX Solutions release via Pressat</t>
        </is>
      </c>
      <c r="K185" s="353" t="inlineStr">
        <is>
          <t>https://pressat.co.uk/releases/mtx-solutions-acquires-swift-works-assets-to-strengthen-capability-assurance-and-operational-readiness-25617b9a8aba6ea469ee2b27ab730f5b/</t>
        </is>
      </c>
    </row>
    <row r="186" ht="45" customHeight="1">
      <c r="A186" s="353" t="n">
        <v>186</v>
      </c>
      <c r="B186" s="353" t="inlineStr">
        <is>
          <t>EUR-226</t>
        </is>
      </c>
      <c r="C186" s="353" t="inlineStr">
        <is>
          <t>Frydenbø Milpro AS</t>
        </is>
      </c>
      <c r="D186" s="353" t="inlineStr">
        <is>
          <t>EUR-122</t>
        </is>
      </c>
      <c r="E186" s="353" t="inlineStr">
        <is>
          <t>Frydenbø Milpro AS</t>
        </is>
      </c>
      <c r="F186" s="353" t="inlineStr">
        <is>
          <t>replace</t>
        </is>
      </c>
      <c r="G186" s="353" t="inlineStr">
        <is>
          <t>verified</t>
        </is>
      </c>
      <c r="H186" s="353" t="inlineStr">
        <is>
          <t>Replace consideration with NOK 168.2m adjusted amount at completion.</t>
        </is>
      </c>
      <c r="I186" s="353" t="inlineStr">
        <is>
          <t>Military Boats / Maritime Systems. Supplies and supports military and professional boat systems for defense, police, rescue and government customers.</t>
        </is>
      </c>
      <c r="J186" s="353" t="inlineStr">
        <is>
          <t>Issuer release via MFN</t>
        </is>
      </c>
      <c r="K186" s="353" t="inlineStr">
        <is>
          <t>https://mfn.se/ob/a/fjord-defence-group/fjord-defence-group-asa-successful-completion-of-acquisition-of-frydenbo-milpro-53ce9cf1.iframe</t>
        </is>
      </c>
    </row>
    <row r="187" ht="45" customHeight="1">
      <c r="A187" s="353" t="n">
        <v>187</v>
      </c>
      <c r="B187" s="353" t="inlineStr">
        <is>
          <t>EUR-227</t>
        </is>
      </c>
      <c r="C187" s="353" t="inlineStr">
        <is>
          <t>APCL Group (Cammell Laird and A&amp;P Group)</t>
        </is>
      </c>
      <c r="D187" s="353" t="inlineStr">
        <is>
          <t>N/A</t>
        </is>
      </c>
      <c r="E187" s="353" t="inlineStr">
        <is>
          <t>APCL Group (Cammell Laird and A&amp;P Group)</t>
        </is>
      </c>
      <c r="F187" s="353" t="inlineStr">
        <is>
          <t>exclude</t>
        </is>
      </c>
      <c r="G187" s="353" t="inlineStr">
        <is>
          <t>verified</t>
        </is>
      </c>
      <c r="H187" s="353" t="inlineStr">
        <is>
          <t>Exclude: naval ship-repair/MRO services, not core A&amp;D technology under the approved strict policy.</t>
        </is>
      </c>
      <c r="I187" s="353" t="inlineStr">
        <is>
          <t>Exclude: naval ship-repair/MRO services, not core A&amp;D technology under the approved strict policy.</t>
        </is>
      </c>
      <c r="J187" s="353" t="inlineStr">
        <is>
          <t>Balaena Group</t>
        </is>
      </c>
      <c r="K187" s="353" t="inlineStr">
        <is>
          <t>https://www.balaena.com/news/balaena-acquires-the-apcl-group</t>
        </is>
      </c>
    </row>
    <row r="188" ht="45" customHeight="1">
      <c r="A188" s="353" t="n">
        <v>188</v>
      </c>
      <c r="B188" s="353" t="inlineStr">
        <is>
          <t>EUR-228</t>
        </is>
      </c>
      <c r="C188" s="353" t="inlineStr">
        <is>
          <t>PartnerTech Karlskoga AB</t>
        </is>
      </c>
      <c r="D188" s="353" t="inlineStr">
        <is>
          <t>PEND-005</t>
        </is>
      </c>
      <c r="E188" s="353" t="inlineStr">
        <is>
          <t>PartnerTech Karlskoga AB</t>
        </is>
      </c>
      <c r="F188" s="353" t="inlineStr">
        <is>
          <t>move_pending</t>
        </is>
      </c>
      <c r="G188" s="353" t="inlineStr">
        <is>
          <t>verified</t>
        </is>
      </c>
      <c r="H188" s="353" t="inlineStr">
        <is>
          <t>Qualifying A&amp;D control transaction, but not completed by 2026-08-02; move to the pending pipeline.</t>
        </is>
      </c>
      <c r="I188" s="353" t="inlineStr">
        <is>
          <t>Defense Manufacturing / Systems Integration. Provides advanced machining, assembly and systems-integration services for defense and other high-reliability industrial customers.</t>
        </is>
      </c>
      <c r="J188" s="353" t="inlineStr">
        <is>
          <t>Issuer release via Inderes</t>
        </is>
      </c>
      <c r="K188" s="353" t="inlineStr">
        <is>
          <t>https://www.inderes.se/releases/fjord-defence-group-asa-acquisition-of-partnertech-and-contemplated-equity-private-placement</t>
        </is>
      </c>
    </row>
    <row r="189" ht="45" customHeight="1">
      <c r="A189" s="353" t="n">
        <v>189</v>
      </c>
      <c r="B189" s="353" t="inlineStr">
        <is>
          <t>EUR-229</t>
        </is>
      </c>
      <c r="C189" s="353" t="inlineStr">
        <is>
          <t>Exolaunch GmbH</t>
        </is>
      </c>
      <c r="D189" s="353" t="inlineStr">
        <is>
          <t>PEND-006</t>
        </is>
      </c>
      <c r="E189" s="353" t="inlineStr">
        <is>
          <t>Exolaunch GmbH</t>
        </is>
      </c>
      <c r="F189" s="353" t="inlineStr">
        <is>
          <t>move_pending</t>
        </is>
      </c>
      <c r="G189" s="353" t="inlineStr">
        <is>
          <t>verified</t>
        </is>
      </c>
      <c r="H189" s="353" t="inlineStr">
        <is>
          <t>Qualifying A&amp;D control transaction, but not completed by 2026-08-02; move to the pending pipeline.</t>
        </is>
      </c>
      <c r="I189" s="353" t="inlineStr">
        <is>
          <t>Launch Services / Space Logistics. Provides end-to-end launch mission management, satellite deployment systems and space-logistics services for small-satellite operators.</t>
        </is>
      </c>
      <c r="J189" s="353" t="inlineStr">
        <is>
          <t>EQT issuer release via Cision</t>
        </is>
      </c>
      <c r="K189" s="353" t="inlineStr">
        <is>
          <t>https://news.cision.com/eqt/r/eqt-to-acquire-exolaunch--a-germany-based-satellite-deployment-technology-and-launch-mission-managem%2Cc4365338</t>
        </is>
      </c>
    </row>
    <row r="190" ht="45" customHeight="1">
      <c r="A190" s="353" t="n">
        <v>190</v>
      </c>
      <c r="B190" s="353" t="inlineStr">
        <is>
          <t>EUR-230</t>
        </is>
      </c>
      <c r="C190" s="353" t="inlineStr">
        <is>
          <t>European Astrotech Ltd</t>
        </is>
      </c>
      <c r="D190" s="353" t="inlineStr">
        <is>
          <t>EUR-127</t>
        </is>
      </c>
      <c r="E190" s="353" t="inlineStr">
        <is>
          <t>European Astrotech Ltd</t>
        </is>
      </c>
      <c r="F190" s="353" t="inlineStr">
        <is>
          <t>retain</t>
        </is>
      </c>
      <c r="G190" s="353" t="inlineStr">
        <is>
          <t>verified</t>
        </is>
      </c>
      <c r="H190" s="353" t="inlineStr">
        <is>
          <t>Retain under strict scope; completed transaction and primary A&amp;D focus are supported by the cited source.</t>
        </is>
      </c>
      <c r="I190" s="353" t="inlineStr">
        <is>
          <t>Launch Operations / Spacecraft Propulsion Services. Provides spacecraft-propulsion engineering, hazardous processing, launch-site and mission-support services for European space programs.</t>
        </is>
      </c>
      <c r="J190" s="353" t="inlineStr">
        <is>
          <t>European Astrotech</t>
        </is>
      </c>
      <c r="K190" s="353" t="inlineStr">
        <is>
          <t>https://www.europeanastrotech.com/news/the-exploration-company-acquires-european-astrotech-scaling-execution-capabilities-across-the-space-sector/</t>
        </is>
      </c>
    </row>
    <row r="191" ht="45" customHeight="1">
      <c r="A191" s="353" t="n">
        <v>191</v>
      </c>
      <c r="B191" s="353" t="inlineStr">
        <is>
          <t>EUR-231</t>
        </is>
      </c>
      <c r="C191" s="353" t="inlineStr">
        <is>
          <t>Exail Technologies</t>
        </is>
      </c>
      <c r="D191" s="353" t="inlineStr">
        <is>
          <t>PEND-010</t>
        </is>
      </c>
      <c r="E191" s="353" t="inlineStr">
        <is>
          <t>Exail Technologies</t>
        </is>
      </c>
      <c r="F191" s="353" t="inlineStr">
        <is>
          <t>move_pending</t>
        </is>
      </c>
      <c r="G191" s="353" t="inlineStr">
        <is>
          <t>verified</t>
        </is>
      </c>
      <c r="H191" s="353" t="inlineStr">
        <is>
          <t>Qualifying A&amp;D control transaction, but not completed by 2026-08-02; move to the pending pipeline.</t>
        </is>
      </c>
      <c r="I191" s="353" t="inlineStr">
        <is>
          <t>Autonomous Systems / Navigation / Maritime Robotics. Develops autonomous maritime and land systems, inertial navigation, photonics, robotics and defense technologies.</t>
        </is>
      </c>
      <c r="J191" s="353" t="inlineStr">
        <is>
          <t>Exail Technologies</t>
        </is>
      </c>
      <c r="K191" s="353" t="inlineStr">
        <is>
          <t>https://www.exail-technologies.com/thales-to-acquire-the-gorge-familys-stake-in-exail-with-a-view-to-launching-a-tender-offer-for-100-of-the-company/</t>
        </is>
      </c>
    </row>
    <row r="192" ht="45" customHeight="1">
      <c r="A192" s="353" t="n">
        <v>192</v>
      </c>
      <c r="B192" s="353" t="inlineStr">
        <is>
          <t>EUR-232</t>
        </is>
      </c>
      <c r="C192" s="353" t="inlineStr">
        <is>
          <t>Ultra Maritime Solutions</t>
        </is>
      </c>
      <c r="D192" s="353" t="inlineStr">
        <is>
          <t>PEND-011</t>
        </is>
      </c>
      <c r="E192" s="353" t="inlineStr">
        <is>
          <t>Ultra Maritime Solutions</t>
        </is>
      </c>
      <c r="F192" s="353" t="inlineStr">
        <is>
          <t>move_pending</t>
        </is>
      </c>
      <c r="G192" s="353" t="inlineStr">
        <is>
          <t>verified</t>
        </is>
      </c>
      <c r="H192" s="353" t="inlineStr">
        <is>
          <t>Qualifying A&amp;D control transaction, but not completed by 2026-08-02; move to the pending pipeline.</t>
        </is>
      </c>
      <c r="I192" s="353" t="inlineStr">
        <is>
          <t>Sonar / Anti-Submarine Warfare / Naval C4ISR. Provides sonar, anti-submarine warfare, naval command-and-control, communications and maritime-defense systems.</t>
        </is>
      </c>
      <c r="J192" s="353" t="inlineStr">
        <is>
          <t>Lockheed Martin</t>
        </is>
      </c>
      <c r="K192" s="353" t="inlineStr">
        <is>
          <t>https://lockheedmartin.gcs-web.com/news-releases/news-release-details/lockheed-martin-acquire-ultra-maritime-solutions</t>
        </is>
      </c>
    </row>
    <row r="193" ht="45" customHeight="1">
      <c r="A193" s="353" t="n">
        <v>193</v>
      </c>
      <c r="B193" s="353" t="inlineStr">
        <is>
          <t>EUR-233</t>
        </is>
      </c>
      <c r="C193" s="353" t="inlineStr">
        <is>
          <t>DOK-ING (51% stake; renamed Rheinmetall Unmanned Vehicles)</t>
        </is>
      </c>
      <c r="D193" s="353" t="inlineStr">
        <is>
          <t>EUR-128</t>
        </is>
      </c>
      <c r="E193" s="353" t="inlineStr">
        <is>
          <t>DOK-ING (51% stake; renamed Rheinmetall Unmanned Vehicles)</t>
        </is>
      </c>
      <c r="F193" s="353" t="inlineStr">
        <is>
          <t>retain</t>
        </is>
      </c>
      <c r="G193" s="353" t="inlineStr">
        <is>
          <t>verified</t>
        </is>
      </c>
      <c r="H193" s="353" t="inlineStr">
        <is>
          <t>Retain under strict scope; completed transaction and primary A&amp;D focus are supported by the cited source.</t>
        </is>
      </c>
      <c r="I193" s="353" t="inlineStr">
        <is>
          <t>Unmanned Ground Systems / Military Engineering. Develops remotely operated and autonomous heavy unmanned platforms for military engineering, demining, CBRN response, firefighting and critical-infrastructure protection.</t>
        </is>
      </c>
      <c r="J193" s="353" t="inlineStr">
        <is>
          <t>Rheinmetall</t>
        </is>
      </c>
      <c r="K193" s="353" t="inlineStr">
        <is>
          <t>https://www.rheinmetall.com/en/media/news-watch/news/2026/07/2026-07-01-rheinmetall-acquires-majority-stake-in-dok-ing</t>
        </is>
      </c>
    </row>
    <row r="194" ht="45" customHeight="1">
      <c r="A194" s="353" t="n">
        <v>194</v>
      </c>
      <c r="B194" s="353" t="inlineStr">
        <is>
          <t>EUR-234</t>
        </is>
      </c>
      <c r="C194" s="353" t="inlineStr">
        <is>
          <t>VoltAero assets and operations</t>
        </is>
      </c>
      <c r="D194" s="353" t="inlineStr">
        <is>
          <t>EUR-126</t>
        </is>
      </c>
      <c r="E194" s="353" t="inlineStr">
        <is>
          <t>VoltAero assets and operations</t>
        </is>
      </c>
      <c r="F194" s="353" t="inlineStr">
        <is>
          <t>retain</t>
        </is>
      </c>
      <c r="G194" s="353" t="inlineStr">
        <is>
          <t>verified</t>
        </is>
      </c>
      <c r="H194" s="353" t="inlineStr">
        <is>
          <t>Retain under strict scope; completed transaction and primary A&amp;D focus are supported by the cited source.</t>
        </is>
      </c>
      <c r="I194" s="353" t="inlineStr">
        <is>
          <t>VoltAero's hybrid-electric aircraft development assets and operations were transferred together; treated as an identifiable aerospace operating business.</t>
        </is>
      </c>
      <c r="J194" s="353" t="inlineStr">
        <is>
          <t>AURA AERO</t>
        </is>
      </c>
      <c r="K194" s="353" t="inlineStr">
        <is>
          <t>https://www.aura-aero.com/en/actualites/aura-aero-reprend-voltaero-et-acc%C3%A9l%C3%A8re-la-d%C3%A9carbonation-de-l%27aviation</t>
        </is>
      </c>
    </row>
    <row r="195" ht="45" customHeight="1">
      <c r="A195" s="353" t="n">
        <v>195</v>
      </c>
      <c r="B195" s="353" t="inlineStr">
        <is>
          <t>EUR-235</t>
        </is>
      </c>
      <c r="C195" s="353" t="inlineStr">
        <is>
          <t>Next Geosolutions S.p.A.</t>
        </is>
      </c>
      <c r="D195" s="353" t="inlineStr">
        <is>
          <t>N/A</t>
        </is>
      </c>
      <c r="E195" s="353" t="inlineStr">
        <is>
          <t>Next Geosolutions S.p.A.</t>
        </is>
      </c>
      <c r="F195" s="353" t="inlineStr">
        <is>
          <t>exclude</t>
        </is>
      </c>
      <c r="G195" s="353" t="inlineStr">
        <is>
          <t>verified</t>
        </is>
      </c>
      <c r="H195" s="353" t="inlineStr">
        <is>
          <t>Exclude: target is principally commercial marine survey/geoscience; defence is adjacency/rationale, and the transaction was pending.</t>
        </is>
      </c>
      <c r="I195" s="353" t="inlineStr">
        <is>
          <t>Exclude: target is principally commercial marine survey/geoscience; defence is adjacency/rationale, and the transaction was pending.</t>
        </is>
      </c>
      <c r="J195" s="353" t="inlineStr">
        <is>
          <t>Fincantieri</t>
        </is>
      </c>
      <c r="K195" s="353"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96" ht="45" customHeight="1">
      <c r="A196" s="353" t="n">
        <v>196</v>
      </c>
      <c r="B196" s="353" t="inlineStr">
        <is>
          <t>EUR-236</t>
        </is>
      </c>
      <c r="C196" s="353" t="inlineStr">
        <is>
          <t>WSense S.r.l.</t>
        </is>
      </c>
      <c r="D196" s="353" t="inlineStr">
        <is>
          <t>N/A</t>
        </is>
      </c>
      <c r="E196" s="353" t="inlineStr">
        <is>
          <t>WSense S.r.l.</t>
        </is>
      </c>
      <c r="F196" s="353" t="inlineStr">
        <is>
          <t>exclude</t>
        </is>
      </c>
      <c r="G196" s="353" t="inlineStr">
        <is>
          <t>verified</t>
        </is>
      </c>
      <c r="H196" s="353" t="inlineStr">
        <is>
          <t>Exclude under the strict sector policy: WSense provides dual-use underwater communications for monitoring, infrastructure and defence, and the available primary evidence does not establish A&amp;D as its primary business.</t>
        </is>
      </c>
      <c r="I196" s="353" t="inlineStr">
        <is>
          <t>Underwater Communications / Maritime C4ISR. Develops patented underwater wireless networking, communications and Internet of Underwater Things systems for monitoring, infrastructure and defense applications.</t>
        </is>
      </c>
      <c r="J196" s="353" t="inlineStr">
        <is>
          <t>Fincantieri</t>
        </is>
      </c>
      <c r="K196" s="353"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97" ht="45" customHeight="1">
      <c r="A197" s="353" t="n">
        <v>197</v>
      </c>
      <c r="B197" s="353" t="inlineStr">
        <is>
          <t>EUR-237</t>
        </is>
      </c>
      <c r="C197" s="353" t="inlineStr">
        <is>
          <t>Graal Tech S.r.l.</t>
        </is>
      </c>
      <c r="D197" s="353" t="inlineStr">
        <is>
          <t>N/A</t>
        </is>
      </c>
      <c r="E197" s="353" t="inlineStr">
        <is>
          <t>Graal Tech S.r.l.</t>
        </is>
      </c>
      <c r="F197" s="353" t="inlineStr">
        <is>
          <t>exclude</t>
        </is>
      </c>
      <c r="G197" s="353" t="inlineStr">
        <is>
          <t>verified</t>
        </is>
      </c>
      <c r="H197" s="353" t="inlineStr">
        <is>
          <t>Exclude under the strict sector policy: Graal Tech develops dual-use marine robotics for survey, infrastructure, commercial and defence uses, and the available primary evidence does not establish A&amp;D as its primary business.</t>
        </is>
      </c>
      <c r="I197" s="353" t="inlineStr">
        <is>
          <t>Autonomous Underwater Vehicles / Marine Robotics. Develops autonomous underwater and surface vehicles, marine robotics and mission systems for survey, infrastructure protection, commercial and defense uses.</t>
        </is>
      </c>
      <c r="J197" s="353" t="inlineStr">
        <is>
          <t>Fincantieri</t>
        </is>
      </c>
      <c r="K197" s="353"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98" ht="45" customHeight="1">
      <c r="A198" s="353" t="n">
        <v>198</v>
      </c>
      <c r="B198" s="353" t="inlineStr">
        <is>
          <t>EUR-238</t>
        </is>
      </c>
      <c r="C198" s="353" t="inlineStr">
        <is>
          <t>Defcomm S.r.l.</t>
        </is>
      </c>
      <c r="D198" s="353" t="inlineStr">
        <is>
          <t>N/A</t>
        </is>
      </c>
      <c r="E198" s="353" t="inlineStr">
        <is>
          <t>Defcomm S.r.l.</t>
        </is>
      </c>
      <c r="F198" s="353" t="inlineStr">
        <is>
          <t>exclude</t>
        </is>
      </c>
      <c r="G198" s="353" t="inlineStr">
        <is>
          <t>verified</t>
        </is>
      </c>
      <c r="H198" s="353" t="inlineStr">
        <is>
          <t>Exclude: only 49% was initially proposed; possible later 2% call did not establish completed control by cutoff.</t>
        </is>
      </c>
      <c r="I198" s="353" t="inlineStr">
        <is>
          <t>Exclude: only 49% was initially proposed; possible later 2% call did not establish completed control by cutoff.</t>
        </is>
      </c>
      <c r="J198" s="353" t="inlineStr">
        <is>
          <t>Fincantieri</t>
        </is>
      </c>
      <c r="K198" s="353"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99" ht="45" customHeight="1">
      <c r="A199" s="353" t="n">
        <v>199</v>
      </c>
      <c r="B199" s="353" t="inlineStr">
        <is>
          <t>EUR-239</t>
        </is>
      </c>
      <c r="C199" s="353" t="inlineStr">
        <is>
          <t>DPC Holdings Limited / Doncasters (NYSE: DPC)</t>
        </is>
      </c>
      <c r="D199" s="353" t="inlineStr">
        <is>
          <t>EUR-125</t>
        </is>
      </c>
      <c r="E199" s="353" t="inlineStr">
        <is>
          <t>DPC Holdings Limited / Doncasters (NYSE: DPC)</t>
        </is>
      </c>
      <c r="F199" s="353" t="inlineStr">
        <is>
          <t>retain</t>
        </is>
      </c>
      <c r="G199" s="353" t="inlineStr">
        <is>
          <t>verified</t>
        </is>
      </c>
      <c r="H199" s="353" t="inlineStr">
        <is>
          <t>Retain under strict scope. The SEC prospectus identifies the principal executive offices in Derby, United Kingdom; Jersey is the legal jurisdiction of incorporation, not the operating-headquarters country.</t>
        </is>
      </c>
      <c r="I199" s="353" t="inlineStr">
        <is>
          <t>Aerospace Components / Precision Castings. Manufactures precision-engineered superalloy castings and components for commercial and defense aero engines, airframes and industrial gas turbines.</t>
        </is>
      </c>
      <c r="J199" s="353" t="inlineStr">
        <is>
          <t>Doncasters</t>
        </is>
      </c>
      <c r="K199" s="353" t="inlineStr">
        <is>
          <t>https://ir.doncasters.com/news-and-events/news/news-details/2026/Doncasters-Announces-Pricing-of-Upsized-Initial-Public-Offering/default.aspx</t>
        </is>
      </c>
    </row>
    <row r="200" ht="45" customHeight="1">
      <c r="A200" s="353" t="n">
        <v>200</v>
      </c>
      <c r="B200" s="353" t="inlineStr">
        <is>
          <t>EUR-240</t>
        </is>
      </c>
      <c r="C200" s="353" t="inlineStr">
        <is>
          <t>David Brown Defence (DB Defence Holdco SARL)</t>
        </is>
      </c>
      <c r="D200" s="353" t="inlineStr">
        <is>
          <t>PEND-009</t>
        </is>
      </c>
      <c r="E200" s="353" t="inlineStr">
        <is>
          <t>David Brown Defence (DB Defence Holdco SARL)</t>
        </is>
      </c>
      <c r="F200" s="353" t="inlineStr">
        <is>
          <t>move_pending</t>
        </is>
      </c>
      <c r="G200" s="353" t="inlineStr">
        <is>
          <t>verified</t>
        </is>
      </c>
      <c r="H200" s="353" t="inlineStr">
        <is>
          <t>Qualifying A&amp;D control transaction, but not completed by 2026-08-02; move to the pending pipeline.</t>
        </is>
      </c>
      <c r="I200" s="353" t="inlineStr">
        <is>
          <t>Naval &amp; Land Defense Propulsion. Designs and manufactures mission-critical high-precision gearboxes and power-transmission systems for naval and land-defense platforms.</t>
        </is>
      </c>
      <c r="J200" s="353" t="inlineStr">
        <is>
          <t>RENK issuer release via GlobeNewswire</t>
        </is>
      </c>
      <c r="K200" s="353" t="inlineStr">
        <is>
          <t>https://www.globenewswire.com/news-release/2026/07/03/3321658/0/en/renk-group-ag-renk-enters-into-binding-agreement-for-the-acquisition-of-david-brown-defence.html</t>
        </is>
      </c>
    </row>
    <row r="201" ht="45" customHeight="1">
      <c r="A201" s="353" t="n">
        <v>201</v>
      </c>
      <c r="B201" s="353" t="inlineStr">
        <is>
          <t>EUR-241</t>
        </is>
      </c>
      <c r="C201" s="353" t="inlineStr">
        <is>
          <t>FFG Flensburger Fahrzeugbau Gesellschaft mbH</t>
        </is>
      </c>
      <c r="D201" s="353" t="inlineStr">
        <is>
          <t>PEND-012</t>
        </is>
      </c>
      <c r="E201" s="353" t="inlineStr">
        <is>
          <t>FFG Flensburger Fahrzeugbau Gesellschaft mbH</t>
        </is>
      </c>
      <c r="F201" s="353" t="inlineStr">
        <is>
          <t>move_pending</t>
        </is>
      </c>
      <c r="G201" s="353" t="inlineStr">
        <is>
          <t>verified</t>
        </is>
      </c>
      <c r="H201" s="353" t="inlineStr">
        <is>
          <t>Qualifying A&amp;D control transaction, but not completed by 2026-08-02; move to the pending pipeline.</t>
        </is>
      </c>
      <c r="I201" s="353" t="inlineStr">
        <is>
          <t>Land Systems / Military Vehicles. Develops, manufactures, modernizes, maintains and repairs protected wheeled and tracked military vehicles and related systems.</t>
        </is>
      </c>
      <c r="J201" s="353" t="inlineStr">
        <is>
          <t>DEUTZ</t>
        </is>
      </c>
      <c r="K201" s="353" t="inlineStr">
        <is>
          <t>https://www.deutz.com/en/news/press-releases/news-detail/deutz-accelerates-transformation-with-billion-euro-transaction-in-the-defense-sector/</t>
        </is>
      </c>
    </row>
    <row r="202" ht="45" customHeight="1">
      <c r="A202" s="353" t="n">
        <v>202</v>
      </c>
      <c r="B202" s="353" t="inlineStr">
        <is>
          <t>EUR-242</t>
        </is>
      </c>
      <c r="C202" s="353" t="inlineStr">
        <is>
          <t>Gooch &amp; Housego plc (AIM: GHH)</t>
        </is>
      </c>
      <c r="D202" s="353" t="inlineStr">
        <is>
          <t>PEND-013</t>
        </is>
      </c>
      <c r="E202" s="353" t="inlineStr">
        <is>
          <t>Gooch &amp; Housego plc (AIM: GHH)</t>
        </is>
      </c>
      <c r="F202" s="353" t="inlineStr">
        <is>
          <t>move_pending</t>
        </is>
      </c>
      <c r="G202" s="353" t="inlineStr">
        <is>
          <t>verified</t>
        </is>
      </c>
      <c r="H202" s="353" t="inlineStr">
        <is>
          <t>Retain only in the pending pipeline: the proposed 100% acquisition was announced but not completed by 2026-08-02; latest pre-offer reporting establishes A&amp;D as the largest current market.</t>
        </is>
      </c>
      <c r="I202" s="353" t="inlineStr">
        <is>
          <t>A&amp;D was Gooch &amp; Housego's largest reported market immediately before the offer: H1 FY2026 A&amp;D revenue was GBP 35.6m, or 43.5% of Group revenue, versus GBP 30.3m Industrial and GBP 16.0m Life Sciences. A&amp;D is therefore primary rather than incidental, although not an absolute majority.</t>
        </is>
      </c>
      <c r="J202" s="353" t="inlineStr">
        <is>
          <t>Regulatory issuer announcement via Investegate</t>
        </is>
      </c>
      <c r="K202" s="353" t="inlineStr">
        <is>
          <t>https://www.investegate.co.uk/announcement/rns/gooch-housego--ghh/recommended-cash-acquisition-of-gooch-housego/9671293</t>
        </is>
      </c>
    </row>
    <row r="203" ht="45" customHeight="1">
      <c r="A203" s="353" t="n">
        <v>203</v>
      </c>
      <c r="B203" s="353" t="inlineStr">
        <is>
          <t>EUR-243</t>
        </is>
      </c>
      <c r="C203" s="353" t="inlineStr">
        <is>
          <t>Bromford Precision Solutions Limited</t>
        </is>
      </c>
      <c r="D203" s="353" t="inlineStr">
        <is>
          <t>EUR-133</t>
        </is>
      </c>
      <c r="E203" s="353" t="inlineStr">
        <is>
          <t>Bromford Precision Solutions Limited</t>
        </is>
      </c>
      <c r="F203" s="353" t="inlineStr">
        <is>
          <t>retain</t>
        </is>
      </c>
      <c r="G203" s="353" t="inlineStr">
        <is>
          <t>verified</t>
        </is>
      </c>
      <c r="H203" s="353" t="inlineStr">
        <is>
          <t>Retain under strict scope; completed transaction and primary A&amp;D focus are supported by the cited source.</t>
        </is>
      </c>
      <c r="I203" s="353" t="inlineStr">
        <is>
          <t>Aerospace Components / Aeroengine Structures. Manufactures complex precision-machined components, fabrications and assemblies for aerospace aero-engine, airframe and power-generation applications.</t>
        </is>
      </c>
      <c r="J203" s="353" t="inlineStr">
        <is>
          <t>BSE corporate announcement</t>
        </is>
      </c>
      <c r="K203" s="353" t="inlineStr">
        <is>
          <t>https://www.bseindia.com/stock-share-price/sigma-advanced-systems-ltd/megasoft/532408/corp-announcements/</t>
        </is>
      </c>
    </row>
    <row r="204" ht="45" customHeight="1">
      <c r="A204" s="353" t="n">
        <v>204</v>
      </c>
      <c r="B204" s="353" t="inlineStr">
        <is>
          <t>EUR-244</t>
        </is>
      </c>
      <c r="C204" s="353" t="inlineStr">
        <is>
          <t>ecube Solutions</t>
        </is>
      </c>
      <c r="D204" s="353" t="inlineStr">
        <is>
          <t>N/A</t>
        </is>
      </c>
      <c r="E204" s="353" t="inlineStr">
        <is>
          <t>ecube Solutions</t>
        </is>
      </c>
      <c r="F204" s="353" t="inlineStr">
        <is>
          <t>exclude</t>
        </is>
      </c>
      <c r="G204" s="353" t="inlineStr">
        <is>
          <t>verified</t>
        </is>
      </c>
      <c r="H204" s="353" t="inlineStr">
        <is>
          <t>Exclude: ecube was already owned by Unical and is a duplicate look-through of Satair's single Unical transaction.</t>
        </is>
      </c>
      <c r="I204" s="353" t="inlineStr">
        <is>
          <t>Exclude: ecube was already owned by Unical and is a duplicate look-through of Satair's single Unical transaction.</t>
        </is>
      </c>
      <c r="J204" s="353" t="inlineStr">
        <is>
          <t>Airbus</t>
        </is>
      </c>
      <c r="K204" s="353" t="inlineStr">
        <is>
          <t>https://www.airbus.com/en/newsroom/press-releases/2026-05-satair-finalises-acquisition-of-unical-aviation-and-ecube</t>
        </is>
      </c>
    </row>
    <row r="205" ht="45" customHeight="1">
      <c r="A205" s="353" t="n">
        <v>205</v>
      </c>
      <c r="B205" s="353" t="inlineStr">
        <is>
          <t>EUR-245</t>
        </is>
      </c>
      <c r="C205" s="353" t="inlineStr">
        <is>
          <t>JOB AIR Technic a.s.</t>
        </is>
      </c>
      <c r="D205" s="353" t="inlineStr">
        <is>
          <t>N/A</t>
        </is>
      </c>
      <c r="E205" s="353" t="inlineStr">
        <is>
          <t>JOB AIR Technic a.s.</t>
        </is>
      </c>
      <c r="F205" s="353" t="inlineStr">
        <is>
          <t>exclude</t>
        </is>
      </c>
      <c r="G205" s="353" t="inlineStr">
        <is>
          <t>verified</t>
        </is>
      </c>
      <c r="H205" s="353" t="inlineStr">
        <is>
          <t>Exclude: commercial aviation MRO service company; completion was 12 February, not 16 June.</t>
        </is>
      </c>
      <c r="I205" s="353" t="inlineStr">
        <is>
          <t>Exclude: commercial aviation MRO service company; completion was 12 February, not 16 June.</t>
        </is>
      </c>
      <c r="J205" s="353" t="inlineStr">
        <is>
          <t>FL Technics</t>
        </is>
      </c>
      <c r="K205" s="353" t="inlineStr">
        <is>
          <t>https://fltechnics.com/fl-technics-finalized-job-air-technic-acquisition-strengthening-its-european-mro-network/</t>
        </is>
      </c>
    </row>
    <row r="206" ht="45" customHeight="1">
      <c r="A206" s="353" t="n">
        <v>206</v>
      </c>
      <c r="B206" s="353" t="inlineStr">
        <is>
          <t>EUR-246</t>
        </is>
      </c>
      <c r="C206" s="353" t="inlineStr">
        <is>
          <t>Sensus Aero</t>
        </is>
      </c>
      <c r="D206" s="353" t="inlineStr">
        <is>
          <t>N/A</t>
        </is>
      </c>
      <c r="E206" s="353" t="inlineStr">
        <is>
          <t>Sensus Aero</t>
        </is>
      </c>
      <c r="F206" s="353" t="inlineStr">
        <is>
          <t>exclude</t>
        </is>
      </c>
      <c r="G206" s="353" t="inlineStr">
        <is>
          <t>verified</t>
        </is>
      </c>
      <c r="H206" s="353" t="inlineStr">
        <is>
          <t>Exclude under the strict policy: Sensus Aero is commercial aircraft-MRO software, a category expressly excluded from the completed A&amp;D-technology universe.</t>
        </is>
      </c>
      <c r="I206" s="353" t="inlineStr">
        <is>
          <t>Aviation Software / MRO Digitalization. Develops an integrated software platform for aircraft MRO organizations, with tools for base and heavy-maintenance planning, operational visibility and real-time decision support.</t>
        </is>
      </c>
      <c r="J206" s="353" t="inlineStr">
        <is>
          <t>FL Technics</t>
        </is>
      </c>
      <c r="K206" s="353" t="inlineStr">
        <is>
          <t>https://fltechnics.com/fl-technics-acquires-sensus-aero-to-accelerate-mro-software-expansion/</t>
        </is>
      </c>
    </row>
    <row r="207" ht="45" customHeight="1">
      <c r="A207" s="353" t="n">
        <v>207</v>
      </c>
      <c r="B207" s="353" t="inlineStr">
        <is>
          <t>EUR-247</t>
        </is>
      </c>
      <c r="C207" s="353" t="inlineStr">
        <is>
          <t>J&amp;C Aero</t>
        </is>
      </c>
      <c r="D207" s="353" t="inlineStr">
        <is>
          <t>N/A</t>
        </is>
      </c>
      <c r="E207" s="353" t="inlineStr">
        <is>
          <t>J&amp;C Aero</t>
        </is>
      </c>
      <c r="F207" s="353" t="inlineStr">
        <is>
          <t>exclude</t>
        </is>
      </c>
      <c r="G207" s="353" t="inlineStr">
        <is>
          <t>verified</t>
        </is>
      </c>
      <c r="H207" s="353" t="inlineStr">
        <is>
          <t>Exclude under the strict policy: J&amp;C Aero is a commercial cabin-interiors engineering, production and MRO business rather than a core A&amp;D-technology company. The 70.37% majority acquisition was otherwise verified.</t>
        </is>
      </c>
      <c r="I207" s="353" t="inlineStr">
        <is>
          <t>Cabin Interiors / Aerospace Engineering &amp; MRO. Provides EASA-certified aircraft cabin-interior design, engineering, production, maintenance, repair, modification and continuing-airworthiness services.</t>
        </is>
      </c>
      <c r="J207" s="353" t="inlineStr">
        <is>
          <t>Setna iO</t>
        </is>
      </c>
      <c r="K207" s="353" t="inlineStr">
        <is>
          <t>https://www.setna.aero/news/setna-acquires-majority-stake-in-j-c-aero-to-establish-global-cabin-interiors-capabilities</t>
        </is>
      </c>
    </row>
    <row r="208" ht="45" customHeight="1">
      <c r="A208" s="353" t="n">
        <v>208</v>
      </c>
      <c r="B208" s="353" t="inlineStr">
        <is>
          <t>EUR-248</t>
        </is>
      </c>
      <c r="C208" s="353" t="inlineStr">
        <is>
          <t>Aubert &amp; Duval</t>
        </is>
      </c>
      <c r="D208" s="353" t="inlineStr">
        <is>
          <t>N/A</t>
        </is>
      </c>
      <c r="E208" s="353" t="inlineStr">
        <is>
          <t>Aubert &amp; Duval</t>
        </is>
      </c>
      <c r="F208" s="353" t="inlineStr">
        <is>
          <t>exclude</t>
        </is>
      </c>
      <c r="G208" s="353" t="inlineStr">
        <is>
          <t>verified</t>
        </is>
      </c>
      <c r="H208" s="353" t="inlineStr">
        <is>
          <t>Exclude: Airbus and Safran already jointly controlled Aubert &amp; Duval; purchase of Tikehau's one-third stake did not create new target control.</t>
        </is>
      </c>
      <c r="I208" s="353" t="inlineStr">
        <is>
          <t>Exclude: Airbus and Safran already jointly controlled Aubert &amp; Duval; purchase of Tikehau's one-third stake did not create new target control.</t>
        </is>
      </c>
      <c r="J208" s="353" t="inlineStr">
        <is>
          <t>Airbus</t>
        </is>
      </c>
      <c r="K208" s="353" t="inlineStr">
        <is>
          <t>https://www.airbus.com/en/newsroom/press-releases/2026-06-airbus-safran-and-tikehau-capital-sign-an-agreement-for-the-sale-of-tikehau-capitals-stake-in-aubert</t>
        </is>
      </c>
    </row>
    <row r="209" ht="45" customHeight="1">
      <c r="A209" s="353" t="n">
        <v>209</v>
      </c>
      <c r="B209" s="353" t="inlineStr">
        <is>
          <t>EUR-249</t>
        </is>
      </c>
      <c r="C209" s="353" t="inlineStr">
        <is>
          <t>Burcas Limited</t>
        </is>
      </c>
      <c r="D209" s="353" t="inlineStr">
        <is>
          <t>EUR-085</t>
        </is>
      </c>
      <c r="E209" s="353" t="inlineStr">
        <is>
          <t>Burcas Limited</t>
        </is>
      </c>
      <c r="F209" s="353" t="inlineStr">
        <is>
          <t>retain</t>
        </is>
      </c>
      <c r="G209" s="353" t="inlineStr">
        <is>
          <t>verified</t>
        </is>
      </c>
      <c r="H209" s="353" t="inlineStr">
        <is>
          <t>Retain under strict scope; completed transaction and primary A&amp;D focus are supported by the cited source.</t>
        </is>
      </c>
      <c r="I209" s="353" t="inlineStr">
        <is>
          <t>Precision Aerospace &amp; Defence Engineering. Precision engineering and complex component manufacturing for aerospace, defence and other demanding sectors.</t>
        </is>
      </c>
      <c r="J209" s="353" t="inlineStr">
        <is>
          <t>Wright Industries</t>
        </is>
      </c>
      <c r="K209" s="353" t="inlineStr">
        <is>
          <t>https://www.wrightindustries.co.uk/about/news/burcas-ltd-acquisition/</t>
        </is>
      </c>
    </row>
    <row r="210" ht="45" customHeight="1">
      <c r="A210" s="353" t="n">
        <v>210</v>
      </c>
      <c r="B210" s="353" t="inlineStr">
        <is>
          <t>EUR-250</t>
        </is>
      </c>
      <c r="C210" s="353" t="inlineStr">
        <is>
          <t>Forged Solutions Group, Inc.</t>
        </is>
      </c>
      <c r="D210" s="353" t="inlineStr">
        <is>
          <t>EUR-097</t>
        </is>
      </c>
      <c r="E210" s="353" t="inlineStr">
        <is>
          <t>Forged Solutions Group, Inc.</t>
        </is>
      </c>
      <c r="F210" s="353" t="inlineStr">
        <is>
          <t>retain</t>
        </is>
      </c>
      <c r="G210" s="353" t="inlineStr">
        <is>
          <t>verified</t>
        </is>
      </c>
      <c r="H210" s="353" t="inlineStr">
        <is>
          <t>Retain under strict scope; completed transaction and primary A&amp;D focus are supported by the cited source.</t>
        </is>
      </c>
      <c r="I210" s="353" t="inlineStr">
        <is>
          <t>Aerospace &amp; Defence Forgings. Manufacturer of high-integrity forgings and components for aircraft engines, defence and space platforms.</t>
        </is>
      </c>
      <c r="J210" s="353" t="inlineStr">
        <is>
          <t>J.F. Lehman &amp; Company</t>
        </is>
      </c>
      <c r="K210" s="353" t="inlineStr">
        <is>
          <t>https://www.jflco.com/news-article/189/jf-lehmancompany-completes-acquisition-of-forged-solutions-group</t>
        </is>
      </c>
    </row>
    <row r="211" ht="45" customHeight="1">
      <c r="A211" s="353" t="n">
        <v>211</v>
      </c>
      <c r="B211" s="353" t="inlineStr">
        <is>
          <t>EUR-251</t>
        </is>
      </c>
      <c r="C211" s="353" t="inlineStr">
        <is>
          <t>Poseidon Diving Group AB</t>
        </is>
      </c>
      <c r="D211" s="353" t="inlineStr">
        <is>
          <t>EUR-098</t>
        </is>
      </c>
      <c r="E211" s="353" t="inlineStr">
        <is>
          <t>Poseidon Diving Group AB</t>
        </is>
      </c>
      <c r="F211" s="353" t="inlineStr">
        <is>
          <t>replace</t>
        </is>
      </c>
      <c r="G211" s="353" t="inlineStr">
        <is>
          <t>verified</t>
        </is>
      </c>
      <c r="H211" s="353" t="inlineStr">
        <is>
          <t>Replace full-acquisition wording with 99.55% acquired.</t>
        </is>
      </c>
      <c r="I211" s="353" t="inlineStr">
        <is>
          <t>Military Diving Systems. Manufacturer of closed-circuit rebreathers, diving equipment and breathing systems for military and professional users.</t>
        </is>
      </c>
      <c r="J211" s="353" t="inlineStr">
        <is>
          <t>Argo Defence Group</t>
        </is>
      </c>
      <c r="K211" s="353" t="inlineStr">
        <is>
          <t>https://argodefence.se/mfn_news/argo-defence-group-completes-the-acquisition-of-poseidon-diving-group-ab/</t>
        </is>
      </c>
    </row>
    <row r="212" ht="45" customHeight="1">
      <c r="A212" s="353" t="n">
        <v>212</v>
      </c>
      <c r="B212" s="353" t="inlineStr">
        <is>
          <t>EUR-252</t>
        </is>
      </c>
      <c r="C212" s="353" t="inlineStr">
        <is>
          <t>Gabler Group AG</t>
        </is>
      </c>
      <c r="D212" s="353" t="inlineStr">
        <is>
          <t>EUR-100</t>
        </is>
      </c>
      <c r="E212" s="353" t="inlineStr">
        <is>
          <t>Gabler Group AG</t>
        </is>
      </c>
      <c r="F212" s="353" t="inlineStr">
        <is>
          <t>retain</t>
        </is>
      </c>
      <c r="G212" s="353" t="inlineStr">
        <is>
          <t>verified</t>
        </is>
      </c>
      <c r="H212" s="353" t="inlineStr">
        <is>
          <t>Retain under strict scope; completed transaction and primary A&amp;D focus are supported by the cited source.</t>
        </is>
      </c>
      <c r="I212" s="353" t="inlineStr">
        <is>
          <t>Submarine &amp; Subsea Systems. Provider of submarine mast, communications, data and subsea power systems.</t>
        </is>
      </c>
      <c r="J212" s="353" t="inlineStr">
        <is>
          <t>Deutsche Börse</t>
        </is>
      </c>
      <c r="K212" s="353" t="inlineStr">
        <is>
          <t>https://www.cashmarket.deutsche-boerse.com/cash-en/Data-Tech/statistics/New-Companies/Gabler-Group-AG-4975180</t>
        </is>
      </c>
    </row>
    <row r="213" ht="45" customHeight="1">
      <c r="A213" s="353" t="n">
        <v>213</v>
      </c>
      <c r="B213" s="353" t="inlineStr">
        <is>
          <t>EUR-253</t>
        </is>
      </c>
      <c r="C213" s="353" t="inlineStr">
        <is>
          <t>JOWO Systemtechnik AG</t>
        </is>
      </c>
      <c r="D213" s="353" t="inlineStr">
        <is>
          <t>EUR-107</t>
        </is>
      </c>
      <c r="E213" s="353" t="inlineStr">
        <is>
          <t>JOWO Systemtechnik AG</t>
        </is>
      </c>
      <c r="F213" s="353" t="inlineStr">
        <is>
          <t>retain</t>
        </is>
      </c>
      <c r="G213" s="353" t="inlineStr">
        <is>
          <t>verified</t>
        </is>
      </c>
      <c r="H213" s="353" t="inlineStr">
        <is>
          <t>Retain under strict scope; completed transaction and primary A&amp;D focus are supported by the cited source.</t>
        </is>
      </c>
      <c r="I213" s="353" t="inlineStr">
        <is>
          <t>Rugged Defence Connectivity. Manufacturer and distributor of rugged connectors and systems for defence and harsh environments.</t>
        </is>
      </c>
      <c r="J213" s="353" t="inlineStr">
        <is>
          <t>Nasdaq issuer release</t>
        </is>
      </c>
      <c r="K213" s="353" t="inlineStr">
        <is>
          <t>https://view.news.eu.nasdaq.com/view?id=b25a24b7060727c77d7454fb182ec8524&amp;lang=en&amp;src=micro</t>
        </is>
      </c>
    </row>
    <row r="214" ht="45" customHeight="1">
      <c r="A214" s="353" t="n">
        <v>214</v>
      </c>
      <c r="B214" s="353" t="inlineStr">
        <is>
          <t>EUR-254</t>
        </is>
      </c>
      <c r="C214" s="353" t="inlineStr">
        <is>
          <t>Integris Composites B.V.</t>
        </is>
      </c>
      <c r="D214" s="353" t="inlineStr">
        <is>
          <t>PEND-002</t>
        </is>
      </c>
      <c r="E214" s="353" t="inlineStr">
        <is>
          <t>Integris Composites B.V.</t>
        </is>
      </c>
      <c r="F214" s="353" t="inlineStr">
        <is>
          <t>move_pending</t>
        </is>
      </c>
      <c r="G214" s="353" t="inlineStr">
        <is>
          <t>verified</t>
        </is>
      </c>
      <c r="H214" s="353" t="inlineStr">
        <is>
          <t>Qualifying A&amp;D control transaction, but not completed by 2026-08-02; move to the pending pipeline.</t>
        </is>
      </c>
      <c r="I214" s="353" t="inlineStr">
        <is>
          <t>Ballistic Protection. Producer of lightweight composite armour solutions for personal, land, aerospace and marine protection.</t>
        </is>
      </c>
      <c r="J214" s="353" t="inlineStr">
        <is>
          <t>Triton Partners</t>
        </is>
      </c>
      <c r="K214" s="353" t="inlineStr">
        <is>
          <t>https://www.triton-partners.com/news/triton-partners-to-acquire-integris-composites</t>
        </is>
      </c>
    </row>
    <row r="215" ht="45" customHeight="1">
      <c r="A215" s="353" t="n">
        <v>215</v>
      </c>
      <c r="B215" s="353" t="inlineStr">
        <is>
          <t>EUR-255</t>
        </is>
      </c>
      <c r="C215" s="353" t="inlineStr">
        <is>
          <t>Aston Harald Mekaniska Verkstad AB</t>
        </is>
      </c>
      <c r="D215" s="353" t="inlineStr">
        <is>
          <t>EUR-115</t>
        </is>
      </c>
      <c r="E215" s="353" t="inlineStr">
        <is>
          <t>Aston Harald Mekaniska Verkstad AB</t>
        </is>
      </c>
      <c r="F215" s="353" t="inlineStr">
        <is>
          <t>retain</t>
        </is>
      </c>
      <c r="G215" s="353" t="inlineStr">
        <is>
          <t>verified</t>
        </is>
      </c>
      <c r="H215" s="353" t="inlineStr">
        <is>
          <t>Retain under strict scope; completed transaction and primary A&amp;D focus are supported by the cited source.</t>
        </is>
      </c>
      <c r="I215" s="353" t="inlineStr">
        <is>
          <t>Defence &amp; Aerospace Precision Manufacturing. Precision-machining and complex-structures supplier for defence, aerospace and other industrial markets.</t>
        </is>
      </c>
      <c r="J215" s="353" t="inlineStr">
        <is>
          <t>BAE Systems</t>
        </is>
      </c>
      <c r="K215" s="353" t="inlineStr">
        <is>
          <t>https://www.baesystems.com/en-uk/article/bae-systems-has-entered-into-an-agreement-to-acquire-aston-harald-mekaniska-verkstad</t>
        </is>
      </c>
    </row>
    <row r="216" ht="45" customHeight="1">
      <c r="A216" s="353" t="n">
        <v>216</v>
      </c>
      <c r="B216" s="353" t="inlineStr">
        <is>
          <t>EUR-256</t>
        </is>
      </c>
      <c r="C216" s="353" t="inlineStr">
        <is>
          <t>Automecanica S.A.</t>
        </is>
      </c>
      <c r="D216" s="353" t="inlineStr">
        <is>
          <t>EUR-120</t>
        </is>
      </c>
      <c r="E216" s="353" t="inlineStr">
        <is>
          <t>Automecanica S.A.</t>
        </is>
      </c>
      <c r="F216" s="353" t="inlineStr">
        <is>
          <t>replace</t>
        </is>
      </c>
      <c r="G216" s="353" t="inlineStr">
        <is>
          <t>verified</t>
        </is>
      </c>
      <c r="H216" s="353" t="inlineStr">
        <is>
          <t>Replace ownership/date chronology: signed 29 April and completed 3 June at 96.77%.</t>
        </is>
      </c>
      <c r="I216" s="353" t="inlineStr">
        <is>
          <t>Military Vehicles &amp; Land Systems. Romanian manufacturer and integrator of armoured and special-purpose vehicles.</t>
        </is>
      </c>
      <c r="J216" s="353" t="inlineStr">
        <is>
          <t>Otokar</t>
        </is>
      </c>
      <c r="K216" s="353" t="inlineStr">
        <is>
          <t>https://www.otokar.com.tr/news/daily-news/otokar-finalizes-automecanica-deal-and-is-ready-to-deliver-romanian-made-cobra-ii-vehicles</t>
        </is>
      </c>
    </row>
    <row r="217" ht="45" customHeight="1">
      <c r="A217" s="353" t="n">
        <v>217</v>
      </c>
      <c r="B217" s="353" t="inlineStr">
        <is>
          <t>EUR-257</t>
        </is>
      </c>
      <c r="C217" s="353" t="inlineStr">
        <is>
          <t>Cook Defence Systems and related entities</t>
        </is>
      </c>
      <c r="D217" s="353" t="inlineStr">
        <is>
          <t>EUR-121</t>
        </is>
      </c>
      <c r="E217" s="353" t="inlineStr">
        <is>
          <t>Cook Defence Systems and related entities</t>
        </is>
      </c>
      <c r="F217" s="353" t="inlineStr">
        <is>
          <t>retain</t>
        </is>
      </c>
      <c r="G217" s="353" t="inlineStr">
        <is>
          <t>verified</t>
        </is>
      </c>
      <c r="H217" s="353" t="inlineStr">
        <is>
          <t>Retain under strict scope; completed transaction and primary A&amp;D focus are supported by the cited source.</t>
        </is>
      </c>
      <c r="I217" s="353" t="inlineStr">
        <is>
          <t>Armoured Vehicle Track Systems. Manufacturer of track systems and related components for armoured military vehicles.</t>
        </is>
      </c>
      <c r="J217" s="353" t="inlineStr">
        <is>
          <t>HEICO</t>
        </is>
      </c>
      <c r="K217" s="353" t="inlineStr">
        <is>
          <t>https://heico.com/2026/06/03/heico-corporation-acquires-key-supplier-of-armored-vehicle-track-systems/</t>
        </is>
      </c>
    </row>
    <row r="218" ht="45" customHeight="1">
      <c r="A218" s="353" t="n">
        <v>218</v>
      </c>
      <c r="B218" s="353" t="inlineStr">
        <is>
          <t>EUR-258</t>
        </is>
      </c>
      <c r="C218" s="353" t="inlineStr">
        <is>
          <t>Nordic Shield Group AB</t>
        </is>
      </c>
      <c r="D218" s="353" t="inlineStr">
        <is>
          <t>EUR-123</t>
        </is>
      </c>
      <c r="E218" s="353" t="inlineStr">
        <is>
          <t>Nordic Shield Group AB</t>
        </is>
      </c>
      <c r="F218" s="353" t="inlineStr">
        <is>
          <t>retain</t>
        </is>
      </c>
      <c r="G218" s="353" t="inlineStr">
        <is>
          <t>verified</t>
        </is>
      </c>
      <c r="H218" s="353" t="inlineStr">
        <is>
          <t>Retain under strict scope; completed transaction and primary A&amp;D focus are supported by the cited source.</t>
        </is>
      </c>
      <c r="I218" s="353" t="inlineStr">
        <is>
          <t>Defence protection/shelter business; the remaining-stake purchase moved the buyer from minority ownership to first control.</t>
        </is>
      </c>
      <c r="J218" s="353" t="inlineStr">
        <is>
          <t>Issuer release via MFN</t>
        </is>
      </c>
      <c r="K218" s="353" t="inlineStr">
        <is>
          <t>https://www.mfn.se/a/scandinavian-astor-group/astor-group-completes-the-acquisition-of-nordic-shield-group</t>
        </is>
      </c>
    </row>
    <row r="219" ht="45" customHeight="1">
      <c r="A219" s="353" t="n">
        <v>219</v>
      </c>
      <c r="B219" s="353" t="inlineStr">
        <is>
          <t>EUR-259</t>
        </is>
      </c>
      <c r="C219" s="353" t="inlineStr">
        <is>
          <t>Savox Communications Plc</t>
        </is>
      </c>
      <c r="D219" s="353" t="inlineStr">
        <is>
          <t>EUR-124</t>
        </is>
      </c>
      <c r="E219" s="353" t="inlineStr">
        <is>
          <t>Savox Communications Plc</t>
        </is>
      </c>
      <c r="F219" s="353" t="inlineStr">
        <is>
          <t>retain</t>
        </is>
      </c>
      <c r="G219" s="353" t="inlineStr">
        <is>
          <t>verified</t>
        </is>
      </c>
      <c r="H219" s="353" t="inlineStr">
        <is>
          <t>Retain under strict scope; completed transaction and primary A&amp;D focus are supported by the cited source.</t>
        </is>
      </c>
      <c r="I219" s="353" t="inlineStr">
        <is>
          <t>Tactical Communications &amp; Soldier Systems. Developer of tactical communications, hearing protection and rugged mission-critical ICT.</t>
        </is>
      </c>
      <c r="J219" s="353" t="inlineStr">
        <is>
          <t>Nasdaq issuer release</t>
        </is>
      </c>
      <c r="K219" s="353" t="inlineStr">
        <is>
          <t>https://view.news.eu.nasdaq.com/view?id=b324b516dbc32b72a07369b2fa6a96d9d&amp;lang=en&amp;src=listed</t>
        </is>
      </c>
    </row>
    <row r="220" ht="45" customHeight="1">
      <c r="A220" s="353" t="n">
        <v>220</v>
      </c>
      <c r="B220" s="353" t="inlineStr">
        <is>
          <t>EUR-260</t>
        </is>
      </c>
      <c r="C220" s="353" t="inlineStr">
        <is>
          <t>Colt CZ Hungary Zrt.</t>
        </is>
      </c>
      <c r="D220" s="353" t="inlineStr">
        <is>
          <t>PEND-007</t>
        </is>
      </c>
      <c r="E220" s="353" t="inlineStr">
        <is>
          <t>Colt CZ Hungary Zrt.</t>
        </is>
      </c>
      <c r="F220" s="353" t="inlineStr">
        <is>
          <t>move_pending</t>
        </is>
      </c>
      <c r="G220" s="353" t="inlineStr">
        <is>
          <t>verified</t>
        </is>
      </c>
      <c r="H220" s="353" t="inlineStr">
        <is>
          <t>Qualifying A&amp;D control transaction, but not completed by 2026-08-02; move to the pending pipeline.</t>
        </is>
      </c>
      <c r="I220" s="353" t="inlineStr">
        <is>
          <t>Firearms &amp; Ammunition. Hungarian firearms production company established as a Colt CZ and N7 joint venture.</t>
        </is>
      </c>
      <c r="J220" s="353" t="inlineStr">
        <is>
          <t>Colt CZ Group</t>
        </is>
      </c>
      <c r="K220" s="353" t="inlineStr">
        <is>
          <t>https://www.coltczgroup.com/en/media/press-releases/colt-cz-group-se-announces-the-sale-of-its-stake-in-subsidiary-colt-cz-hungary</t>
        </is>
      </c>
    </row>
    <row r="221" ht="45" customHeight="1">
      <c r="A221" s="353" t="n">
        <v>221</v>
      </c>
      <c r="B221" s="353" t="inlineStr">
        <is>
          <t>EUR-261</t>
        </is>
      </c>
      <c r="C221" s="353" t="inlineStr">
        <is>
          <t>PBH Teknik AB</t>
        </is>
      </c>
      <c r="D221" s="353" t="inlineStr">
        <is>
          <t>PEND-008</t>
        </is>
      </c>
      <c r="E221" s="353" t="inlineStr">
        <is>
          <t>PBH Teknik AB</t>
        </is>
      </c>
      <c r="F221" s="353" t="inlineStr">
        <is>
          <t>move_pending</t>
        </is>
      </c>
      <c r="G221" s="353" t="inlineStr">
        <is>
          <t>verified</t>
        </is>
      </c>
      <c r="H221" s="353" t="inlineStr">
        <is>
          <t>Qualifying A&amp;D control transaction, but not completed by 2026-08-02; move to the pending pipeline.</t>
        </is>
      </c>
      <c r="I221" s="353" t="inlineStr">
        <is>
          <t>Defence Precision Manufacturing. CNC milling and high-precision manufacturing supplier with a defence-focused customer base.</t>
        </is>
      </c>
      <c r="J221" s="353" t="inlineStr">
        <is>
          <t>Issuer release via MFN</t>
        </is>
      </c>
      <c r="K221" s="353" t="inlineStr">
        <is>
          <t>https://mfn.se/a/scandinavian-astor-group/astor-groups-subsidiary-mikroponent-is-strengthening-its-position-in-the-swedish-defence-industry-through-the-acquisition-of-pbh-teknik.iframe</t>
        </is>
      </c>
    </row>
    <row r="222" ht="45" customHeight="1">
      <c r="A222" s="353" t="n">
        <v>222</v>
      </c>
      <c r="B222" s="353" t="inlineStr">
        <is>
          <t>EUR-262</t>
        </is>
      </c>
      <c r="C222" s="353" t="inlineStr">
        <is>
          <t>SMAG Mobile Antenna Masts AG</t>
        </is>
      </c>
      <c r="D222" s="353" t="inlineStr">
        <is>
          <t>EUR-131</t>
        </is>
      </c>
      <c r="E222" s="353" t="inlineStr">
        <is>
          <t>SMAG Mobile Antenna Masts AG</t>
        </is>
      </c>
      <c r="F222" s="353" t="inlineStr">
        <is>
          <t>replace</t>
        </is>
      </c>
      <c r="G222" s="353" t="inlineStr">
        <is>
          <t>verified</t>
        </is>
      </c>
      <c r="H222" s="353" t="inlineStr">
        <is>
          <t>Replace IPO proceeds: EUR 112.7m base placement; EUR 129.605m included a greenshoe not verified as executed.</t>
        </is>
      </c>
      <c r="I222" s="353" t="inlineStr">
        <is>
          <t>Military Communications &amp; Counter-UAS Infrastructure. Manufacturer of mobile antenna mast systems for military communications, radar, surveillance and counter-UAS.</t>
        </is>
      </c>
      <c r="J222" s="353" t="inlineStr">
        <is>
          <t>Deutsche Börse</t>
        </is>
      </c>
      <c r="K222" s="353" t="inlineStr">
        <is>
          <t>https://www.cashmarket.deutsche-boerse.com/cash-en/Data-Tech/statistics/New-Companies/SMAG-Mobile-Antenna-Masts-AG-5363282</t>
        </is>
      </c>
    </row>
    <row r="223" ht="45" customHeight="1">
      <c r="A223" s="353" t="n">
        <v>223</v>
      </c>
      <c r="B223" s="353" t="inlineStr">
        <is>
          <t>EUR-263</t>
        </is>
      </c>
      <c r="C223" s="353" t="inlineStr">
        <is>
          <t>Active Armour Group Stockholm AB / Amigo Defence AB</t>
        </is>
      </c>
      <c r="D223" s="353" t="inlineStr">
        <is>
          <t>EUR-132</t>
        </is>
      </c>
      <c r="E223" s="353" t="inlineStr">
        <is>
          <t>Active Armour Group Stockholm AB / Amigo Defence AB</t>
        </is>
      </c>
      <c r="F223" s="353" t="inlineStr">
        <is>
          <t>retain</t>
        </is>
      </c>
      <c r="G223" s="353" t="inlineStr">
        <is>
          <t>verified</t>
        </is>
      </c>
      <c r="H223" s="353" t="inlineStr">
        <is>
          <t>Retain under strict scope; completed transaction and primary A&amp;D focus are supported by the cited source.</t>
        </is>
      </c>
      <c r="I223" s="353" t="inlineStr">
        <is>
          <t>Personal Ballistic Protection. Supplier of body armour, ballistic helmets and protective equipment.</t>
        </is>
      </c>
      <c r="J223" s="353" t="inlineStr">
        <is>
          <t>Issuer release via Mangold</t>
        </is>
      </c>
      <c r="K223" s="353" t="inlineStr">
        <is>
          <t>https://mangold.se/company-news/transfer-group-erhaller-godkannande-fran-isp-och-slutfor-forvarvet-av-amigo-defence/</t>
        </is>
      </c>
    </row>
    <row r="224" ht="45" customHeight="1">
      <c r="A224" s="353" t="n">
        <v>224</v>
      </c>
      <c r="B224" s="353" t="inlineStr">
        <is>
          <t>EUR-264</t>
        </is>
      </c>
      <c r="C224" s="353" t="inlineStr">
        <is>
          <t>General Defence S.r.l.</t>
        </is>
      </c>
      <c r="D224" s="353" t="inlineStr">
        <is>
          <t>PEND-014</t>
        </is>
      </c>
      <c r="E224" s="353" t="inlineStr">
        <is>
          <t>General Defence S.r.l.</t>
        </is>
      </c>
      <c r="F224" s="353" t="inlineStr">
        <is>
          <t>move_pending</t>
        </is>
      </c>
      <c r="G224" s="353" t="inlineStr">
        <is>
          <t>verified</t>
        </is>
      </c>
      <c r="H224" s="353" t="inlineStr">
        <is>
          <t>Qualifying A&amp;D control transaction, but not completed by 2026-08-02; move to the pending pipeline.</t>
        </is>
      </c>
      <c r="I224" s="353" t="inlineStr">
        <is>
          <t>UAVs, C2 &amp; Mission Systems. Developer of unmanned aircraft, command-and-control, mission and datalink systems.</t>
        </is>
      </c>
      <c r="J224" s="353" t="inlineStr">
        <is>
          <t>UMBRAGROUP</t>
        </is>
      </c>
      <c r="K224" s="353" t="inlineStr">
        <is>
          <t>https://mediahub.umbragroup.com/en/press-release/umbragroup-acquires-control-of-general-defence</t>
        </is>
      </c>
    </row>
    <row r="225" ht="45" customHeight="1">
      <c r="A225" s="353" t="inlineStr">
        <is>
          <t>Added omission</t>
        </is>
      </c>
      <c r="B225" s="353" t="inlineStr">
        <is>
          <t>N/A</t>
        </is>
      </c>
      <c r="C225" s="353" t="inlineStr">
        <is>
          <t>N/A</t>
        </is>
      </c>
      <c r="D225" s="353" t="inlineStr">
        <is>
          <t>EUR-032</t>
        </is>
      </c>
      <c r="E225" s="353" t="inlineStr">
        <is>
          <t>Airsafe Sweden AB</t>
        </is>
      </c>
      <c r="F225" s="353" t="inlineStr">
        <is>
          <t>retain</t>
        </is>
      </c>
      <c r="G225" s="353" t="inlineStr">
        <is>
          <t>verified</t>
        </is>
      </c>
      <c r="H225" s="353" t="inlineStr">
        <is>
          <t>Confirmed omitted completed acquisition.</t>
        </is>
      </c>
      <c r="I225" s="353" t="inlineStr">
        <is>
          <t>Airsafe designs and manufactures military and civil aviation-safety equipment, parachute systems, ammunition parts and weapon-system components.</t>
        </is>
      </c>
      <c r="J225" s="353" t="inlineStr">
        <is>
          <t>Scandinavian Astor Group/Cision closing and earn-out releases</t>
        </is>
      </c>
      <c r="K225" s="353" t="inlineStr">
        <is>
          <t>https://mb.cision.com/Main/22055/3983661/2804807.pdf</t>
        </is>
      </c>
    </row>
    <row r="226" ht="45" customHeight="1">
      <c r="A226" s="353" t="inlineStr">
        <is>
          <t>Added omission</t>
        </is>
      </c>
      <c r="B226" s="353" t="inlineStr">
        <is>
          <t>N/A</t>
        </is>
      </c>
      <c r="C226" s="353" t="inlineStr">
        <is>
          <t>N/A</t>
        </is>
      </c>
      <c r="D226" s="353" t="inlineStr">
        <is>
          <t>EUR-009</t>
        </is>
      </c>
      <c r="E226" s="353" t="inlineStr">
        <is>
          <t>Aubert &amp; Duval</t>
        </is>
      </c>
      <c r="F226" s="353" t="inlineStr">
        <is>
          <t>retain</t>
        </is>
      </c>
      <c r="G226" s="353" t="inlineStr">
        <is>
          <t>verified</t>
        </is>
      </c>
      <c r="H226" s="353" t="inlineStr">
        <is>
          <t>Confirmed omitted completed control acquisition.</t>
        </is>
      </c>
      <c r="I226" s="353" t="inlineStr">
        <is>
          <t>Aubert &amp; Duval is a strategic manufacturer of high-performance steels, superalloys, titanium and critical parts central to aerospace and defence supply chains.</t>
        </is>
      </c>
      <c r="J226" s="353" t="inlineStr">
        <is>
          <t>Airbus closing announcement and 9M 2023 financial statements</t>
        </is>
      </c>
      <c r="K226" s="353" t="inlineStr">
        <is>
          <t>https://www.airbus.com/en/newsroom/press-releases/2023-04-airbus-safran-and-tikehau-capital-finalise-acquisition-of-aubert</t>
        </is>
      </c>
    </row>
    <row r="227" ht="45" customHeight="1">
      <c r="A227" s="353" t="inlineStr">
        <is>
          <t>Added omission</t>
        </is>
      </c>
      <c r="B227" s="353" t="inlineStr">
        <is>
          <t>N/A</t>
        </is>
      </c>
      <c r="C227" s="353" t="inlineStr">
        <is>
          <t>N/A</t>
        </is>
      </c>
      <c r="D227" s="353" t="inlineStr">
        <is>
          <t>EUR-057</t>
        </is>
      </c>
      <c r="E227" s="353" t="inlineStr">
        <is>
          <t>e.sigma Systems GmbH</t>
        </is>
      </c>
      <c r="F227" s="353" t="inlineStr">
        <is>
          <t>retain</t>
        </is>
      </c>
      <c r="G227" s="353" t="inlineStr">
        <is>
          <t>verified</t>
        </is>
      </c>
      <c r="H227" s="353" t="inlineStr">
        <is>
          <t>Confirmed omission from the original Europe 2025 section.</t>
        </is>
      </c>
      <c r="I227" s="353" t="inlineStr">
        <is>
          <t>e.sigma develops military training, simulation, command-and-control and secure voice/AI software.</t>
        </is>
      </c>
      <c r="J227" s="353" t="inlineStr">
        <is>
          <t>Diehl Defence</t>
        </is>
      </c>
      <c r="K227" s="353" t="inlineStr">
        <is>
          <t>https://new.diehl.com/defence/en/press-media/news/takeover-of-e.sigma-systems-gmbh</t>
        </is>
      </c>
    </row>
    <row r="228" ht="45" customHeight="1">
      <c r="A228" s="353" t="inlineStr">
        <is>
          <t>Added omission</t>
        </is>
      </c>
      <c r="B228" s="353" t="inlineStr">
        <is>
          <t>N/A</t>
        </is>
      </c>
      <c r="C228" s="353" t="inlineStr">
        <is>
          <t>N/A</t>
        </is>
      </c>
      <c r="D228" s="353" t="inlineStr">
        <is>
          <t>EUR-060</t>
        </is>
      </c>
      <c r="E228" s="353" t="inlineStr">
        <is>
          <t>Fjord Defence AS</t>
        </is>
      </c>
      <c r="F228" s="353" t="inlineStr">
        <is>
          <t>retain</t>
        </is>
      </c>
      <c r="G228" s="353" t="inlineStr">
        <is>
          <t>verified</t>
        </is>
      </c>
      <c r="H228" s="353" t="inlineStr">
        <is>
          <t>Confirmed omission; label value basis carefully because share-price accounting changed the completion value.</t>
        </is>
      </c>
      <c r="I228" s="353" t="inlineStr">
        <is>
          <t>Fjord Defence develops weapon-integration systems and defence-platform technology.</t>
        </is>
      </c>
      <c r="J228" s="353" t="inlineStr">
        <is>
          <t>Fjord Defence Group</t>
        </is>
      </c>
      <c r="K228" s="353" t="inlineStr">
        <is>
          <t>https://live.euronext.com/en/products/equities/company-news/2025-06-20-aquila-holdings-successful-completion-fjord-defence</t>
        </is>
      </c>
    </row>
    <row r="229" ht="45" customHeight="1">
      <c r="A229" s="353" t="inlineStr">
        <is>
          <t>Added omission</t>
        </is>
      </c>
      <c r="B229" s="353" t="inlineStr">
        <is>
          <t>N/A</t>
        </is>
      </c>
      <c r="C229" s="353" t="inlineStr">
        <is>
          <t>N/A</t>
        </is>
      </c>
      <c r="D229" s="353" t="inlineStr">
        <is>
          <t>EUR-052</t>
        </is>
      </c>
      <c r="E229" s="353" t="inlineStr">
        <is>
          <t>GMT Aerospace GmbH</t>
        </is>
      </c>
      <c r="F229" s="353" t="inlineStr">
        <is>
          <t>retain</t>
        </is>
      </c>
      <c r="G229" s="353" t="inlineStr">
        <is>
          <t>verified</t>
        </is>
      </c>
      <c r="H229" s="353" t="inlineStr">
        <is>
          <t>Confirmed omission from the original Europe 2025 section.</t>
        </is>
      </c>
      <c r="I229" s="353" t="inlineStr">
        <is>
          <t>GMT manufactures tie rods and vibration-control systems specifically for commercial and military aerospace platforms.</t>
        </is>
      </c>
      <c r="J229" s="353" t="inlineStr">
        <is>
          <t>TriMas</t>
        </is>
      </c>
      <c r="K229" s="353" t="inlineStr">
        <is>
          <t>https://trimas.com/news/2025/trimas-completes-acquisition-of-gmt-aerospace/</t>
        </is>
      </c>
    </row>
    <row r="230" ht="45" customHeight="1">
      <c r="A230" s="353" t="inlineStr">
        <is>
          <t>Added omission</t>
        </is>
      </c>
      <c r="B230" s="353" t="inlineStr">
        <is>
          <t>N/A</t>
        </is>
      </c>
      <c r="C230" s="353" t="inlineStr">
        <is>
          <t>N/A</t>
        </is>
      </c>
      <c r="D230" s="353" t="inlineStr">
        <is>
          <t>EUR-046</t>
        </is>
      </c>
      <c r="E230" s="353" t="inlineStr">
        <is>
          <t>Harder Digital group</t>
        </is>
      </c>
      <c r="F230" s="353" t="inlineStr">
        <is>
          <t>retain</t>
        </is>
      </c>
      <c r="G230" s="353" t="inlineStr">
        <is>
          <t>verified</t>
        </is>
      </c>
      <c r="H230" s="353" t="inlineStr">
        <is>
          <t>Confirmed omitted completed majority-control acquisition; announcement preceded legal completion on 14 November.</t>
        </is>
      </c>
      <c r="I230" s="353" t="inlineStr">
        <is>
          <t>Harder Digital manufactures image-intensifier tubes and related production equipment, a critical component of military night-vision systems.</t>
        </is>
      </c>
      <c r="J230" s="353" t="inlineStr">
        <is>
          <t>THEON 2024 Annual Report and acquisition announcement</t>
        </is>
      </c>
      <c r="K230" s="353" t="inlineStr">
        <is>
          <t>https://investors.theon.com/files/doc_financials/2024/ar/Theon_Annual-Report_FY-2024.pdf</t>
        </is>
      </c>
    </row>
    <row r="231" ht="45" customHeight="1">
      <c r="A231" s="353" t="inlineStr">
        <is>
          <t>Added omission</t>
        </is>
      </c>
      <c r="B231" s="353" t="inlineStr">
        <is>
          <t>N/A</t>
        </is>
      </c>
      <c r="C231" s="353" t="inlineStr">
        <is>
          <t>N/A</t>
        </is>
      </c>
      <c r="D231" s="353" t="inlineStr">
        <is>
          <t>EUR-116</t>
        </is>
      </c>
      <c r="E231" s="353" t="inlineStr">
        <is>
          <t>Hevi Optronics OÜ</t>
        </is>
      </c>
      <c r="F231" s="353" t="inlineStr">
        <is>
          <t>retain</t>
        </is>
      </c>
      <c r="G231" s="353" t="inlineStr">
        <is>
          <t>verified</t>
        </is>
      </c>
      <c r="H231" s="353" t="inlineStr">
        <is>
          <t>Confirmed omission. Agreement signed 28 February, competition approval granted 31 March, and 60% ownership/control registered effective 20 May 2026.</t>
        </is>
      </c>
      <c r="I231" s="353" t="inlineStr">
        <is>
          <t>Estonian regulator identifies electro-optical sensor systems, remote weapon systems and drone/defence integration; target is a core defence-technology company.</t>
        </is>
      </c>
      <c r="J231" s="353" t="inlineStr">
        <is>
          <t>Estonian Competition Authority</t>
        </is>
      </c>
      <c r="K231" s="353" t="inlineStr">
        <is>
          <t>https://www.konkurentsiamet.ee/sites/default/files/documents/2026-04/31.03.2026%20otsus%20nr%205-5-2026-011.pdf</t>
        </is>
      </c>
    </row>
    <row r="232" ht="45" customHeight="1">
      <c r="A232" s="353" t="inlineStr">
        <is>
          <t>Added omission</t>
        </is>
      </c>
      <c r="B232" s="353" t="inlineStr">
        <is>
          <t>N/A</t>
        </is>
      </c>
      <c r="C232" s="353" t="inlineStr">
        <is>
          <t>N/A</t>
        </is>
      </c>
      <c r="D232" s="353" t="inlineStr">
        <is>
          <t>EUR-094</t>
        </is>
      </c>
      <c r="E232" s="353" t="inlineStr">
        <is>
          <t>Hirtenberger Defence Systems group</t>
        </is>
      </c>
      <c r="F232" s="353" t="inlineStr">
        <is>
          <t>retain</t>
        </is>
      </c>
      <c r="G232" s="353" t="inlineStr">
        <is>
          <t>verified</t>
        </is>
      </c>
      <c r="H232" s="353" t="inlineStr">
        <is>
          <t>Added after resolving the official multi-company closing filing. The 100% acquisition completed on 27 February 2026; the related VAB vehicle was not added because it conveyed only an indirect minority interest in Rheinmetall Hungary rather than control of an operating target.</t>
        </is>
      </c>
      <c r="I232" s="353" t="inlineStr">
        <is>
          <t>The official filing identifies Hirtenberger as an Austrian-headquartered defence group producing mortars, ammunition and digital fire-control and aiming systems.</t>
        </is>
      </c>
      <c r="J232" s="353" t="inlineStr">
        <is>
          <t>4iG extraordinary announcement via Budapest Stock Exchange</t>
        </is>
      </c>
      <c r="K232" s="353" t="inlineStr">
        <is>
          <t>https://www.bet.hu/newkibdata/129406957/20260227_RT_SDT_N7_zaras_EN.pdf</t>
        </is>
      </c>
    </row>
    <row r="233" ht="45" customHeight="1">
      <c r="A233" s="353" t="inlineStr">
        <is>
          <t>Added omission</t>
        </is>
      </c>
      <c r="B233" s="353" t="inlineStr">
        <is>
          <t>N/A</t>
        </is>
      </c>
      <c r="C233" s="353" t="inlineStr">
        <is>
          <t>N/A</t>
        </is>
      </c>
      <c r="D233" s="353" t="inlineStr">
        <is>
          <t>EUR-080</t>
        </is>
      </c>
      <c r="E233" s="353" t="inlineStr">
        <is>
          <t>Hispasat S.A.</t>
        </is>
      </c>
      <c r="F233" s="353" t="inlineStr">
        <is>
          <t>retain</t>
        </is>
      </c>
      <c r="G233" s="353" t="inlineStr">
        <is>
          <t>verified</t>
        </is>
      </c>
      <c r="H233" s="353" t="inlineStr">
        <is>
          <t>Confirmed omission from the original Europe 2025 section.</t>
        </is>
      </c>
      <c r="I233" s="353" t="inlineStr">
        <is>
          <t>Hispasat is a European satellite operator and secure space-communications company, including strategic government/defence capabilities.</t>
        </is>
      </c>
      <c r="J233" s="353" t="inlineStr">
        <is>
          <t>Indra Group</t>
        </is>
      </c>
      <c r="K233" s="353" t="inlineStr">
        <is>
          <t>https://www.indragroup.com/es/noticias/indra-group-se-convierte-en-referente-europeo-en-espacio-cierra-la-adquisicion-del-8968-de-hispasat-y-alcanza-una-participacion-mayoritaria-en-hisdesat</t>
        </is>
      </c>
    </row>
    <row r="234" ht="45" customHeight="1">
      <c r="A234" s="353" t="inlineStr">
        <is>
          <t>Added omission</t>
        </is>
      </c>
      <c r="B234" s="353" t="inlineStr">
        <is>
          <t>N/A</t>
        </is>
      </c>
      <c r="C234" s="353" t="inlineStr">
        <is>
          <t>N/A</t>
        </is>
      </c>
      <c r="D234" s="353" t="inlineStr">
        <is>
          <t>EUR-066</t>
        </is>
      </c>
      <c r="E234" s="353" t="inlineStr">
        <is>
          <t>ILIAS Solutions N.V.</t>
        </is>
      </c>
      <c r="F234" s="353" t="inlineStr">
        <is>
          <t>retain</t>
        </is>
      </c>
      <c r="G234" s="353" t="inlineStr">
        <is>
          <t>verified</t>
        </is>
      </c>
      <c r="H234" s="353" t="inlineStr">
        <is>
          <t>Confirmed omission from the original Europe 2025 section.</t>
        </is>
      </c>
      <c r="I234" s="353" t="inlineStr">
        <is>
          <t>ILIAS develops integrated digital resource-management software specifically for armed forces.</t>
        </is>
      </c>
      <c r="J234" s="353" t="inlineStr">
        <is>
          <t>Patria</t>
        </is>
      </c>
      <c r="K234" s="353" t="inlineStr">
        <is>
          <t>https://www.patriagroup.com/newsroom/news/2025/patria-has-completed-the-acquisition-of-ilias-solutions</t>
        </is>
      </c>
    </row>
    <row r="235" ht="45" customHeight="1">
      <c r="A235" s="353" t="inlineStr">
        <is>
          <t>Added omission</t>
        </is>
      </c>
      <c r="B235" s="353" t="inlineStr">
        <is>
          <t>N/A</t>
        </is>
      </c>
      <c r="C235" s="353" t="inlineStr">
        <is>
          <t>N/A</t>
        </is>
      </c>
      <c r="D235" s="353" t="inlineStr">
        <is>
          <t>EUR-040</t>
        </is>
      </c>
      <c r="E235" s="353" t="inlineStr">
        <is>
          <t>INFODAS GmbH</t>
        </is>
      </c>
      <c r="F235" s="353" t="inlineStr">
        <is>
          <t>retain</t>
        </is>
      </c>
      <c r="G235" s="353" t="inlineStr">
        <is>
          <t>verified</t>
        </is>
      </c>
      <c r="H235" s="353" t="inlineStr">
        <is>
          <t>Confirmed omitted completed acquisition; Airbus announced finalization on 5 September 2024.</t>
        </is>
      </c>
      <c r="I235" s="353" t="inlineStr">
        <is>
          <t>INFODAS develops cross-domain solutions and cybersecurity products for defence, government and critical-infrastructure customers; Airbus identified the acquisition as strengthening its defence cybersecurity portfolio.</t>
        </is>
      </c>
      <c r="J235" s="353" t="inlineStr">
        <is>
          <t>Airbus Defence and Space Cyber</t>
        </is>
      </c>
      <c r="K235" s="353" t="inlineStr">
        <is>
          <t>https://www.cyber.airbus.com/en/newsroom/press-release/2024-09-airbus-completes-acquisition-of-infodas-strengthens-cybersecurity</t>
        </is>
      </c>
    </row>
    <row r="236" ht="45" customHeight="1">
      <c r="A236" s="353" t="inlineStr">
        <is>
          <t>Added omission</t>
        </is>
      </c>
      <c r="B236" s="353" t="inlineStr">
        <is>
          <t>N/A</t>
        </is>
      </c>
      <c r="C236" s="353" t="inlineStr">
        <is>
          <t>N/A</t>
        </is>
      </c>
      <c r="D236" s="353" t="inlineStr">
        <is>
          <t>N/A</t>
        </is>
      </c>
      <c r="E236" s="353" t="inlineStr">
        <is>
          <t>Iveco Defence Vehicles and Astra defence business (IDV Group)</t>
        </is>
      </c>
      <c r="F236" s="353" t="inlineStr">
        <is>
          <t>exclude</t>
        </is>
      </c>
      <c r="G236" s="353" t="inlineStr">
        <is>
          <t>verified</t>
        </is>
      </c>
      <c r="H236" s="353" t="inlineStr">
        <is>
          <t>Duplicate of original Excel row 119, which is corrected and moved to its actual 18 March 2026 completion date in the consolidated ledger. Excluded here to prevent double counting.</t>
        </is>
      </c>
      <c r="I236" s="353" t="inlineStr">
        <is>
          <t>IDV and Astra design and manufacture military tactical, logistic and armoured vehicles; core land-defence technology and manufacturing.</t>
        </is>
      </c>
      <c r="J236" s="353" t="inlineStr">
        <is>
          <t>Leonardo regulated press release via eMarket Storage</t>
        </is>
      </c>
      <c r="K236" s="353" t="inlineStr">
        <is>
          <t>https://www.emarketstorage.it/sites/default/files/comunicati/2026-03/20260318_179182.pdf</t>
        </is>
      </c>
    </row>
    <row r="237" ht="45" customHeight="1">
      <c r="A237" s="353" t="inlineStr">
        <is>
          <t>Added omission</t>
        </is>
      </c>
      <c r="B237" s="353" t="inlineStr">
        <is>
          <t>N/A</t>
        </is>
      </c>
      <c r="C237" s="353" t="inlineStr">
        <is>
          <t>N/A</t>
        </is>
      </c>
      <c r="D237" s="353" t="inlineStr">
        <is>
          <t>EUR-065</t>
        </is>
      </c>
      <c r="E237" s="353" t="inlineStr">
        <is>
          <t>Málaga Aerospace, Defense &amp; Electronics Systems S.A. (MADES)</t>
        </is>
      </c>
      <c r="F237" s="353" t="inlineStr">
        <is>
          <t>retain</t>
        </is>
      </c>
      <c r="G237" s="353" t="inlineStr">
        <is>
          <t>verified</t>
        </is>
      </c>
      <c r="H237" s="353" t="inlineStr">
        <is>
          <t>Confirmed omission from the original Europe 2025 section.</t>
        </is>
      </c>
      <c r="I237" s="353" t="inlineStr">
        <is>
          <t>MADES manufactures electronics primarily for aerospace and defence customers.</t>
        </is>
      </c>
      <c r="J237" s="353" t="inlineStr">
        <is>
          <t>Cicor</t>
        </is>
      </c>
      <c r="K237" s="353" t="inlineStr">
        <is>
          <t>https://www.cicor.com/en/news/article/cicor-completes-acquisition-of-mades-strengthens-ad-market-leadership-and-sees-no-material-impact-from-us-tariffs/</t>
        </is>
      </c>
    </row>
    <row r="238" ht="45" customHeight="1">
      <c r="A238" s="353" t="inlineStr">
        <is>
          <t>Added omission</t>
        </is>
      </c>
      <c r="B238" s="353" t="inlineStr">
        <is>
          <t>N/A</t>
        </is>
      </c>
      <c r="C238" s="353" t="inlineStr">
        <is>
          <t>N/A</t>
        </is>
      </c>
      <c r="D238" s="353" t="inlineStr">
        <is>
          <t>EUR-074</t>
        </is>
      </c>
      <c r="E238" s="353" t="inlineStr">
        <is>
          <t>Marshall Land Systems Ltd.</t>
        </is>
      </c>
      <c r="F238" s="353" t="inlineStr">
        <is>
          <t>retain</t>
        </is>
      </c>
      <c r="G238" s="353" t="inlineStr">
        <is>
          <t>verified</t>
        </is>
      </c>
      <c r="H238" s="353" t="inlineStr">
        <is>
          <t>Confirmed omission from the original Europe 2025 section.</t>
        </is>
      </c>
      <c r="I238" s="353" t="inlineStr">
        <is>
          <t>Marshall Land Systems develops deployable military infrastructure and vehicle-integration systems.</t>
        </is>
      </c>
      <c r="J238" s="353" t="inlineStr">
        <is>
          <t>Marshall Group</t>
        </is>
      </c>
      <c r="K238" s="353" t="inlineStr">
        <is>
          <t>https://marshallgroup.com/en/news-stories/acquisition-of-marshall-land-systems-by-flowing-river-capital</t>
        </is>
      </c>
    </row>
    <row r="239" ht="45" customHeight="1">
      <c r="A239" s="353" t="inlineStr">
        <is>
          <t>Added omission</t>
        </is>
      </c>
      <c r="B239" s="353" t="inlineStr">
        <is>
          <t>N/A</t>
        </is>
      </c>
      <c r="C239" s="353" t="inlineStr">
        <is>
          <t>N/A</t>
        </is>
      </c>
      <c r="D239" s="353" t="inlineStr">
        <is>
          <t>EUR-117</t>
        </is>
      </c>
      <c r="E239" s="353" t="inlineStr">
        <is>
          <t>MARSS Defence business</t>
        </is>
      </c>
      <c r="F239" s="353" t="inlineStr">
        <is>
          <t>retain</t>
        </is>
      </c>
      <c r="G239" s="353" t="inlineStr">
        <is>
          <t>verified</t>
        </is>
      </c>
      <c r="H239" s="353" t="inlineStr">
        <is>
          <t>Confirmed omission. EOS reported completion on 21 May 2026; included because the approved policy admits identifiable operating-business acquisitions, not only share deals.</t>
        </is>
      </c>
      <c r="I239" s="353" t="inlineStr">
        <is>
          <t>Identifiable operating defence business centered on NiDAR AI-enabled command-and-control, sensor fusion and counter-UAS technology.</t>
        </is>
      </c>
      <c r="J239" s="353" t="inlineStr">
        <is>
          <t>Electro Optic Systems ASX announcement</t>
        </is>
      </c>
      <c r="K239" s="353" t="inlineStr">
        <is>
          <t>https://announcements.asx.com.au/asxpdf/20260615/pdf/070mkbmp09kxd3.pdf</t>
        </is>
      </c>
    </row>
    <row r="240" ht="45" customHeight="1">
      <c r="A240" s="353" t="inlineStr">
        <is>
          <t>Added omission</t>
        </is>
      </c>
      <c r="B240" s="353" t="inlineStr">
        <is>
          <t>N/A</t>
        </is>
      </c>
      <c r="C240" s="353" t="inlineStr">
        <is>
          <t>N/A</t>
        </is>
      </c>
      <c r="D240" s="353" t="inlineStr">
        <is>
          <t>EUR-042</t>
        </is>
      </c>
      <c r="E240" s="353" t="inlineStr">
        <is>
          <t>Nordic Drones Oy</t>
        </is>
      </c>
      <c r="F240" s="353" t="inlineStr">
        <is>
          <t>retain</t>
        </is>
      </c>
      <c r="G240" s="353" t="inlineStr">
        <is>
          <t>verified</t>
        </is>
      </c>
      <c r="H240" s="353" t="inlineStr">
        <is>
          <t>Confirmed omitted completed acquisition of the entire share capital.</t>
        </is>
      </c>
      <c r="I240" s="353" t="inlineStr">
        <is>
          <t>Nordic Drones develops and manufactures professional UAV systems for authority and defence uses; Patria acquired it to expand its unmanned-system defence offering.</t>
        </is>
      </c>
      <c r="J240" s="353" t="inlineStr">
        <is>
          <t>Patria signing and completion releases</t>
        </is>
      </c>
      <c r="K240" s="353" t="inlineStr">
        <is>
          <t>https://www.patriagroup.com/newsroom/news/2024/patria-received-authority-approval-for-the-nordic-drones-acquisition-and-transaction-of-open-source-data-collection-product-and-business-from</t>
        </is>
      </c>
    </row>
    <row r="241" ht="45" customHeight="1">
      <c r="A241" s="353" t="inlineStr">
        <is>
          <t>Added omission</t>
        </is>
      </c>
      <c r="B241" s="353" t="inlineStr">
        <is>
          <t>N/A</t>
        </is>
      </c>
      <c r="C241" s="353" t="inlineStr">
        <is>
          <t>N/A</t>
        </is>
      </c>
      <c r="D241" s="353" t="inlineStr">
        <is>
          <t>EUR-076</t>
        </is>
      </c>
      <c r="E241" s="353" t="inlineStr">
        <is>
          <t>Operational Solutions Ltd. (OSL Technology)</t>
        </is>
      </c>
      <c r="F241" s="353" t="inlineStr">
        <is>
          <t>retain</t>
        </is>
      </c>
      <c r="G241" s="353" t="inlineStr">
        <is>
          <t>verified</t>
        </is>
      </c>
      <c r="H241" s="353" t="inlineStr">
        <is>
          <t>Confirmed omission from the original Europe 2025 section.</t>
        </is>
      </c>
      <c r="I241" s="353" t="inlineStr">
        <is>
          <t>OSL develops counter-UAS command, sensor-fusion and AI-enabled protection technology.</t>
        </is>
      </c>
      <c r="J241" s="353" t="inlineStr">
        <is>
          <t>Terma</t>
        </is>
      </c>
      <c r="K241" s="353" t="inlineStr">
        <is>
          <t>https://www.terma.com/news-events/news/news-archive/2025/terma-acquires-osl-technology-powering-a-market-leading-counter-uas-and-critical-infrastructure-protection-capability/</t>
        </is>
      </c>
    </row>
    <row r="242" ht="45" customHeight="1">
      <c r="A242" s="353" t="inlineStr">
        <is>
          <t>Added omission</t>
        </is>
      </c>
      <c r="B242" s="353" t="inlineStr">
        <is>
          <t>N/A</t>
        </is>
      </c>
      <c r="C242" s="353" t="inlineStr">
        <is>
          <t>N/A</t>
        </is>
      </c>
      <c r="D242" s="353" t="inlineStr">
        <is>
          <t>EUR-069</t>
        </is>
      </c>
      <c r="E242" s="353" t="inlineStr">
        <is>
          <t>Paul Boyé Technologies</t>
        </is>
      </c>
      <c r="F242" s="353" t="inlineStr">
        <is>
          <t>retain</t>
        </is>
      </c>
      <c r="G242" s="353" t="inlineStr">
        <is>
          <t>verified</t>
        </is>
      </c>
      <c r="H242" s="353" t="inlineStr">
        <is>
          <t>Confirmed omission; ownership percentage and consideration were not publicly disclosed in the cited company notice.</t>
        </is>
      </c>
      <c r="I242" s="353" t="inlineStr">
        <is>
          <t>Paul Boyé develops and manufactures protective and combat equipment for military and security customers.</t>
        </is>
      </c>
      <c r="J242" s="353" t="inlineStr">
        <is>
          <t>Paul Boyé Technologies</t>
        </is>
      </c>
      <c r="K242" s="353" t="inlineStr">
        <is>
          <t>https://www.paul-boye.fr/</t>
        </is>
      </c>
    </row>
    <row r="243" ht="45" customHeight="1">
      <c r="A243" s="353" t="inlineStr">
        <is>
          <t>Added omission</t>
        </is>
      </c>
      <c r="B243" s="353" t="inlineStr">
        <is>
          <t>N/A</t>
        </is>
      </c>
      <c r="C243" s="353" t="inlineStr">
        <is>
          <t>N/A</t>
        </is>
      </c>
      <c r="D243" s="353" t="inlineStr">
        <is>
          <t>EUR-039</t>
        </is>
      </c>
      <c r="E243" s="353" t="inlineStr">
        <is>
          <t>Preligens</t>
        </is>
      </c>
      <c r="F243" s="353" t="inlineStr">
        <is>
          <t>retain</t>
        </is>
      </c>
      <c r="G243" s="353" t="inlineStr">
        <is>
          <t>verified</t>
        </is>
      </c>
      <c r="H243" s="353" t="inlineStr">
        <is>
          <t>Confirmed omitted completed defence-AI acquisition.</t>
        </is>
      </c>
      <c r="I243" s="353" t="inlineStr">
        <is>
          <t>Preligens develops combat-proven AI for military object detection and analysis of satellite imagery, video and acoustic signals for aerospace, defence and government users.</t>
        </is>
      </c>
      <c r="J243" s="353" t="inlineStr">
        <is>
          <t>Safran closing announcement</t>
        </is>
      </c>
      <c r="K243" s="353" t="inlineStr">
        <is>
          <t>https://www.safran-group.com/fr/download/press_release/file/2241770</t>
        </is>
      </c>
    </row>
    <row r="244" ht="45" customHeight="1">
      <c r="A244" s="353" t="inlineStr">
        <is>
          <t>Added omission</t>
        </is>
      </c>
      <c r="B244" s="353" t="inlineStr">
        <is>
          <t>N/A</t>
        </is>
      </c>
      <c r="C244" s="353" t="inlineStr">
        <is>
          <t>N/A</t>
        </is>
      </c>
      <c r="D244" s="353" t="inlineStr">
        <is>
          <t>EUR-073</t>
        </is>
      </c>
      <c r="E244" s="353" t="inlineStr">
        <is>
          <t>Rack Peruzzi S.r.l.</t>
        </is>
      </c>
      <c r="F244" s="353" t="inlineStr">
        <is>
          <t>retain</t>
        </is>
      </c>
      <c r="G244" s="353" t="inlineStr">
        <is>
          <t>verified</t>
        </is>
      </c>
      <c r="H244" s="353" t="inlineStr">
        <is>
          <t>Confirmed omission; retain without inventing an ownership percentage or consideration.</t>
        </is>
      </c>
      <c r="I244" s="353" t="inlineStr">
        <is>
          <t>Rack Peruzzi provides secure racks, systems integration and engineering for aerospace and defence programmes.</t>
        </is>
      </c>
      <c r="J244" s="353" t="inlineStr">
        <is>
          <t>Mare Group</t>
        </is>
      </c>
      <c r="K244" s="353" t="inlineStr">
        <is>
          <t>https://www.maregroup.it/en/mare-group-acquires-rack-peruzzi-and-strengthens-its-aerospace-defense-hub/</t>
        </is>
      </c>
    </row>
    <row r="245" ht="45" customHeight="1">
      <c r="A245" s="353" t="inlineStr">
        <is>
          <t>Added omission</t>
        </is>
      </c>
      <c r="B245" s="353" t="inlineStr">
        <is>
          <t>N/A</t>
        </is>
      </c>
      <c r="C245" s="353" t="inlineStr">
        <is>
          <t>N/A</t>
        </is>
      </c>
      <c r="D245" s="353" t="inlineStr">
        <is>
          <t>EUR-043</t>
        </is>
      </c>
      <c r="E245" s="353" t="inlineStr">
        <is>
          <t>Scandiflash AB</t>
        </is>
      </c>
      <c r="F245" s="353" t="inlineStr">
        <is>
          <t>retain</t>
        </is>
      </c>
      <c r="G245" s="353" t="inlineStr">
        <is>
          <t>verified</t>
        </is>
      </c>
      <c r="H245" s="353" t="inlineStr">
        <is>
          <t>Confirmed omitted completed defence-technology acquisition.</t>
        </is>
      </c>
      <c r="I245" s="353" t="inlineStr">
        <is>
          <t>Scandiflash develops high-speed flash X-ray systems used to measure fast-moving objects, including defence and ballistic-test applications; the acquirer explicitly consolidated it into its defence group.</t>
        </is>
      </c>
      <c r="J245" s="353" t="inlineStr">
        <is>
          <t>Scandinavian Astor Group/Cision closing announcement</t>
        </is>
      </c>
      <c r="K245" s="353" t="inlineStr">
        <is>
          <t>https://news.cision.com/se/scandinavian-astor-group-ab/r/scandinavian-astor-group-tilltrader-forvarvet-av-scandiflash-ab%2Cc4045350</t>
        </is>
      </c>
    </row>
    <row r="246" ht="45" customHeight="1">
      <c r="A246" s="353" t="inlineStr">
        <is>
          <t>Added omission</t>
        </is>
      </c>
      <c r="B246" s="353" t="inlineStr">
        <is>
          <t>N/A</t>
        </is>
      </c>
      <c r="C246" s="353" t="inlineStr">
        <is>
          <t>N/A</t>
        </is>
      </c>
      <c r="D246" s="353" t="inlineStr">
        <is>
          <t>EUR-012</t>
        </is>
      </c>
      <c r="E246" s="353" t="inlineStr">
        <is>
          <t>Sky-Hero</t>
        </is>
      </c>
      <c r="F246" s="353" t="inlineStr">
        <is>
          <t>retain</t>
        </is>
      </c>
      <c r="G246" s="353" t="inlineStr">
        <is>
          <t>verified</t>
        </is>
      </c>
      <c r="H246" s="353" t="inlineStr">
        <is>
          <t>Confirmed omitted acquisition; Axon discloses June 2023 closing but not the exact day or consideration.</t>
        </is>
      </c>
      <c r="I246" s="353" t="inlineStr">
        <is>
          <t>Sky-Hero develops tactical indoor UAVs and UGVs used by elite law-enforcement and military units.</t>
        </is>
      </c>
      <c r="J246" s="353" t="inlineStr">
        <is>
          <t>Axon Q3 2023 shareholder letter</t>
        </is>
      </c>
      <c r="K246" s="353" t="inlineStr">
        <is>
          <t>https://investor.axon.com/image/AXON_Q3_2023_ShareholderLetter.pdf</t>
        </is>
      </c>
    </row>
    <row r="247" ht="45" customHeight="1">
      <c r="A247" s="353" t="inlineStr">
        <is>
          <t>Added omission</t>
        </is>
      </c>
      <c r="B247" s="353" t="inlineStr">
        <is>
          <t>N/A</t>
        </is>
      </c>
      <c r="C247" s="353" t="inlineStr">
        <is>
          <t>N/A</t>
        </is>
      </c>
      <c r="D247" s="353" t="inlineStr">
        <is>
          <t>EUR-061</t>
        </is>
      </c>
      <c r="E247" s="353" t="inlineStr">
        <is>
          <t>Slingsby Advanced Composites Ltd.</t>
        </is>
      </c>
      <c r="F247" s="353" t="inlineStr">
        <is>
          <t>retain</t>
        </is>
      </c>
      <c r="G247" s="353" t="inlineStr">
        <is>
          <t>verified</t>
        </is>
      </c>
      <c r="H247" s="353" t="inlineStr">
        <is>
          <t>Confirmed omission from the original Europe 2025 section.</t>
        </is>
      </c>
      <c r="I247" s="353" t="inlineStr">
        <is>
          <t>Slingsby manufactures complex composite structures for land, air and sea defence applications.</t>
        </is>
      </c>
      <c r="J247" s="353" t="inlineStr">
        <is>
          <t>Marshall Group</t>
        </is>
      </c>
      <c r="K247" s="353" t="inlineStr">
        <is>
          <t>https://marshallgroup.com/en/news-stories/acquisition-of-slingsby-advanced-composites-by-mangohojden-ab</t>
        </is>
      </c>
    </row>
    <row r="248" ht="45" customHeight="1">
      <c r="A248" s="353" t="inlineStr">
        <is>
          <t>Added omission</t>
        </is>
      </c>
      <c r="B248" s="353" t="inlineStr">
        <is>
          <t>N/A</t>
        </is>
      </c>
      <c r="C248" s="353" t="inlineStr">
        <is>
          <t>N/A</t>
        </is>
      </c>
      <c r="D248" s="353" t="inlineStr">
        <is>
          <t>EUR-067</t>
        </is>
      </c>
      <c r="E248" s="353" t="inlineStr">
        <is>
          <t>Sofisport</t>
        </is>
      </c>
      <c r="F248" s="353" t="inlineStr">
        <is>
          <t>retain</t>
        </is>
      </c>
      <c r="G248" s="353" t="inlineStr">
        <is>
          <t>verified</t>
        </is>
      </c>
      <c r="H248" s="353" t="inlineStr">
        <is>
          <t>Confirmed omission under the strict defence-ammunition category.</t>
        </is>
      </c>
      <c r="I248" s="353" t="inlineStr">
        <is>
          <t>Sofisport manufactures small-calibre ammunition and ammunition components for defence/security and sporting markets.</t>
        </is>
      </c>
      <c r="J248" s="353" t="inlineStr">
        <is>
          <t>FN Browning Group</t>
        </is>
      </c>
      <c r="K248" s="353" t="inlineStr">
        <is>
          <t>https://fnherstal.com/en/news/fn-browning-group-announces-the-completion-of-its-acquisition-of-sofisport/</t>
        </is>
      </c>
    </row>
    <row r="249" ht="45" customHeight="1">
      <c r="A249" s="353" t="inlineStr">
        <is>
          <t>Added omission</t>
        </is>
      </c>
      <c r="B249" s="353" t="inlineStr">
        <is>
          <t>N/A</t>
        </is>
      </c>
      <c r="C249" s="353" t="inlineStr">
        <is>
          <t>N/A</t>
        </is>
      </c>
      <c r="D249" s="353" t="inlineStr">
        <is>
          <t>EUR-058</t>
        </is>
      </c>
      <c r="E249" s="353" t="inlineStr">
        <is>
          <t>Summa Defence Oy</t>
        </is>
      </c>
      <c r="F249" s="353" t="inlineStr">
        <is>
          <t>retain</t>
        </is>
      </c>
      <c r="G249" s="353" t="inlineStr">
        <is>
          <t>verified</t>
        </is>
      </c>
      <c r="H249" s="353" t="inlineStr">
        <is>
          <t>Confirmed omission; classify separately as a completed share-exchange merger/reverse acquisition rather than a conventional IPO.</t>
        </is>
      </c>
      <c r="I249" s="353" t="inlineStr">
        <is>
          <t>Summa Defence is a dedicated defence and security technology group.</t>
        </is>
      </c>
      <c r="J249" s="353" t="inlineStr">
        <is>
          <t>Summa Defence</t>
        </is>
      </c>
      <c r="K249" s="353" t="inlineStr">
        <is>
          <t>https://news.cision.com/summa-defence-oyj/r/the-merger-of-meriaura-group-plc-and-summa-defence-oy-has-been-completed%2Cc4160816</t>
        </is>
      </c>
    </row>
    <row r="250" ht="45" customHeight="1">
      <c r="A250" s="353" t="inlineStr">
        <is>
          <t>Added omission</t>
        </is>
      </c>
      <c r="B250" s="353" t="inlineStr">
        <is>
          <t>N/A</t>
        </is>
      </c>
      <c r="C250" s="353" t="inlineStr">
        <is>
          <t>N/A</t>
        </is>
      </c>
      <c r="D250" s="353" t="inlineStr">
        <is>
          <t>EUR-020</t>
        </is>
      </c>
      <c r="E250" s="353" t="inlineStr">
        <is>
          <t>Thales aeronautical electrical systems business</t>
        </is>
      </c>
      <c r="F250" s="353" t="inlineStr">
        <is>
          <t>retain</t>
        </is>
      </c>
      <c r="G250" s="353" t="inlineStr">
        <is>
          <t>verified</t>
        </is>
      </c>
      <c r="H250" s="353" t="inlineStr">
        <is>
          <t>Confirmed omitted completed acquisition of an identifiable aerospace operating business.</t>
        </is>
      </c>
      <c r="I250" s="353" t="inlineStr">
        <is>
          <t>The acquired business designs electric conversion, power generation and motors for civil and military aircraft and generated EUR145m revenue in 2022.</t>
        </is>
      </c>
      <c r="J250" s="353" t="inlineStr">
        <is>
          <t>Safran closing announcement</t>
        </is>
      </c>
      <c r="K250" s="353" t="inlineStr">
        <is>
          <t>https://www.safran-group.com/pressroom/safran-acquires-thales-aeronautical-electrical-systems-activities-2023-10-02</t>
        </is>
      </c>
    </row>
    <row r="251" ht="45" customHeight="1">
      <c r="A251" s="353" t="inlineStr">
        <is>
          <t>Added omission</t>
        </is>
      </c>
      <c r="B251" s="353" t="inlineStr">
        <is>
          <t>N/A</t>
        </is>
      </c>
      <c r="C251" s="353" t="inlineStr">
        <is>
          <t>N/A</t>
        </is>
      </c>
      <c r="D251" s="353" t="inlineStr">
        <is>
          <t>EUR-025</t>
        </is>
      </c>
      <c r="E251" s="353" t="inlineStr">
        <is>
          <t>THEON International Plc</t>
        </is>
      </c>
      <c r="F251" s="353" t="inlineStr">
        <is>
          <t>retain</t>
        </is>
      </c>
      <c r="G251" s="353" t="inlineStr">
        <is>
          <t>verified</t>
        </is>
      </c>
      <c r="H251" s="353" t="inlineStr">
        <is>
          <t>Confirmed omitted European defence-technology IPO.</t>
        </is>
      </c>
      <c r="I251" s="353" t="inlineStr">
        <is>
          <t>THEON designs and manufactures night-vision and thermal-imaging systems for defence and security; headquarters and main production are in Greece, while the issuer is Cyprus-registered.</t>
        </is>
      </c>
      <c r="J251" s="353" t="inlineStr">
        <is>
          <t>Euronext and THEON 2024 Annual Report</t>
        </is>
      </c>
      <c r="K251" s="353" t="inlineStr">
        <is>
          <t>https://www.euronext.com/en/about/media/euronext-press-releases/theon-international-plc-lists-euronext-amsterdam</t>
        </is>
      </c>
    </row>
    <row r="252" ht="45" customHeight="1">
      <c r="A252" s="353" t="inlineStr">
        <is>
          <t>Added omission</t>
        </is>
      </c>
      <c r="B252" s="353" t="inlineStr">
        <is>
          <t>N/A</t>
        </is>
      </c>
      <c r="C252" s="353" t="inlineStr">
        <is>
          <t>N/A</t>
        </is>
      </c>
      <c r="D252" s="353" t="inlineStr">
        <is>
          <t>EUR-049</t>
        </is>
      </c>
      <c r="E252" s="353" t="inlineStr">
        <is>
          <t>WASS Submarine Systems business</t>
        </is>
      </c>
      <c r="F252" s="353" t="inlineStr">
        <is>
          <t>retain</t>
        </is>
      </c>
      <c r="G252" s="353" t="inlineStr">
        <is>
          <t>verified</t>
        </is>
      </c>
      <c r="H252" s="353" t="inlineStr">
        <is>
          <t>Confirmed omission from the original Europe 2025 section.</t>
        </is>
      </c>
      <c r="I252" s="353" t="inlineStr">
        <is>
          <t>Core underwater-defence business producing torpedoes, sonar and integrated submarine systems.</t>
        </is>
      </c>
      <c r="J252" s="353" t="inlineStr">
        <is>
          <t>Fincantieri</t>
        </is>
      </c>
      <c r="K252" s="353" t="inlineStr">
        <is>
          <t>https://www.fincantieri.com/en/newsroom/news-e-comunicati-stampa/2025/fincantieri-completes-the-acquisition-of-leonardos-uas-underwater-business</t>
        </is>
      </c>
    </row>
    <row r="253">
      <c r="A253" s="353" t="inlineStr">
        <is>
          <t>n/a — not in original</t>
        </is>
      </c>
      <c r="B253" s="353" t="inlineStr">
        <is>
          <t>n/a</t>
        </is>
      </c>
      <c r="C253" s="353" t="inlineStr">
        <is>
          <t>Milrem Robotics</t>
        </is>
      </c>
      <c r="D253" s="353" t="inlineStr">
        <is>
          <t>EUR-006</t>
        </is>
      </c>
      <c r="E253" s="353" t="inlineStr">
        <is>
          <t>Milrem Robotics</t>
        </is>
      </c>
      <c r="F253" s="353" t="inlineStr">
        <is>
          <t>add</t>
        </is>
      </c>
      <c r="G253" s="353" t="inlineStr">
        <is>
          <t>verified</t>
        </is>
      </c>
      <c r="H253" s="353" t="inlineStr">
        <is>
          <t>ADDED under the strict policy: Estonian target, defence robotics as sole business, EDGE Group acquired a majority stake announced 15 February 2023. Absent from the original workbook. No separate legal completion date was disclosed by either party.</t>
        </is>
      </c>
      <c r="I253" s="353" t="inlineStr">
        <is>
          <t>See Europe sheet Scope Evidence</t>
        </is>
      </c>
      <c r="J253" s="353" t="inlineStr">
        <is>
          <t>EDGE Group announcement (IDEX 2023)</t>
        </is>
      </c>
      <c r="K253" s="353" t="inlineStr">
        <is>
          <t>https://edgegroup.ae/news/edge-acquires-majority-stake-milrem-robotics-europes-leading-developer-robotics-and-autonomous</t>
        </is>
      </c>
    </row>
    <row r="254">
      <c r="A254" s="353" t="inlineStr">
        <is>
          <t>n/a — not in original</t>
        </is>
      </c>
      <c r="B254" s="353" t="inlineStr">
        <is>
          <t>n/a</t>
        </is>
      </c>
      <c r="C254" s="353" t="inlineStr">
        <is>
          <t>CS Group</t>
        </is>
      </c>
      <c r="D254" s="353" t="inlineStr">
        <is>
          <t>EUR-007</t>
        </is>
      </c>
      <c r="E254" s="353" t="inlineStr">
        <is>
          <t>CS Group</t>
        </is>
      </c>
      <c r="F254" s="353" t="inlineStr">
        <is>
          <t>add</t>
        </is>
      </c>
      <c r="G254" s="353" t="inlineStr">
        <is>
          <t>verified</t>
        </is>
      </c>
      <c r="H254" s="353" t="inlineStr">
        <is>
          <t>ADDED under the strict policy: French defence and security critical-systems prime; Sopra Steria finalised a 75.06% majority on 28 February 2023. Absent from the original workbook, although CS Group appears in the sheet as an acquirer.</t>
        </is>
      </c>
      <c r="I254" s="353" t="inlineStr">
        <is>
          <t>See Europe sheet Scope Evidence</t>
        </is>
      </c>
      <c r="J254" s="353" t="inlineStr">
        <is>
          <t>Sopra Steria completion press release, 28 February 2023</t>
        </is>
      </c>
      <c r="K254" s="353" t="inlineStr">
        <is>
          <t>https://www.soprasteria.com/newsroom/press-releases/details/sopra-steria-finalises-its-acquisition-of-a-majority-stake-in-the-share-capital-of-cs-group</t>
        </is>
      </c>
    </row>
    <row r="255">
      <c r="A255" s="353" t="inlineStr">
        <is>
          <t>n/a — not in original</t>
        </is>
      </c>
      <c r="B255" s="353" t="inlineStr">
        <is>
          <t>n/a</t>
        </is>
      </c>
      <c r="C255" s="353" t="inlineStr">
        <is>
          <t>TKMS AG &amp; Co. KGaA</t>
        </is>
      </c>
      <c r="D255" s="353" t="inlineStr">
        <is>
          <t>EUR-070</t>
        </is>
      </c>
      <c r="E255" s="353" t="inlineStr">
        <is>
          <t>TKMS AG &amp; Co. KGaA</t>
        </is>
      </c>
      <c r="F255" s="353" t="inlineStr">
        <is>
          <t>add</t>
        </is>
      </c>
      <c r="G255" s="353" t="inlineStr">
        <is>
          <t>verified</t>
        </is>
      </c>
      <c r="H255" s="353" t="inlineStr">
        <is>
          <t>ADDED: admitted to trading in the Prime Standard of the Frankfurt Stock Exchange on 20 October 2025, the largest European pure-play naval defence listing of the review period (~EUR 6.8bn market value at debut, ~EUR 18.6bn order backlog). SCOPE CAVEAT: this is a spin-off admission with no public offering and no proceeds, so it does not satisfy the workbook's strict "Completed IPO" definition. Flagged in Deal Structure so it can be filtered.</t>
        </is>
      </c>
      <c r="I255" s="353" t="inlineStr">
        <is>
          <t>See Europe sheet Scope Evidence</t>
        </is>
      </c>
      <c r="J255" s="353" t="inlineStr">
        <is>
          <t>TKMS Group listing release</t>
        </is>
      </c>
      <c r="K255" s="353" t="inlineStr">
        <is>
          <t>https://www.tkmsgroup.com/news/article/tkms-lists-on-the-frankfurt-stock-exchange-successful-market-debut-for-maritime-defense-provider</t>
        </is>
      </c>
    </row>
    <row r="256">
      <c r="A256" s="353" t="inlineStr">
        <is>
          <t>n/a — not in original</t>
        </is>
      </c>
      <c r="B256" s="353" t="inlineStr">
        <is>
          <t>n/a</t>
        </is>
      </c>
      <c r="C256" s="353" t="inlineStr">
        <is>
          <t>Spirit AeroSystems Belfast and Prestwick operations</t>
        </is>
      </c>
      <c r="D256" s="353" t="inlineStr">
        <is>
          <t>EUR-077</t>
        </is>
      </c>
      <c r="E256" s="353" t="inlineStr">
        <is>
          <t>Spirit AeroSystems Belfast and Prestwick operations</t>
        </is>
      </c>
      <c r="F256" s="353" t="inlineStr">
        <is>
          <t>add</t>
        </is>
      </c>
      <c r="G256" s="353" t="inlineStr">
        <is>
          <t>verified</t>
        </is>
      </c>
      <c r="H256" s="353" t="inlineStr">
        <is>
          <t>ADDED under the strict policy: UK aerostructures sites (A220 wings and mid-fuselage; A320/A350 wing components) carved out to Airbus, completed 8 December 2025, over 4,000 employees transferred. Absent from the original workbook. Only the European sites are recorded; Kinston, NC is out of scope.</t>
        </is>
      </c>
      <c r="I256" s="353" t="inlineStr">
        <is>
          <t>See Europe sheet Scope Evidence</t>
        </is>
      </c>
      <c r="J256" s="353" t="inlineStr">
        <is>
          <t>Airbus completion press release, December 2025</t>
        </is>
      </c>
      <c r="K256" s="353" t="inlineStr">
        <is>
          <t>https://www.airbus.com/en/newsroom/press-releases/2025-12-airbus-completes-acquisition-of-spirit-aerosystems-sites</t>
        </is>
      </c>
    </row>
    <row r="257">
      <c r="A257" s="353" t="inlineStr">
        <is>
          <t>see original mapping</t>
        </is>
      </c>
      <c r="B257" s="353" t="inlineStr">
        <is>
          <t>EUR-066</t>
        </is>
      </c>
      <c r="C257" s="353" t="inlineStr">
        <is>
          <t>Milectria Group</t>
        </is>
      </c>
      <c r="D257" s="353" t="inlineStr">
        <is>
          <t>EUR-068</t>
        </is>
      </c>
      <c r="E257" s="353" t="inlineStr">
        <is>
          <t>Milectria Group</t>
        </is>
      </c>
      <c r="F257" s="353" t="inlineStr">
        <is>
          <t>correct</t>
        </is>
      </c>
      <c r="G257" s="353" t="inlineStr">
        <is>
          <t>verified</t>
        </is>
      </c>
      <c r="H257" s="353" t="inlineStr">
        <is>
          <t>Native deal value SEK 266m -&gt; SEK 190m (EUR 17.1m); earn-out restated to EUR 18m — HANZA completion release: 'HANZA completes acquisition of Milectria for EUR 17.1 million, equivalent to approximately SEK 190 million'; additional consideration up to EUR 18m.</t>
        </is>
      </c>
      <c r="I257" s="353" t="inlineStr">
        <is>
          <t>Scope unchanged</t>
        </is>
      </c>
      <c r="J257" s="353" t="inlineStr">
        <is>
          <t>Primary source (see URL)</t>
        </is>
      </c>
      <c r="K257" s="353" t="inlineStr">
        <is>
          <t>https://hanza.com/investor/pressreleases/hanza-completes-acquisition-and-expands-capacity-for-the-defense-industry/</t>
        </is>
      </c>
    </row>
    <row r="258">
      <c r="A258" s="353" t="inlineStr">
        <is>
          <t>see original mapping</t>
        </is>
      </c>
      <c r="B258" s="353" t="inlineStr">
        <is>
          <t>EUR-125</t>
        </is>
      </c>
      <c r="C258" s="353" t="inlineStr">
        <is>
          <t>ALL.SPACE</t>
        </is>
      </c>
      <c r="D258" s="353" t="inlineStr">
        <is>
          <t>EUR-129</t>
        </is>
      </c>
      <c r="E258" s="353" t="inlineStr">
        <is>
          <t>ALL.SPACE</t>
        </is>
      </c>
      <c r="F258" s="353" t="inlineStr">
        <is>
          <t>correct</t>
        </is>
      </c>
      <c r="G258" s="353" t="inlineStr">
        <is>
          <t>verified</t>
        </is>
      </c>
      <c r="H258" s="353" t="inlineStr">
        <is>
          <t>Deal value USD 355m -&gt; USD 46.3m initial consideration at completion (USD 355m retained as the announced headline) — York Space Systems completion release: initial cash ~USD 17.9m plus 1,240,148 York shares, ~USD 46.3m total, up to ~USD 54.4m with escrow release.</t>
        </is>
      </c>
      <c r="I258" s="353" t="inlineStr">
        <is>
          <t>Scope unchanged</t>
        </is>
      </c>
      <c r="J258" s="353" t="inlineStr">
        <is>
          <t>Primary source (see URL)</t>
        </is>
      </c>
      <c r="K258" s="353" t="inlineStr">
        <is>
          <t>https://www.businesswire.com/news/home/20260707941488/en/York-Space-Systems-Completes-Acquisition-of-ALL.SPACE-Delivering-Assured-Communications-and-Positioning-in-Contested-Environments</t>
        </is>
      </c>
    </row>
    <row r="259">
      <c r="A259" s="353" t="inlineStr">
        <is>
          <t>see original mapping</t>
        </is>
      </c>
      <c r="B259" s="353" t="inlineStr">
        <is>
          <t>EUR-010</t>
        </is>
      </c>
      <c r="C259" s="353" t="inlineStr">
        <is>
          <t>Sky-Hero</t>
        </is>
      </c>
      <c r="D259" s="353" t="inlineStr">
        <is>
          <t>EUR-012</t>
        </is>
      </c>
      <c r="E259" s="353" t="inlineStr">
        <is>
          <t>Sky-Hero</t>
        </is>
      </c>
      <c r="F259" s="353" t="inlineStr">
        <is>
          <t>correct</t>
        </is>
      </c>
      <c r="G259" s="353" t="inlineStr">
        <is>
          <t>verified</t>
        </is>
      </c>
      <c r="H259" s="353" t="inlineStr">
        <is>
          <t>Completion date text "2023-06 (estimated)" -&gt; 2023-07-14 (real date value) — Axon announcement and transaction record date the Sky-Hero acquisition 14 July 2023.</t>
        </is>
      </c>
      <c r="I259" s="353" t="inlineStr">
        <is>
          <t>Scope unchanged</t>
        </is>
      </c>
      <c r="J259" s="353" t="inlineStr">
        <is>
          <t>Primary source (see URL)</t>
        </is>
      </c>
      <c r="K259" s="353" t="inlineStr">
        <is>
          <t>https://www.axon.com/blog/our-next-step-in-robotics-sky-hero-joins-forces-with-axon</t>
        </is>
      </c>
    </row>
    <row r="260">
      <c r="A260" s="353" t="inlineStr">
        <is>
          <t>see original mapping</t>
        </is>
      </c>
      <c r="B260" s="353" t="inlineStr">
        <is>
          <t>EUR-114</t>
        </is>
      </c>
      <c r="C260" s="353" t="inlineStr">
        <is>
          <t>Tethys</t>
        </is>
      </c>
      <c r="D260" s="353" t="inlineStr">
        <is>
          <t>EUR-113</t>
        </is>
      </c>
      <c r="E260" s="353" t="inlineStr">
        <is>
          <t>Tethys</t>
        </is>
      </c>
      <c r="F260" s="353" t="inlineStr">
        <is>
          <t>correct</t>
        </is>
      </c>
      <c r="G260" s="353" t="inlineStr">
        <is>
          <t>verified</t>
        </is>
      </c>
      <c r="H260" s="353" t="inlineStr">
        <is>
          <t>Completion date text "2026-05 (estimated)" -&gt; 2026-05-04 (real date value); ownership restated as majority stake — Abenex publication dated 4 May 2026: Abenex becomes majority shareholder alongside management and Bpifrance.</t>
        </is>
      </c>
      <c r="I260" s="353" t="inlineStr">
        <is>
          <t>Scope unchanged</t>
        </is>
      </c>
      <c r="J260" s="353" t="inlineStr">
        <is>
          <t>Primary source (see URL)</t>
        </is>
      </c>
      <c r="K260" s="353" t="inlineStr">
        <is>
          <t>https://www.abenex.com/en/publications/abenex-acquires-tethys</t>
        </is>
      </c>
    </row>
    <row r="261">
      <c r="A261" s="353" t="inlineStr">
        <is>
          <t>see original mapping</t>
        </is>
      </c>
      <c r="B261" s="353" t="inlineStr">
        <is>
          <t>EUR-054</t>
        </is>
      </c>
      <c r="C261" s="353" t="inlineStr">
        <is>
          <t>Ultra Maritime Signature Management &amp; Power business</t>
        </is>
      </c>
      <c r="D261" s="353" t="inlineStr">
        <is>
          <t>EUR-056</t>
        </is>
      </c>
      <c r="E261" s="353" t="inlineStr">
        <is>
          <t>Ultra Maritime Signature Management &amp; Power business</t>
        </is>
      </c>
      <c r="F261" s="353" t="inlineStr">
        <is>
          <t>correct</t>
        </is>
      </c>
      <c r="G261" s="353" t="inlineStr">
        <is>
          <t>verified</t>
        </is>
      </c>
      <c r="H261" s="353" t="inlineStr">
        <is>
          <t>Completion date 2025-04-25 -&gt; 2025-04-28 — ESCO Technologies release 'ESCO Completes Acquisition of SM&amp;P' is dated 28 April 2025.</t>
        </is>
      </c>
      <c r="I261" s="353" t="inlineStr">
        <is>
          <t>Scope unchanged</t>
        </is>
      </c>
      <c r="J261" s="353" t="inlineStr">
        <is>
          <t>Primary source (see URL)</t>
        </is>
      </c>
      <c r="K261" s="353" t="inlineStr">
        <is>
          <t>https://investor.escotechnologies.com/news-releases/news-release-details/esco-completes-acquisition-smp</t>
        </is>
      </c>
    </row>
    <row r="262">
      <c r="A262" s="353" t="inlineStr">
        <is>
          <t>see original mapping</t>
        </is>
      </c>
      <c r="B262" s="353" t="inlineStr">
        <is>
          <t>EUR-121</t>
        </is>
      </c>
      <c r="C262" s="353" t="inlineStr">
        <is>
          <t>VoltAero assets and operations</t>
        </is>
      </c>
      <c r="D262" s="353" t="inlineStr">
        <is>
          <t>EUR-126</t>
        </is>
      </c>
      <c r="E262" s="353" t="inlineStr">
        <is>
          <t>VoltAero assets and operations</t>
        </is>
      </c>
      <c r="F262" s="353" t="inlineStr">
        <is>
          <t>correct</t>
        </is>
      </c>
      <c r="G262" s="353" t="inlineStr">
        <is>
          <t>verified</t>
        </is>
      </c>
      <c r="H262" s="353" t="inlineStr">
        <is>
          <t>Completion date 2026-06-23 -&gt; 2026-06-29 — AURA AERO acquired the Cassio demonstrator and other VoltAero assets on 29 June 2026.</t>
        </is>
      </c>
      <c r="I262" s="353" t="inlineStr">
        <is>
          <t>Scope unchanged</t>
        </is>
      </c>
      <c r="J262" s="353" t="inlineStr">
        <is>
          <t>Primary source (see URL)</t>
        </is>
      </c>
      <c r="K262" s="353" t="inlineStr">
        <is>
          <t>https://www.aerotime.aero/articles/french-electric-aviation-set-to-consolidate-after-aura-aero-acquires-voltaero</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154"/>
  <sheetViews>
    <sheetView showGridLines="0" workbookViewId="0">
      <selection activeCell="A1" sqref="A1"/>
    </sheetView>
  </sheetViews>
  <sheetFormatPr baseColWidth="8" defaultRowHeight="15"/>
  <cols>
    <col width="14" customWidth="1" min="1" max="1"/>
    <col width="30" customWidth="1" min="2" max="2"/>
    <col width="28" customWidth="1" min="3" max="3"/>
    <col width="24" customWidth="1" min="4" max="4"/>
    <col width="52" customWidth="1" min="5" max="5"/>
    <col width="46" customWidth="1" min="6" max="6"/>
    <col width="16" customWidth="1" min="7" max="7"/>
    <col width="60" customWidth="1" min="8" max="8"/>
  </cols>
  <sheetData>
    <row r="1" ht="42" customHeight="1">
      <c r="A1" s="349" t="inlineStr">
        <is>
          <t>Deal ID</t>
        </is>
      </c>
      <c r="B1" s="349" t="inlineStr">
        <is>
          <t>Target</t>
        </is>
      </c>
      <c r="C1" s="349" t="inlineStr">
        <is>
          <t>Claim Verified</t>
        </is>
      </c>
      <c r="D1" s="349" t="inlineStr">
        <is>
          <t>Primary Source</t>
        </is>
      </c>
      <c r="E1" s="349" t="inlineStr">
        <is>
          <t>Primary Source URL</t>
        </is>
      </c>
      <c r="F1" s="349" t="inlineStr">
        <is>
          <t>Secondary Source URL</t>
        </is>
      </c>
      <c r="G1" s="349" t="inlineStr">
        <is>
          <t>Reviewed Through</t>
        </is>
      </c>
      <c r="H1" s="349" t="inlineStr">
        <is>
          <t>Source / Correction Note</t>
        </is>
      </c>
    </row>
    <row r="2" ht="45" customHeight="1">
      <c r="A2" s="353" t="inlineStr">
        <is>
          <t>EUR-001</t>
        </is>
      </c>
      <c r="B2" s="353" t="inlineStr">
        <is>
          <t>Exxelia</t>
        </is>
      </c>
      <c r="C2" s="353" t="inlineStr">
        <is>
          <t>Completion / IPO / scope</t>
        </is>
      </c>
      <c r="D2" s="353" t="inlineStr">
        <is>
          <t>HEICO 2023 Annual Report</t>
        </is>
      </c>
      <c r="E2" s="353" t="inlineStr">
        <is>
          <t>https://heico.com/wp-content/uploads/2024/04/AnnualReport_2023.pdf</t>
        </is>
      </c>
      <c r="F2" s="353" t="inlineStr">
        <is>
          <t>None used</t>
        </is>
      </c>
      <c r="G2" s="353" t="inlineStr">
        <is>
          <t>2026-08-02</t>
        </is>
      </c>
      <c r="H2" s="353" t="inlineStr">
        <is>
          <t>Control acquisition, not 100%; replace the dataset's $501.55m with audited net consideration of $503.996m.</t>
        </is>
      </c>
    </row>
    <row r="3" ht="45" customHeight="1">
      <c r="A3" s="353" t="inlineStr">
        <is>
          <t>EUR-002</t>
        </is>
      </c>
      <c r="B3" s="353" t="inlineStr">
        <is>
          <t>TP Group plc</t>
        </is>
      </c>
      <c r="C3" s="353" t="inlineStr">
        <is>
          <t>Completion / IPO / scope</t>
        </is>
      </c>
      <c r="D3" s="353" t="inlineStr">
        <is>
          <t>Science Group audited 2023 results</t>
        </is>
      </c>
      <c r="E3" s="353" t="inlineStr">
        <is>
          <t>https://www.sciencegroup.com/news-detail/audited-results-for-the-year-ended-31-december-2023/</t>
        </is>
      </c>
      <c r="F3" s="353" t="inlineStr">
        <is>
          <t>None used</t>
        </is>
      </c>
      <c r="G3" s="353" t="inlineStr">
        <is>
          <t>2026-08-02</t>
        </is>
      </c>
      <c r="H3" s="353" t="inlineStr">
        <is>
          <t>Retain as a completed 100% control acquisition; value left null because cash outflow is not necessarily equivalent to enterprise value.</t>
        </is>
      </c>
    </row>
    <row r="4" ht="45" customHeight="1">
      <c r="A4" s="353" t="inlineStr">
        <is>
          <t>EUR-003</t>
        </is>
      </c>
      <c r="B4" s="353" t="inlineStr">
        <is>
          <t>Westek Technology Ltd</t>
        </is>
      </c>
      <c r="C4" s="353" t="inlineStr">
        <is>
          <t>Completion / IPO / scope</t>
        </is>
      </c>
      <c r="D4" s="353" t="inlineStr">
        <is>
          <t>roda computer; Science Group 2023 Annual Report</t>
        </is>
      </c>
      <c r="E4" s="353" t="inlineStr">
        <is>
          <t>https://www.roda-computer.com/news/current-news/roda-acquires-the-shares-of-westek/</t>
        </is>
      </c>
      <c r="F4" s="353" t="inlineStr">
        <is>
          <t>https://www.annualreports.com/HostedData/AnnualReportArchive/s/LSE_SAG_2023.pdf</t>
        </is>
      </c>
      <c r="G4" s="353" t="inlineStr">
        <is>
          <t>2026-08-02</t>
        </is>
      </c>
      <c r="H4" s="353" t="inlineStr">
        <is>
          <t>Correct completion date is 29 January 2023, not 1 January 2023.</t>
        </is>
      </c>
    </row>
    <row r="5" ht="45" customHeight="1">
      <c r="A5" s="353" t="inlineStr">
        <is>
          <t>EUR-004</t>
        </is>
      </c>
      <c r="B5" s="353" t="inlineStr">
        <is>
          <t>Diateam</t>
        </is>
      </c>
      <c r="C5" s="353" t="inlineStr">
        <is>
          <t>Completion / IPO / scope</t>
        </is>
      </c>
      <c r="D5" s="353" t="inlineStr">
        <is>
          <t>CY4Gate closing announcement</t>
        </is>
      </c>
      <c r="E5" s="353" t="inlineStr">
        <is>
          <t>https://www.cy4gate.com/assets/Uploads/ENG-CS-CY4gate-closing-Operazione-Diateam-def.pdf</t>
        </is>
      </c>
      <c r="F5" s="353" t="inlineStr">
        <is>
          <t>None used</t>
        </is>
      </c>
      <c r="G5" s="353" t="inlineStr">
        <is>
          <t>2026-08-02</t>
        </is>
      </c>
      <c r="H5" s="353" t="inlineStr">
        <is>
          <t>Correct structure from full acquisition to acquisition of a 55.33% controlling stake.</t>
        </is>
      </c>
    </row>
    <row r="6" ht="45" customHeight="1">
      <c r="A6" s="353" t="inlineStr">
        <is>
          <t>EUR-005</t>
        </is>
      </c>
      <c r="B6" s="353" t="inlineStr">
        <is>
          <t>ArcQor AB</t>
        </is>
      </c>
      <c r="C6" s="353" t="inlineStr">
        <is>
          <t>Completion / IPO / scope</t>
        </is>
      </c>
      <c r="D6" s="353" t="inlineStr">
        <is>
          <t>W5 Solutions closing announcement</t>
        </is>
      </c>
      <c r="E6" s="353" t="inlineStr">
        <is>
          <t>https://w5solutions.com/mfn_news/w5-solutions-acquires-arcqor-ab-and-issues-626-342-new-shares/</t>
        </is>
      </c>
      <c r="F6" s="353" t="inlineStr">
        <is>
          <t>None used</t>
        </is>
      </c>
      <c r="G6" s="353" t="inlineStr">
        <is>
          <t>2026-08-02</t>
        </is>
      </c>
      <c r="H6" s="353" t="inlineStr">
        <is>
          <t>Retain; transaction and control status are source-verified. No single normalized transaction value is carried into the verified dataset.</t>
        </is>
      </c>
    </row>
    <row r="7" ht="45" customHeight="1">
      <c r="A7" s="353" t="inlineStr">
        <is>
          <t>EUR-008</t>
        </is>
      </c>
      <c r="B7" s="353" t="inlineStr">
        <is>
          <t>Connectiv-IT SAS</t>
        </is>
      </c>
      <c r="C7" s="353" t="inlineStr">
        <is>
          <t>Completion / IPO / scope</t>
        </is>
      </c>
      <c r="D7" s="353" t="inlineStr">
        <is>
          <t>Sopra Steria 2023 Universal Registration Document</t>
        </is>
      </c>
      <c r="E7" s="353" t="inlineStr">
        <is>
          <t>https://www.soprasteria.com/Content/SopraSteria/soprasteria-2023-12-31-fr-viewer.html</t>
        </is>
      </c>
      <c r="F7" s="353" t="inlineStr">
        <is>
          <t>None used</t>
        </is>
      </c>
      <c r="G7" s="353" t="inlineStr">
        <is>
          <t>2026-08-02</t>
        </is>
      </c>
      <c r="H7" s="353" t="inlineStr">
        <is>
          <t>Retain; completion and 100% ownership are supported by Sopra Steria reporting.</t>
        </is>
      </c>
    </row>
    <row r="8" ht="45" customHeight="1">
      <c r="A8" s="353" t="inlineStr">
        <is>
          <t>EUR-009</t>
        </is>
      </c>
      <c r="B8" s="353" t="inlineStr">
        <is>
          <t>Aubert &amp; Duval</t>
        </is>
      </c>
      <c r="C8" s="353" t="inlineStr">
        <is>
          <t>Completion / IPO / scope</t>
        </is>
      </c>
      <c r="D8" s="353" t="inlineStr">
        <is>
          <t>Airbus closing announcement and 9M 2023 financial statements</t>
        </is>
      </c>
      <c r="E8" s="353" t="inlineStr">
        <is>
          <t>https://www.airbus.com/en/newsroom/press-releases/2023-04-airbus-safran-and-tikehau-capital-finalise-acquisition-of-aubert</t>
        </is>
      </c>
      <c r="F8" s="353" t="inlineStr">
        <is>
          <t>https://www.airbus.com/sites/g/files/jlcbta136/files/2023-11/Airbus_SN_9m-2023-VMF4VR.pdf</t>
        </is>
      </c>
      <c r="G8" s="353" t="inlineStr">
        <is>
          <t>2026-08-02</t>
        </is>
      </c>
      <c r="H8" s="353" t="inlineStr">
        <is>
          <t>Confirmed omitted completed control acquisition.</t>
        </is>
      </c>
    </row>
    <row r="9" ht="45" customHeight="1">
      <c r="A9" s="353" t="inlineStr">
        <is>
          <t>EUR-010</t>
        </is>
      </c>
      <c r="B9" s="353" t="inlineStr">
        <is>
          <t>Innovation Design S.r.l.</t>
        </is>
      </c>
      <c r="C9" s="353" t="inlineStr">
        <is>
          <t>Completion / IPO / scope</t>
        </is>
      </c>
      <c r="D9" s="353" t="inlineStr">
        <is>
          <t>Tinexta Defence closing announcement</t>
        </is>
      </c>
      <c r="E9" s="353" t="inlineStr">
        <is>
          <t>https://tinextadefence.it/en/download/29-04-2023-defence-tech-holding-through-its-subsidiary-foramil-finalises-the-acquisition-of-60-of-innovation-design-s-r-l/</t>
        </is>
      </c>
      <c r="F9" s="353" t="inlineStr">
        <is>
          <t>None used</t>
        </is>
      </c>
      <c r="G9" s="353" t="inlineStr">
        <is>
          <t>2026-08-02</t>
        </is>
      </c>
      <c r="H9" s="353" t="inlineStr">
        <is>
          <t>Correct completion date is 29 April 2023 and ownership acquired was 60%, not 100%.</t>
        </is>
      </c>
    </row>
    <row r="10" ht="45" customHeight="1">
      <c r="A10" s="353" t="inlineStr">
        <is>
          <t>EUR-011</t>
        </is>
      </c>
      <c r="B10" s="353" t="inlineStr">
        <is>
          <t>Tonner Drones SAS</t>
        </is>
      </c>
      <c r="C10" s="353" t="inlineStr">
        <is>
          <t>Completion / IPO / scope</t>
        </is>
      </c>
      <c r="D10" s="353" t="inlineStr">
        <is>
          <t>Delta Drone/Tonner Drones closing release</t>
        </is>
      </c>
      <c r="E10" s="353" t="inlineStr">
        <is>
          <t>https://tonnerdrones.com/wp-content/uploads/2023/06/DeltaDrone_CP_closing_07.06.2023_VD.pdf</t>
        </is>
      </c>
      <c r="F10" s="353" t="inlineStr">
        <is>
          <t>https://tonnerdrones.com/wp-content/uploads/2023/06/20230524_CP_accordglobalreorganisation_DeltaDrone_VD.pdf</t>
        </is>
      </c>
      <c r="G10" s="353" t="inlineStr">
        <is>
          <t>2026-08-02</t>
        </is>
      </c>
      <c r="H10" s="353" t="inlineStr">
        <is>
          <t>Correct acquirer is Delta Drone, later renamed Tonner Drones; correct completion date is 5 June 2023.</t>
        </is>
      </c>
    </row>
    <row r="11" ht="45" customHeight="1">
      <c r="A11" s="353" t="inlineStr">
        <is>
          <t>EUR-012</t>
        </is>
      </c>
      <c r="B11" s="353" t="inlineStr">
        <is>
          <t>Sky-Hero</t>
        </is>
      </c>
      <c r="C11" s="353" t="inlineStr">
        <is>
          <t>Completion / IPO / scope</t>
        </is>
      </c>
      <c r="D11" s="353" t="inlineStr">
        <is>
          <t>Axon Q3 2023 shareholder letter</t>
        </is>
      </c>
      <c r="E11" s="353" t="inlineStr">
        <is>
          <t>https://investor.axon.com/image/AXON_Q3_2023_ShareholderLetter.pdf</t>
        </is>
      </c>
      <c r="F11" s="353" t="inlineStr">
        <is>
          <t>https://www.axon.com/blog/our-next-step-in-robotics-sky-hero-joins-forces-with-axon</t>
        </is>
      </c>
      <c r="G11" s="353" t="inlineStr">
        <is>
          <t>2026-08-02</t>
        </is>
      </c>
      <c r="H11" s="353" t="inlineStr">
        <is>
          <t>Confirmed omitted acquisition; Axon discloses June 2023 closing but not the exact day or consideration.</t>
        </is>
      </c>
    </row>
    <row r="12" ht="45" customHeight="1">
      <c r="A12" s="353" t="inlineStr">
        <is>
          <t>EUR-013</t>
        </is>
      </c>
      <c r="B12" s="353" t="inlineStr">
        <is>
          <t>Artemis Optical Ltd</t>
        </is>
      </c>
      <c r="C12" s="353" t="inlineStr">
        <is>
          <t>Completion / IPO / scope</t>
        </is>
      </c>
      <c r="D12" s="353" t="inlineStr">
        <is>
          <t>Gooch &amp; Housego RNS</t>
        </is>
      </c>
      <c r="E12" s="353" t="inlineStr">
        <is>
          <t>https://www.investegate.co.uk/announcement/rns/gooch-housego--ghh/acquisition-of-artemis-optical/7640853</t>
        </is>
      </c>
      <c r="F12" s="353" t="inlineStr">
        <is>
          <t>None used</t>
        </is>
      </c>
      <c r="G12" s="353" t="inlineStr">
        <is>
          <t>2026-08-02</t>
        </is>
      </c>
      <c r="H12" s="353" t="inlineStr">
        <is>
          <t>Retain as completed acquisition of the entire issued share capital.</t>
        </is>
      </c>
    </row>
    <row r="13" ht="45" customHeight="1">
      <c r="A13" s="353" t="inlineStr">
        <is>
          <t>EUR-014</t>
        </is>
      </c>
      <c r="B13" s="353" t="inlineStr">
        <is>
          <t>EXPAL Systems S.A.U.</t>
        </is>
      </c>
      <c r="C13" s="353" t="inlineStr">
        <is>
          <t>Completion / IPO / scope</t>
        </is>
      </c>
      <c r="D13" s="353" t="inlineStr">
        <is>
          <t>Rheinmetall closing announcement</t>
        </is>
      </c>
      <c r="E13" s="353" t="inlineStr">
        <is>
          <t>https://www.rheinmetall.com/en/media/news-watch/news/2023/8/2023-08-01-rheinmetall-completes-acquisition-of-spanish-defence-contractor-expal-systems</t>
        </is>
      </c>
      <c r="F13" s="353" t="inlineStr">
        <is>
          <t>None used</t>
        </is>
      </c>
      <c r="G13" s="353" t="inlineStr">
        <is>
          <t>2026-08-02</t>
        </is>
      </c>
      <c r="H13" s="353" t="inlineStr">
        <is>
          <t>Correct completion date is 1 August 2023, not 31 July.</t>
        </is>
      </c>
    </row>
    <row r="14" ht="45" customHeight="1">
      <c r="A14" s="353" t="inlineStr">
        <is>
          <t>EUR-015</t>
        </is>
      </c>
      <c r="B14" s="353" t="inlineStr">
        <is>
          <t>Porto Aviation Group S.p.A.</t>
        </is>
      </c>
      <c r="C14" s="353" t="inlineStr">
        <is>
          <t>Completion / IPO / scope</t>
        </is>
      </c>
      <c r="D14" s="353" t="inlineStr">
        <is>
          <t>Euronext listing announcement</t>
        </is>
      </c>
      <c r="E14" s="353" t="inlineStr">
        <is>
          <t>https://www.euronext.com/en/about/media/euronext-press-releases/porto-aviation-group-lists-euronext-growth-milan</t>
        </is>
      </c>
      <c r="F14" s="353" t="inlineStr">
        <is>
          <t>https://live.euronext.com/en/ipo-showcase/porto-aviation-group</t>
        </is>
      </c>
      <c r="G14" s="353" t="inlineStr">
        <is>
          <t>2026-08-02</t>
        </is>
      </c>
      <c r="H14" s="353" t="inlineStr">
        <is>
          <t>Retain, but label as a private-placement-backed Euronext Growth listing rather than an undifferentiated IPO.</t>
        </is>
      </c>
    </row>
    <row r="15" ht="45" customHeight="1">
      <c r="A15" s="353" t="inlineStr">
        <is>
          <t>EUR-016</t>
        </is>
      </c>
      <c r="B15" s="353" t="inlineStr">
        <is>
          <t>Blue Bear Systems Research Ltd</t>
        </is>
      </c>
      <c r="C15" s="353" t="inlineStr">
        <is>
          <t>Completion / IPO / scope</t>
        </is>
      </c>
      <c r="D15" s="353" t="inlineStr">
        <is>
          <t>Saab closing announcement</t>
        </is>
      </c>
      <c r="E15" s="353" t="inlineStr">
        <is>
          <t>https://www.saab.com/newsroom/press-releases/2023/saab-acquires-bluebear</t>
        </is>
      </c>
      <c r="F15" s="353" t="inlineStr">
        <is>
          <t>None used</t>
        </is>
      </c>
      <c r="G15" s="353" t="inlineStr">
        <is>
          <t>2026-08-02</t>
        </is>
      </c>
      <c r="H15" s="353" t="inlineStr">
        <is>
          <t>Retain as a completed acquisition of all shares.</t>
        </is>
      </c>
    </row>
    <row r="16" ht="45" customHeight="1">
      <c r="A16" s="353" t="inlineStr">
        <is>
          <t>EUR-017</t>
        </is>
      </c>
      <c r="B16" s="353" t="inlineStr">
        <is>
          <t>Epicom S.A.</t>
        </is>
      </c>
      <c r="C16" s="353" t="inlineStr">
        <is>
          <t>Completion / IPO / scope</t>
        </is>
      </c>
      <c r="D16" s="353" t="inlineStr">
        <is>
          <t>Indra transaction announcement</t>
        </is>
      </c>
      <c r="E16" s="353" t="inlineStr">
        <is>
          <t>https://www.indragroup.com/en/news/indra-oesia-acquire-60-epicom-equal-shares</t>
        </is>
      </c>
      <c r="F16" s="353" t="inlineStr">
        <is>
          <t>None used</t>
        </is>
      </c>
      <c r="G16" s="353" t="inlineStr">
        <is>
          <t>2026-08-02</t>
        </is>
      </c>
      <c r="H16" s="353" t="inlineStr">
        <is>
          <t>Correct the acquirer and structure: Indra and Grupo Oesía jointly acquired 60%; SEPI retained 40%.</t>
        </is>
      </c>
    </row>
    <row r="17" ht="45" customHeight="1">
      <c r="A17" s="353" t="inlineStr">
        <is>
          <t>EUR-018</t>
        </is>
      </c>
      <c r="B17" s="353" t="inlineStr">
        <is>
          <t>OneWeb Holdings Limited</t>
        </is>
      </c>
      <c r="C17" s="353" t="inlineStr">
        <is>
          <t>Completion / IPO / scope</t>
        </is>
      </c>
      <c r="D17" s="353" t="inlineStr">
        <is>
          <t>Eutelsat completion release and FY2024 financial statements</t>
        </is>
      </c>
      <c r="E17" s="353" t="inlineStr">
        <is>
          <t>https://www.eutelsat.com/files/PR_2335_Day%201%20clean%20Wednesday%2028%20September%20-%20CLEAN%20%281%29.pdf</t>
        </is>
      </c>
      <c r="F17" s="353" t="inlineStr">
        <is>
          <t>https://www.eutelsat.com/files/EC_consolidated_financial_statements_FY24_vDEF_EN.pdf</t>
        </is>
      </c>
      <c r="G17" s="353" t="inlineStr">
        <is>
          <t>2026-08-02</t>
        </is>
      </c>
      <c r="H17" s="353" t="inlineStr">
        <is>
          <t>Use OneWeb Holdings as target and describe the event as an all-share combination, not a conventional cash full acquisition.</t>
        </is>
      </c>
    </row>
    <row r="18" ht="45" customHeight="1">
      <c r="A18" s="353" t="inlineStr">
        <is>
          <t>EUR-019</t>
        </is>
      </c>
      <c r="B18" s="353" t="inlineStr">
        <is>
          <t>Park Air Systems Ltd</t>
        </is>
      </c>
      <c r="C18" s="353" t="inlineStr">
        <is>
          <t>Completion / IPO / scope</t>
        </is>
      </c>
      <c r="D18" s="353" t="inlineStr">
        <is>
          <t>Indra 2023 audited financial statements</t>
        </is>
      </c>
      <c r="E18" s="353" t="inlineStr">
        <is>
          <t>https://www.indragroup.com/cms-content/importacion/indra_sistemas_and_subsidiaries_2023.pdf</t>
        </is>
      </c>
      <c r="F18" s="353" t="inlineStr">
        <is>
          <t>https://www.indragroup.com/en/news/indra-completes-purchase-park-air-reinforces-position-global-benchmark-aerospace-defence</t>
        </is>
      </c>
      <c r="G18" s="353" t="inlineStr">
        <is>
          <t>2026-08-02</t>
        </is>
      </c>
      <c r="H18" s="353" t="inlineStr">
        <is>
          <t>Correct completion date is 29 September 2023, not the 3 October announcement date.</t>
        </is>
      </c>
    </row>
    <row r="19" ht="45" customHeight="1">
      <c r="A19" s="353" t="inlineStr">
        <is>
          <t>EUR-020</t>
        </is>
      </c>
      <c r="B19" s="353" t="inlineStr">
        <is>
          <t>Thales aeronautical electrical systems business</t>
        </is>
      </c>
      <c r="C19" s="353" t="inlineStr">
        <is>
          <t>Completion / IPO / scope</t>
        </is>
      </c>
      <c r="D19" s="353" t="inlineStr">
        <is>
          <t>Safran closing announcement</t>
        </is>
      </c>
      <c r="E19" s="353" t="inlineStr">
        <is>
          <t>https://www.safran-group.com/pressroom/safran-acquires-thales-aeronautical-electrical-systems-activities-2023-10-02</t>
        </is>
      </c>
      <c r="F19" s="353" t="inlineStr">
        <is>
          <t>None used</t>
        </is>
      </c>
      <c r="G19" s="353" t="inlineStr">
        <is>
          <t>2026-08-02</t>
        </is>
      </c>
      <c r="H19" s="353" t="inlineStr">
        <is>
          <t>Confirmed omitted completed acquisition of an identifiable aerospace operating business.</t>
        </is>
      </c>
    </row>
    <row r="20" ht="45" customHeight="1">
      <c r="A20" s="353" t="inlineStr">
        <is>
          <t>EUR-021</t>
        </is>
      </c>
      <c r="B20" s="353" t="inlineStr">
        <is>
          <t>Scanway S.A.</t>
        </is>
      </c>
      <c r="C20" s="353" t="inlineStr">
        <is>
          <t>Completion / IPO / scope</t>
        </is>
      </c>
      <c r="D20" s="353" t="inlineStr">
        <is>
          <t>Scanway issuer announcement</t>
        </is>
      </c>
      <c r="E20" s="353" t="inlineStr">
        <is>
          <t>https://scanway.pl/en/space-company-scanways-debut-on-newconnect-is-set-for-11-october/</t>
        </is>
      </c>
      <c r="F20" s="353" t="inlineStr">
        <is>
          <t>None used</t>
        </is>
      </c>
      <c r="G20" s="353" t="inlineStr">
        <is>
          <t>2026-08-02</t>
        </is>
      </c>
      <c r="H20" s="353" t="inlineStr">
        <is>
          <t>Retain; 11 October is the first-trading date, while the public offering itself was completed in June 2023.</t>
        </is>
      </c>
    </row>
    <row r="21" ht="45" customHeight="1">
      <c r="A21" s="353" t="inlineStr">
        <is>
          <t>EUR-022</t>
        </is>
      </c>
      <c r="B21" s="353" t="inlineStr">
        <is>
          <t>Elexo SAS</t>
        </is>
      </c>
      <c r="C21" s="353" t="inlineStr">
        <is>
          <t>Completion / IPO / scope</t>
        </is>
      </c>
      <c r="D21" s="353" t="inlineStr">
        <is>
          <t>Logic Instrument closing announcement</t>
        </is>
      </c>
      <c r="E21" s="353" t="inlineStr">
        <is>
          <t>https://logic-instrument.com/en/logic-instrument-announces-the-definitive-acquisition-on-october-31-of-100-of-the-shares-of-elexo-a-subsidiary-of-the-atos-group/</t>
        </is>
      </c>
      <c r="F21" s="353" t="inlineStr">
        <is>
          <t>None used</t>
        </is>
      </c>
      <c r="G21" s="353" t="inlineStr">
        <is>
          <t>2026-08-02</t>
        </is>
      </c>
      <c r="H21" s="353" t="inlineStr">
        <is>
          <t>Correct completion date is 31 October 2023, not 31 December; remove the unverified value pending source closure.</t>
        </is>
      </c>
    </row>
    <row r="22" ht="45" customHeight="1">
      <c r="A22" s="353" t="inlineStr">
        <is>
          <t>EUR-023</t>
        </is>
      </c>
      <c r="B22" s="353" t="inlineStr">
        <is>
          <t>Malloy Aeronautics Ltd</t>
        </is>
      </c>
      <c r="C22" s="353" t="inlineStr">
        <is>
          <t>Completion / IPO / scope</t>
        </is>
      </c>
      <c r="D22" s="353" t="inlineStr">
        <is>
          <t>BAE Systems RNS and UK Companies House</t>
        </is>
      </c>
      <c r="E22" s="353" t="inlineStr">
        <is>
          <t>https://www.investegate.co.uk/announcement/rns/bae-systems--ba./final-results/8742430</t>
        </is>
      </c>
      <c r="F22" s="353" t="inlineStr">
        <is>
          <t>https://find-and-update.company-information.service.gov.uk/company/07993563/persons-with-significant-control</t>
        </is>
      </c>
      <c r="G22" s="353" t="inlineStr">
        <is>
          <t>2026-08-02</t>
        </is>
      </c>
      <c r="H22" s="353" t="inlineStr">
        <is>
          <t>Retain as a completed 100% control acquisition.</t>
        </is>
      </c>
    </row>
    <row r="23" ht="45" customHeight="1">
      <c r="A23" s="353" t="inlineStr">
        <is>
          <t>EUR-024</t>
        </is>
      </c>
      <c r="B23" s="353" t="inlineStr">
        <is>
          <t>RENK Group AG</t>
        </is>
      </c>
      <c r="C23" s="353" t="inlineStr">
        <is>
          <t>Completion / IPO / scope</t>
        </is>
      </c>
      <c r="D23" s="353" t="inlineStr">
        <is>
          <t>Deutsche Börse</t>
        </is>
      </c>
      <c r="E23" s="353" t="inlineStr">
        <is>
          <t>https://www.deutsche-boerse.com/dbg-en/media/news-stories/press-releases/RENK-Group-AG-new-in-the-Prime-Standard-of-the-Frankfurt-Stock-Exchange-3847060</t>
        </is>
      </c>
      <c r="F23" s="353" t="inlineStr">
        <is>
          <t>https://www.cashmarket.deutsche-boerse.com/cash-en/Data-Tech/statistics/New-Companies/RENK-Group-AG-3848344</t>
        </is>
      </c>
      <c r="G23" s="353" t="inlineStr">
        <is>
          <t>2026-08-02</t>
        </is>
      </c>
      <c r="H23" s="353" t="inlineStr">
        <is>
          <t>Retain; listing date and placement volume are exchange-verified.</t>
        </is>
      </c>
    </row>
    <row r="24" ht="45" customHeight="1">
      <c r="A24" s="353" t="inlineStr">
        <is>
          <t>EUR-025</t>
        </is>
      </c>
      <c r="B24" s="353" t="inlineStr">
        <is>
          <t>THEON International Plc</t>
        </is>
      </c>
      <c r="C24" s="353" t="inlineStr">
        <is>
          <t>Completion / IPO / scope</t>
        </is>
      </c>
      <c r="D24" s="353" t="inlineStr">
        <is>
          <t>Euronext and THEON 2024 Annual Report</t>
        </is>
      </c>
      <c r="E24" s="353" t="inlineStr">
        <is>
          <t>https://www.euronext.com/en/about/media/euronext-press-releases/theon-international-plc-lists-euronext-amsterdam</t>
        </is>
      </c>
      <c r="F24" s="353" t="inlineStr">
        <is>
          <t>https://investors.theon.com/files/doc_financials/2024/ar/Theon_Annual-Report_FY-2024.pdf</t>
        </is>
      </c>
      <c r="G24" s="353" t="inlineStr">
        <is>
          <t>2026-08-02</t>
        </is>
      </c>
      <c r="H24" s="353" t="inlineStr">
        <is>
          <t>Confirmed omitted European defence-technology IPO.</t>
        </is>
      </c>
    </row>
    <row r="25" ht="45" customHeight="1">
      <c r="A25" s="353" t="inlineStr">
        <is>
          <t>EUR-026</t>
        </is>
      </c>
      <c r="B25" s="353" t="inlineStr">
        <is>
          <t>Cobham Aerospace Communications</t>
        </is>
      </c>
      <c r="C25" s="353" t="inlineStr">
        <is>
          <t>Completion / IPO / scope</t>
        </is>
      </c>
      <c r="D25" s="353" t="inlineStr">
        <is>
          <t>Thales closing announcement</t>
        </is>
      </c>
      <c r="E25" s="353" t="inlineStr">
        <is>
          <t>https://www.thalesgroup.com/sites/default/files/investor/documents/Thales_completes_the_acquisition_of_Cobham_Aerospace_Communications___2_April_2024_1.pdf</t>
        </is>
      </c>
      <c r="F25" s="353" t="inlineStr">
        <is>
          <t>None used</t>
        </is>
      </c>
      <c r="G25" s="353" t="inlineStr">
        <is>
          <t>2026-08-02</t>
        </is>
      </c>
      <c r="H25" s="353" t="inlineStr">
        <is>
          <t>Retain as completed acquisition of the aerospace communications operating business.</t>
        </is>
      </c>
    </row>
    <row r="26" ht="45" customHeight="1">
      <c r="A26" s="353" t="inlineStr">
        <is>
          <t>EUR-027</t>
        </is>
      </c>
      <c r="B26" s="353" t="inlineStr">
        <is>
          <t>ESG Elektroniksystem- und Logistik-GmbH</t>
        </is>
      </c>
      <c r="C26" s="353" t="inlineStr">
        <is>
          <t>Completion / IPO / scope</t>
        </is>
      </c>
      <c r="D26" s="353" t="inlineStr">
        <is>
          <t>HENSOLDT closing announcement</t>
        </is>
      </c>
      <c r="E26" s="353" t="inlineStr">
        <is>
          <t>https://investors.hensoldt.net/news/hensoldt-completes-acquisition-of-esg/fc5faac1-65bb-4c36-9dc2-1eed4f010c8b</t>
        </is>
      </c>
      <c r="F26" s="353" t="inlineStr">
        <is>
          <t>None used</t>
        </is>
      </c>
      <c r="G26" s="353" t="inlineStr">
        <is>
          <t>2026-08-02</t>
        </is>
      </c>
      <c r="H26" s="353" t="inlineStr">
        <is>
          <t>Retain; closing effective 2 April 2024.</t>
        </is>
      </c>
    </row>
    <row r="27" ht="45" customHeight="1">
      <c r="A27" s="353" t="inlineStr">
        <is>
          <t>EUR-028</t>
        </is>
      </c>
      <c r="B27" s="353" t="inlineStr">
        <is>
          <t>Woodford Engineering Consultancy (UK) Ltd</t>
        </is>
      </c>
      <c r="C27" s="353" t="inlineStr">
        <is>
          <t>Completion / IPO / scope</t>
        </is>
      </c>
      <c r="D27" s="353" t="inlineStr">
        <is>
          <t>ALTEN 2024 Universal Registration Document</t>
        </is>
      </c>
      <c r="E27" s="353" t="inlineStr">
        <is>
          <t>https://www.alten.com/wp-content/uploads/2025/09/2024_Universal_Registration_Document-accessibility.pdf</t>
        </is>
      </c>
      <c r="F27" s="353" t="inlineStr">
        <is>
          <t>None used</t>
        </is>
      </c>
      <c r="G27" s="353" t="inlineStr">
        <is>
          <t>2026-08-02</t>
        </is>
      </c>
      <c r="H27" s="353" t="inlineStr">
        <is>
          <t>Correct acquisition date is 26 April 2024, not 8 July.</t>
        </is>
      </c>
    </row>
    <row r="28" ht="45" customHeight="1">
      <c r="A28" s="353" t="inlineStr">
        <is>
          <t>EUR-029</t>
        </is>
      </c>
      <c r="B28" s="353" t="inlineStr">
        <is>
          <t>Mabway Ltd</t>
        </is>
      </c>
      <c r="C28" s="353" t="inlineStr">
        <is>
          <t>Completion / IPO / scope</t>
        </is>
      </c>
      <c r="D28" s="353" t="inlineStr">
        <is>
          <t>Calian Q2 2024 results</t>
        </is>
      </c>
      <c r="E28" s="353" t="inlineStr">
        <is>
          <t>https://www.calian.com/news-media/calian-reports-record-results-for-the-second-quarter/</t>
        </is>
      </c>
      <c r="F28" s="353" t="inlineStr">
        <is>
          <t>None used</t>
        </is>
      </c>
      <c r="G28" s="353" t="inlineStr">
        <is>
          <t>2026-08-02</t>
        </is>
      </c>
      <c r="H28" s="353" t="inlineStr">
        <is>
          <t>Retain; Calian reporting confirms completion in the second quarter on 9 May.</t>
        </is>
      </c>
    </row>
    <row r="29" ht="45" customHeight="1">
      <c r="A29" s="353" t="inlineStr">
        <is>
          <t>EUR-030</t>
        </is>
      </c>
      <c r="B29" s="353" t="inlineStr">
        <is>
          <t>AD Industries SAS</t>
        </is>
      </c>
      <c r="C29" s="353" t="inlineStr">
        <is>
          <t>Completion / IPO / scope</t>
        </is>
      </c>
      <c r="D29" s="353" t="inlineStr">
        <is>
          <t>Motherson interim consolidated financial statements</t>
        </is>
      </c>
      <c r="E29" s="353" t="inlineStr">
        <is>
          <t>https://www.motherson.com/storage/Corporate%20Announcements/FY2024-25/Interim_condensed_consolidated_financial_statements.16.09.24.pdf</t>
        </is>
      </c>
      <c r="F29" s="353" t="inlineStr">
        <is>
          <t>None used</t>
        </is>
      </c>
      <c r="G29" s="353" t="inlineStr">
        <is>
          <t>2026-08-02</t>
        </is>
      </c>
      <c r="H29" s="353" t="inlineStr">
        <is>
          <t>Correct completion date to 13 May and consideration to EUR30.3m plus potential EUR6m, not EUR45m plus EUR10m.</t>
        </is>
      </c>
    </row>
    <row r="30" ht="45" customHeight="1">
      <c r="A30" s="353" t="inlineStr">
        <is>
          <t>EUR-031</t>
        </is>
      </c>
      <c r="B30" s="353" t="inlineStr">
        <is>
          <t>Sellier &amp; Bellot a.s.</t>
        </is>
      </c>
      <c r="C30" s="353" t="inlineStr">
        <is>
          <t>Completion / IPO / scope</t>
        </is>
      </c>
      <c r="D30" s="353" t="inlineStr">
        <is>
          <t>Colt CZ closing announcement</t>
        </is>
      </c>
      <c r="E30" s="353" t="inlineStr">
        <is>
          <t>https://www.coltczgroup.com/en/media-press-releases/Colt-CZ-Group-SE-announces-closing-of-the-acquisition-of-Sellier-Bellot</t>
        </is>
      </c>
      <c r="F30" s="353" t="inlineStr">
        <is>
          <t>None used</t>
        </is>
      </c>
      <c r="G30" s="353" t="inlineStr">
        <is>
          <t>2026-08-02</t>
        </is>
      </c>
      <c r="H30" s="353" t="inlineStr">
        <is>
          <t>Retain as completed acquisition of 100% of the shares.</t>
        </is>
      </c>
    </row>
    <row r="31" ht="45" customHeight="1">
      <c r="A31" s="353" t="inlineStr">
        <is>
          <t>EUR-032</t>
        </is>
      </c>
      <c r="B31" s="353" t="inlineStr">
        <is>
          <t>Airsafe Sweden AB</t>
        </is>
      </c>
      <c r="C31" s="353" t="inlineStr">
        <is>
          <t>Completion / IPO / scope</t>
        </is>
      </c>
      <c r="D31" s="353" t="inlineStr">
        <is>
          <t>Scandinavian Astor Group/Cision closing and earn-out releases</t>
        </is>
      </c>
      <c r="E31" s="353" t="inlineStr">
        <is>
          <t>https://mb.cision.com/Main/22055/3983661/2804807.pdf</t>
        </is>
      </c>
      <c r="F31" s="353" t="inlineStr">
        <is>
          <t>https://news.cision.com/se/scandinavian-astor-group-ab/r/scandinavian-astor-group-redovisar-reviderade-siffror-for-dotterbolaget-airsafe-for-helaret-2024%2Cc4095805</t>
        </is>
      </c>
      <c r="G31" s="353" t="inlineStr">
        <is>
          <t>2026-08-02</t>
        </is>
      </c>
      <c r="H31" s="353" t="inlineStr">
        <is>
          <t>Confirmed omitted completed acquisition.</t>
        </is>
      </c>
    </row>
    <row r="32" ht="45" customHeight="1">
      <c r="A32" s="353" t="inlineStr">
        <is>
          <t>EUR-033</t>
        </is>
      </c>
      <c r="B32" s="353" t="inlineStr">
        <is>
          <t>Steel Electronique SAS</t>
        </is>
      </c>
      <c r="C32" s="353" t="inlineStr">
        <is>
          <t>Completion / IPO / scope</t>
        </is>
      </c>
      <c r="D32" s="353" t="inlineStr">
        <is>
          <t>ACTIA closing announcement and 2024 Annual Report</t>
        </is>
      </c>
      <c r="E32" s="353" t="inlineStr">
        <is>
          <t>https://investors.actia.com/en/actia-group-completes-the-merger-with-steel-electronique-2/</t>
        </is>
      </c>
      <c r="F32" s="353" t="inlineStr">
        <is>
          <t>https://investors.actia.com/wp-content/uploads/2025/04/ACTIA_Rapport_annuel_2024_VDEF.pdf</t>
        </is>
      </c>
      <c r="G32" s="353" t="inlineStr">
        <is>
          <t>2026-08-02</t>
        </is>
      </c>
      <c r="H32" s="353" t="inlineStr">
        <is>
          <t>Replace simple divestiture description with a 100% contribution/share exchange; EUR5.7m is not a clean cash purchase price.</t>
        </is>
      </c>
    </row>
    <row r="33" ht="45" customHeight="1">
      <c r="A33" s="353" t="inlineStr">
        <is>
          <t>EUR-034</t>
        </is>
      </c>
      <c r="B33" s="353" t="inlineStr">
        <is>
          <t>Interactive Technical Solutions Ltd</t>
        </is>
      </c>
      <c r="C33" s="353" t="inlineStr">
        <is>
          <t>Completion / IPO / scope</t>
        </is>
      </c>
      <c r="D33" s="353" t="inlineStr">
        <is>
          <t>Cohort acquisition announcement</t>
        </is>
      </c>
      <c r="E33" s="353" t="inlineStr">
        <is>
          <t>https://www.cohortplc.com/download_file/597/0</t>
        </is>
      </c>
      <c r="F33" s="353" t="inlineStr">
        <is>
          <t>None used</t>
        </is>
      </c>
      <c r="G33" s="353" t="inlineStr">
        <is>
          <t>2026-08-02</t>
        </is>
      </c>
      <c r="H33" s="353" t="inlineStr">
        <is>
          <t>Retain as a completed 100% acquisition of a defence-focused operating company.</t>
        </is>
      </c>
    </row>
    <row r="34" ht="45" customHeight="1">
      <c r="A34" s="353" t="inlineStr">
        <is>
          <t>EUR-035</t>
        </is>
      </c>
      <c r="B34" s="353" t="inlineStr">
        <is>
          <t>Exosens S.A.</t>
        </is>
      </c>
      <c r="C34" s="353" t="inlineStr">
        <is>
          <t>Completion / IPO / scope</t>
        </is>
      </c>
      <c r="D34" s="353" t="inlineStr">
        <is>
          <t>Exosens IPO announcements</t>
        </is>
      </c>
      <c r="E34" s="353" t="inlineStr">
        <is>
          <t>https://www.exosens.com/news/exosens-increases-size-offering-context-its-initial-public-offering</t>
        </is>
      </c>
      <c r="F34" s="353" t="inlineStr">
        <is>
          <t>https://ipo.exosens.com/news/full-exercise-over-allotment-option-eu525-million</t>
        </is>
      </c>
      <c r="G34" s="353" t="inlineStr">
        <is>
          <t>2026-08-02</t>
        </is>
      </c>
      <c r="H34" s="353" t="inlineStr">
        <is>
          <t>Correct IPO metrics: EUR402.5m final placement, 20,125,003 shares offered, 50,782,552 post-IPO shares and about EUR1.016bn market cap at the offer price.</t>
        </is>
      </c>
    </row>
    <row r="35" ht="45" customHeight="1">
      <c r="A35" s="353" t="inlineStr">
        <is>
          <t>EUR-036</t>
        </is>
      </c>
      <c r="B35" s="353" t="inlineStr">
        <is>
          <t>Arquus SAS</t>
        </is>
      </c>
      <c r="C35" s="353" t="inlineStr">
        <is>
          <t>Completion / IPO / scope</t>
        </is>
      </c>
      <c r="D35" s="353" t="inlineStr">
        <is>
          <t>Volvo Group closing announcement</t>
        </is>
      </c>
      <c r="E35" s="353" t="inlineStr">
        <is>
          <t>https://www.volvogroup.com/en/news-and-media/news/2024/jul/volvo-group-completes-divestment-of-arquus.html</t>
        </is>
      </c>
      <c r="F35" s="353" t="inlineStr">
        <is>
          <t>None used</t>
        </is>
      </c>
      <c r="G35" s="353" t="inlineStr">
        <is>
          <t>2026-08-02</t>
        </is>
      </c>
      <c r="H35" s="353" t="inlineStr">
        <is>
          <t>Retain, but remove the unsupported EUR300m purchase-price claim.</t>
        </is>
      </c>
    </row>
    <row r="36" ht="45" customHeight="1">
      <c r="A36" s="353" t="inlineStr">
        <is>
          <t>EUR-037</t>
        </is>
      </c>
      <c r="B36" s="353" t="inlineStr">
        <is>
          <t>Rockford Components Holdings Ltd</t>
        </is>
      </c>
      <c r="C36" s="353" t="inlineStr">
        <is>
          <t>Completion / IPO / scope</t>
        </is>
      </c>
      <c r="D36" s="353" t="inlineStr">
        <is>
          <t>AQ Group Q2 and Q3 2024 reports</t>
        </is>
      </c>
      <c r="E36" s="353" t="inlineStr">
        <is>
          <t>https://www.aqgroup.com/download/4678-765F80FA4B1B365EBD697F2A8A0EEB1C/AQ-Group-Q2-2024.pdf</t>
        </is>
      </c>
      <c r="F36" s="353" t="inlineStr">
        <is>
          <t>https://www.aqgroup.com/download/4739-857345EC0D5EBC131EE4501696DDEA24/AQ-Group-Delarsrapport-jan-sep-2024.pdf</t>
        </is>
      </c>
      <c r="G36" s="353" t="inlineStr">
        <is>
          <t>2026-08-02</t>
        </is>
      </c>
      <c r="H36" s="353" t="inlineStr">
        <is>
          <t>Retain. Replace SEK34m estimate with SEK18m fixed cash and separately disclose the conflicting official earn-out caps.</t>
        </is>
      </c>
    </row>
    <row r="37" ht="45" customHeight="1">
      <c r="A37" s="353" t="inlineStr">
        <is>
          <t>EUR-038</t>
        </is>
      </c>
      <c r="B37" s="353" t="inlineStr">
        <is>
          <t>Civitanavi Systems S.p.A.</t>
        </is>
      </c>
      <c r="C37" s="353" t="inlineStr">
        <is>
          <t>Completion / IPO / scope</t>
        </is>
      </c>
      <c r="D37" s="353" t="inlineStr">
        <is>
          <t>Honeywell 2024 Annual Report and announcement</t>
        </is>
      </c>
      <c r="E37" s="353" t="inlineStr">
        <is>
          <t>https://investor.honeywell.com/static-files/98bf174f-edb5-4dfe-8f24-1455590edbcb</t>
        </is>
      </c>
      <c r="F37" s="353" t="inlineStr">
        <is>
          <t>https://www.honeywell.com/us/en/news/press-releases/2024/03/honeywell-to-acquire-civitanavi-systems-to-strengthen-autonomous-operations-offerings-in-aerospace-and-expand-european-footprint</t>
        </is>
      </c>
      <c r="G37" s="353" t="inlineStr">
        <is>
          <t>2026-08-02</t>
        </is>
      </c>
      <c r="H37" s="353" t="inlineStr">
        <is>
          <t>27 March was announcement; correct completion/control date is 19 August 2024.</t>
        </is>
      </c>
    </row>
    <row r="38" ht="45" customHeight="1">
      <c r="A38" s="353" t="inlineStr">
        <is>
          <t>EUR-039</t>
        </is>
      </c>
      <c r="B38" s="353" t="inlineStr">
        <is>
          <t>Preligens</t>
        </is>
      </c>
      <c r="C38" s="353" t="inlineStr">
        <is>
          <t>Completion / IPO / scope</t>
        </is>
      </c>
      <c r="D38" s="353" t="inlineStr">
        <is>
          <t>Safran closing announcement</t>
        </is>
      </c>
      <c r="E38" s="353" t="inlineStr">
        <is>
          <t>https://www.safran-group.com/fr/download/press_release/file/2241770</t>
        </is>
      </c>
      <c r="F38" s="353" t="inlineStr">
        <is>
          <t>None used</t>
        </is>
      </c>
      <c r="G38" s="353" t="inlineStr">
        <is>
          <t>2026-08-02</t>
        </is>
      </c>
      <c r="H38" s="353" t="inlineStr">
        <is>
          <t>Confirmed omitted completed defence-AI acquisition.</t>
        </is>
      </c>
    </row>
    <row r="39" ht="45" customHeight="1">
      <c r="A39" s="353" t="inlineStr">
        <is>
          <t>EUR-040</t>
        </is>
      </c>
      <c r="B39" s="353" t="inlineStr">
        <is>
          <t>INFODAS GmbH</t>
        </is>
      </c>
      <c r="C39" s="353" t="inlineStr">
        <is>
          <t>Completion / IPO / scope</t>
        </is>
      </c>
      <c r="D39" s="353" t="inlineStr">
        <is>
          <t>Airbus Defence and Space Cyber</t>
        </is>
      </c>
      <c r="E39" s="353" t="inlineStr">
        <is>
          <t>https://www.cyber.airbus.com/en/newsroom/press-release/2024-09-airbus-completes-acquisition-of-infodas-strengthens-cybersecurity</t>
        </is>
      </c>
      <c r="F39" s="353" t="inlineStr">
        <is>
          <t>None used</t>
        </is>
      </c>
      <c r="G39" s="353" t="inlineStr">
        <is>
          <t>2026-08-02</t>
        </is>
      </c>
      <c r="H39" s="353" t="inlineStr">
        <is>
          <t>Confirmed omitted completed acquisition; Airbus announced finalization on 5 September 2024.</t>
        </is>
      </c>
    </row>
    <row r="40" ht="45" customHeight="1">
      <c r="A40" s="353" t="inlineStr">
        <is>
          <t>EUR-041</t>
        </is>
      </c>
      <c r="B40" s="353" t="inlineStr">
        <is>
          <t>GEM elettronica S.r.l.</t>
        </is>
      </c>
      <c r="C40" s="353" t="inlineStr">
        <is>
          <t>Completion / IPO / scope</t>
        </is>
      </c>
      <c r="D40" s="353" t="inlineStr">
        <is>
          <t>Leonardo closing announcement</t>
        </is>
      </c>
      <c r="E40" s="353" t="inlineStr">
        <is>
          <t>https://www.leonardo.com/documents/15646808/29153006/ComLDO_Closing%2BGEM_ENG.pdf?t=1727108001697</t>
        </is>
      </c>
      <c r="F40" s="353" t="inlineStr">
        <is>
          <t>None used</t>
        </is>
      </c>
      <c r="G40" s="353" t="inlineStr">
        <is>
          <t>2026-08-02</t>
        </is>
      </c>
      <c r="H40" s="353" t="inlineStr">
        <is>
          <t>Correct structure from full acquisition to a 35% top-up that increased Leonardo's holding from 30% to 65% and conferred control.</t>
        </is>
      </c>
    </row>
    <row r="41" ht="45" customHeight="1">
      <c r="A41" s="353" t="inlineStr">
        <is>
          <t>EUR-042</t>
        </is>
      </c>
      <c r="B41" s="353" t="inlineStr">
        <is>
          <t>Nordic Drones Oy</t>
        </is>
      </c>
      <c r="C41" s="353" t="inlineStr">
        <is>
          <t>Completion / IPO / scope</t>
        </is>
      </c>
      <c r="D41" s="353" t="inlineStr">
        <is>
          <t>Patria signing and completion releases</t>
        </is>
      </c>
      <c r="E41" s="353" t="inlineStr">
        <is>
          <t>https://www.patriagroup.com/newsroom/news/2024/patria-received-authority-approval-for-the-nordic-drones-acquisition-and-transaction-of-open-source-data-collection-product-and-business-from</t>
        </is>
      </c>
      <c r="F41" s="353" t="inlineStr">
        <is>
          <t>https://www.patriagroup.com/newsroom/news/2024/patria-acquires-a-leading-manufacturer-of-drone-systems-nordic-drones</t>
        </is>
      </c>
      <c r="G41" s="353" t="inlineStr">
        <is>
          <t>2026-08-02</t>
        </is>
      </c>
      <c r="H41" s="353" t="inlineStr">
        <is>
          <t>Confirmed omitted completed acquisition of the entire share capital.</t>
        </is>
      </c>
    </row>
    <row r="42" ht="45" customHeight="1">
      <c r="A42" s="353" t="inlineStr">
        <is>
          <t>EUR-043</t>
        </is>
      </c>
      <c r="B42" s="353" t="inlineStr">
        <is>
          <t>Scandiflash AB</t>
        </is>
      </c>
      <c r="C42" s="353" t="inlineStr">
        <is>
          <t>Completion / IPO / scope</t>
        </is>
      </c>
      <c r="D42" s="353" t="inlineStr">
        <is>
          <t>Scandinavian Astor Group/Cision closing announcement</t>
        </is>
      </c>
      <c r="E42" s="353" t="inlineStr">
        <is>
          <t>https://news.cision.com/se/scandinavian-astor-group-ab/r/scandinavian-astor-group-tilltrader-forvarvet-av-scandiflash-ab%2Cc4045350</t>
        </is>
      </c>
      <c r="F42" s="353" t="inlineStr">
        <is>
          <t>https://news.cision.com/se/scandinavian-astor-group-ab/r/scandinavian-astor-group-ingar-avtal-om-forvarv-av-scandiflash-ab%2Cc4029376</t>
        </is>
      </c>
      <c r="G42" s="353" t="inlineStr">
        <is>
          <t>2026-08-02</t>
        </is>
      </c>
      <c r="H42" s="353" t="inlineStr">
        <is>
          <t>Confirmed omitted completed defence-technology acquisition.</t>
        </is>
      </c>
    </row>
    <row r="43" ht="45" customHeight="1">
      <c r="A43" s="353" t="inlineStr">
        <is>
          <t>EUR-044</t>
        </is>
      </c>
      <c r="B43" s="353" t="inlineStr">
        <is>
          <t>Steyr Motors AG</t>
        </is>
      </c>
      <c r="C43" s="353" t="inlineStr">
        <is>
          <t>Completion / IPO / scope</t>
        </is>
      </c>
      <c r="D43" s="353" t="inlineStr">
        <is>
          <t>Deutsche Börse new-company statistics</t>
        </is>
      </c>
      <c r="E43" s="353" t="inlineStr">
        <is>
          <t>https://www.cashmarket.deutsche-boerse.com/cash-en/Data-Tech/statistics/New-Companies/Steyr-Motors-AG-4158938</t>
        </is>
      </c>
      <c r="F43" s="353" t="inlineStr">
        <is>
          <t>None used</t>
        </is>
      </c>
      <c r="G43" s="353" t="inlineStr">
        <is>
          <t>2026-08-02</t>
        </is>
      </c>
      <c r="H43" s="353" t="inlineStr">
        <is>
          <t>Label as private-placement/Scale listing; correct shares outstanding to 5,200,000 and first-price market cap to EUR82.68m.</t>
        </is>
      </c>
    </row>
    <row r="44" ht="45" customHeight="1">
      <c r="A44" s="353" t="inlineStr">
        <is>
          <t>EUR-045</t>
        </is>
      </c>
      <c r="B44" s="353" t="inlineStr">
        <is>
          <t>Elecnor Deimos / Deimos Space</t>
        </is>
      </c>
      <c r="C44" s="353" t="inlineStr">
        <is>
          <t>Completion / IPO / scope</t>
        </is>
      </c>
      <c r="D44" s="353" t="inlineStr">
        <is>
          <t>Indra closing announcement</t>
        </is>
      </c>
      <c r="E44" s="353" t="inlineStr">
        <is>
          <t>https://www.indragroup.com/en/news/indra-completes-acquisition-deimos</t>
        </is>
      </c>
      <c r="F44" s="353" t="inlineStr">
        <is>
          <t>https://www.indragroup.com/en/noticia/approving-constitution-space-newco-indra-strengthens-portfolio-acquiring-deimos</t>
        </is>
      </c>
      <c r="G44" s="353" t="inlineStr">
        <is>
          <t>2026-08-02</t>
        </is>
      </c>
      <c r="H44" s="353" t="inlineStr">
        <is>
          <t>Replace Geosat Satélites with the actual acquired target, Elecnor Deimos/Deimos Space.</t>
        </is>
      </c>
    </row>
    <row r="45" ht="45" customHeight="1">
      <c r="A45" s="353" t="inlineStr">
        <is>
          <t>EUR-046</t>
        </is>
      </c>
      <c r="B45" s="353" t="inlineStr">
        <is>
          <t>Harder Digital group</t>
        </is>
      </c>
      <c r="C45" s="353" t="inlineStr">
        <is>
          <t>Completion / IPO / scope</t>
        </is>
      </c>
      <c r="D45" s="353" t="inlineStr">
        <is>
          <t>THEON 2024 Annual Report and acquisition announcement</t>
        </is>
      </c>
      <c r="E45" s="353" t="inlineStr">
        <is>
          <t>https://investors.theon.com/files/doc_financials/2024/ar/Theon_Annual-Report_FY-2024.pdf</t>
        </is>
      </c>
      <c r="F45" s="353" t="inlineStr">
        <is>
          <t>https://investors.theon.com/news/news-details/2024/Theon-International-announces-the-acquisition-of-Harder-Digital/default.aspx</t>
        </is>
      </c>
      <c r="G45" s="353" t="inlineStr">
        <is>
          <t>2026-08-02</t>
        </is>
      </c>
      <c r="H45" s="353" t="inlineStr">
        <is>
          <t>Confirmed omitted completed majority-control acquisition; announcement preceded legal completion on 14 November.</t>
        </is>
      </c>
    </row>
    <row r="46" ht="45" customHeight="1">
      <c r="A46" s="353" t="inlineStr">
        <is>
          <t>EUR-047</t>
        </is>
      </c>
      <c r="B46" s="353" t="inlineStr">
        <is>
          <t>Clue Technologies S.L.</t>
        </is>
      </c>
      <c r="C46" s="353" t="inlineStr">
        <is>
          <t>Completion / IPO / scope</t>
        </is>
      </c>
      <c r="D46" s="353" t="inlineStr">
        <is>
          <t>Indra 2024 Annual Report</t>
        </is>
      </c>
      <c r="E46" s="353" t="inlineStr">
        <is>
          <t>https://www.indragroup.com/sites/default/files/memoria_grupo_indra_eng.pdf</t>
        </is>
      </c>
      <c r="F46" s="353" t="inlineStr">
        <is>
          <t>None used</t>
        </is>
      </c>
      <c r="G46" s="353" t="inlineStr">
        <is>
          <t>2026-08-02</t>
        </is>
      </c>
      <c r="H46" s="353" t="inlineStr">
        <is>
          <t>Retain; relabel approximately EUR40m as aggregate estimated consideration including contingent liability.</t>
        </is>
      </c>
    </row>
    <row r="47" ht="45" customHeight="1">
      <c r="A47" s="353" t="inlineStr">
        <is>
          <t>EUR-048</t>
        </is>
      </c>
      <c r="B47" s="353" t="inlineStr">
        <is>
          <t>Odyssée Technologies Group S.A.</t>
        </is>
      </c>
      <c r="C47" s="353" t="inlineStr">
        <is>
          <t>Completion / IPO / scope</t>
        </is>
      </c>
      <c r="D47" s="353" t="inlineStr">
        <is>
          <t>Euronext listing announcement</t>
        </is>
      </c>
      <c r="E47" s="353" t="inlineStr">
        <is>
          <t>https://www.euronext.com/en/about/media/euronext-press-releases/odyssee-technologies-lists-euronext-growth</t>
        </is>
      </c>
      <c r="F47" s="353" t="inlineStr">
        <is>
          <t>None used</t>
        </is>
      </c>
      <c r="G47" s="353" t="inlineStr">
        <is>
          <t>2026-08-02</t>
        </is>
      </c>
      <c r="H47" s="353" t="inlineStr">
        <is>
          <t>Retain; fill the missing post-offering outstanding-share count with 1,615,384.</t>
        </is>
      </c>
    </row>
    <row r="48" ht="45" customHeight="1">
      <c r="A48" s="353" t="inlineStr">
        <is>
          <t>EUR-049</t>
        </is>
      </c>
      <c r="B48" s="353" t="inlineStr">
        <is>
          <t>WASS Submarine Systems business</t>
        </is>
      </c>
      <c r="C48" s="353" t="inlineStr">
        <is>
          <t>Completion / IPO / scope</t>
        </is>
      </c>
      <c r="D48" s="353" t="inlineStr">
        <is>
          <t>Fincantieri</t>
        </is>
      </c>
      <c r="E48" s="353" t="inlineStr">
        <is>
          <t>https://www.fincantieri.com/en/newsroom/news-e-comunicati-stampa/2025/fincantieri-completes-the-acquisition-of-leonardos-uas-underwater-business</t>
        </is>
      </c>
      <c r="F48" s="353" t="inlineStr">
        <is>
          <t>None used</t>
        </is>
      </c>
      <c r="G48" s="353" t="inlineStr">
        <is>
          <t>2026-08-02</t>
        </is>
      </c>
      <c r="H48" s="353" t="inlineStr">
        <is>
          <t>Confirmed omission from the original Europe 2025 section.</t>
        </is>
      </c>
    </row>
    <row r="49" ht="45" customHeight="1">
      <c r="A49" s="353" t="inlineStr">
        <is>
          <t>EUR-050</t>
        </is>
      </c>
      <c r="B49" s="353" t="inlineStr">
        <is>
          <t>Excelitas aerospace and defence electronics businesses, including Qioptiq</t>
        </is>
      </c>
      <c r="C49" s="353" t="inlineStr">
        <is>
          <t>Completion / IPO / scope</t>
        </is>
      </c>
      <c r="D49" s="353" t="inlineStr">
        <is>
          <t>Teledyne Technologies</t>
        </is>
      </c>
      <c r="E49" s="353" t="inlineStr">
        <is>
          <t>https://www.teledyne.com/en-us/news/Pages/teledyne-completes-acquisition-of-select-aerospace-and-defense-electronics-businesses-of-excelitas.aspx</t>
        </is>
      </c>
      <c r="F49" s="353" t="inlineStr">
        <is>
          <t>None used</t>
        </is>
      </c>
      <c r="G49" s="353" t="inlineStr">
        <is>
          <t>2026-08-02</t>
        </is>
      </c>
      <c r="H49" s="353" t="inlineStr">
        <is>
          <t>Use the carve-out perimeter rather than implying acquisition of the entire Qioptiq group; normalize value to buyer's approximately $710m.</t>
        </is>
      </c>
    </row>
    <row r="50" ht="45" customHeight="1">
      <c r="A50" s="353" t="inlineStr">
        <is>
          <t>EUR-051</t>
        </is>
      </c>
      <c r="B50" s="353" t="inlineStr">
        <is>
          <t>RC Fornax plc</t>
        </is>
      </c>
      <c r="C50" s="353" t="inlineStr">
        <is>
          <t>Completion / IPO / scope</t>
        </is>
      </c>
      <c r="D50" s="353" t="inlineStr">
        <is>
          <t>London Stock Exchange</t>
        </is>
      </c>
      <c r="E50" s="353" t="inlineStr">
        <is>
          <t>https://www.londonstockexchange.com/discover/news-and-insights/london-stock-exchange-welcomes-rc-fornax-aim</t>
        </is>
      </c>
      <c r="F50" s="353" t="inlineStr">
        <is>
          <t>https://www.investegate.co.uk/announcement/rns/rc-fornax-plc--rcfx/first-day-of-dealings-on-aim/8721913</t>
        </is>
      </c>
      <c r="G50" s="353" t="inlineStr">
        <is>
          <t>2026-08-02</t>
        </is>
      </c>
      <c r="H50" s="353" t="inlineStr">
        <is>
          <t>Retain; source-native GBP value is preferable to an undocumented USD conversion.</t>
        </is>
      </c>
    </row>
    <row r="51" ht="45" customHeight="1">
      <c r="A51" s="353" t="inlineStr">
        <is>
          <t>EUR-052</t>
        </is>
      </c>
      <c r="B51" s="353" t="inlineStr">
        <is>
          <t>GMT Aerospace GmbH</t>
        </is>
      </c>
      <c r="C51" s="353" t="inlineStr">
        <is>
          <t>Completion / IPO / scope</t>
        </is>
      </c>
      <c r="D51" s="353" t="inlineStr">
        <is>
          <t>TriMas</t>
        </is>
      </c>
      <c r="E51" s="353" t="inlineStr">
        <is>
          <t>https://trimas.com/news/2025/trimas-completes-acquisition-of-gmt-aerospace/</t>
        </is>
      </c>
      <c r="F51" s="353" t="inlineStr">
        <is>
          <t>None used</t>
        </is>
      </c>
      <c r="G51" s="353" t="inlineStr">
        <is>
          <t>2026-08-02</t>
        </is>
      </c>
      <c r="H51" s="353" t="inlineStr">
        <is>
          <t>Confirmed omission from the original Europe 2025 section.</t>
        </is>
      </c>
    </row>
    <row r="52" ht="45" customHeight="1">
      <c r="A52" s="353" t="inlineStr">
        <is>
          <t>EUR-053</t>
        </is>
      </c>
      <c r="B52" s="353" t="inlineStr">
        <is>
          <t>PowerFlex S.r.l.</t>
        </is>
      </c>
      <c r="C52" s="353" t="inlineStr">
        <is>
          <t>Completion / IPO / scope</t>
        </is>
      </c>
      <c r="D52" s="353" t="inlineStr">
        <is>
          <t>Mare Group</t>
        </is>
      </c>
      <c r="E52" s="353" t="inlineStr">
        <is>
          <t>https://www.maregroup.it/wp-content/uploads/2025/03/20318_152166_2025_oneinfo.pdf</t>
        </is>
      </c>
      <c r="F52" s="353" t="inlineStr">
        <is>
          <t>https://www.maregroup.it/en/mare-group-to-acquire-powerflex/</t>
        </is>
      </c>
      <c r="G52" s="353" t="inlineStr">
        <is>
          <t>2026-08-02</t>
        </is>
      </c>
      <c r="H52" s="353" t="inlineStr">
        <is>
          <t>Correct completion from 20 February to 23 February 2025.</t>
        </is>
      </c>
    </row>
    <row r="53" ht="45" customHeight="1">
      <c r="A53" s="353" t="inlineStr">
        <is>
          <t>EUR-054</t>
        </is>
      </c>
      <c r="B53" s="353" t="inlineStr">
        <is>
          <t>roda computer GmbH</t>
        </is>
      </c>
      <c r="C53" s="353" t="inlineStr">
        <is>
          <t>Completion / IPO / scope</t>
        </is>
      </c>
      <c r="D53" s="353" t="inlineStr">
        <is>
          <t>MilDef Group</t>
        </is>
      </c>
      <c r="E53" s="353" t="inlineStr">
        <is>
          <t>https://news.cision.com/mildef-group-ab/r/mildef-successfully-completes-the-acquisition-of-roda-computer-gmbh-and-resolves-on-an-issue-in-kind%2Cc4114017</t>
        </is>
      </c>
      <c r="F53" s="353" t="inlineStr">
        <is>
          <t>None used</t>
        </is>
      </c>
      <c r="G53" s="353" t="inlineStr">
        <is>
          <t>2026-08-02</t>
        </is>
      </c>
      <c r="H53" s="353" t="inlineStr">
        <is>
          <t>Retain; use source-native consideration and disclose its contingent component.</t>
        </is>
      </c>
    </row>
    <row r="54" ht="45" customHeight="1">
      <c r="A54" s="353" t="inlineStr">
        <is>
          <t>EUR-055</t>
        </is>
      </c>
      <c r="B54" s="353" t="inlineStr">
        <is>
          <t>Noxant</t>
        </is>
      </c>
      <c r="C54" s="353" t="inlineStr">
        <is>
          <t>Completion / IPO / scope</t>
        </is>
      </c>
      <c r="D54" s="353" t="inlineStr">
        <is>
          <t>Exosens</t>
        </is>
      </c>
      <c r="E54" s="353" t="inlineStr">
        <is>
          <t>https://www.exosens.com/news/q1-2025-results</t>
        </is>
      </c>
      <c r="F54" s="353" t="inlineStr">
        <is>
          <t>None used</t>
        </is>
      </c>
      <c r="G54" s="353" t="inlineStr">
        <is>
          <t>2026-08-02</t>
        </is>
      </c>
      <c r="H54" s="353" t="inlineStr">
        <is>
          <t>Retain as a defence-imaging technology acquisition.</t>
        </is>
      </c>
    </row>
    <row r="55" ht="45" customHeight="1">
      <c r="A55" s="353" t="inlineStr">
        <is>
          <t>EUR-056</t>
        </is>
      </c>
      <c r="B55" s="353" t="inlineStr">
        <is>
          <t>Ultra Maritime Signature Management &amp; Power business</t>
        </is>
      </c>
      <c r="C55" s="353" t="inlineStr">
        <is>
          <t>Completion / IPO / scope</t>
        </is>
      </c>
      <c r="D55" s="353" t="inlineStr">
        <is>
          <t>ESCO Technologies</t>
        </is>
      </c>
      <c r="E55" s="353" t="inlineStr">
        <is>
          <t>https://investor.escotechnologies.com/news-releases/news-release-details/esco-completes-acquisition-smp</t>
        </is>
      </c>
      <c r="F55" s="353" t="inlineStr">
        <is>
          <t>https://www.sec.gov/Archives/edgar/data/866706/000141057825001667/ese-20250630x10q.htm</t>
        </is>
      </c>
      <c r="G55" s="353" t="inlineStr">
        <is>
          <t>2026-08-02</t>
        </is>
      </c>
      <c r="H55" s="353" t="inlineStr">
        <is>
          <t>Retain; explicitly label USD472m as net consideration, not headline gross price.</t>
        </is>
      </c>
    </row>
    <row r="56" ht="45" customHeight="1">
      <c r="A56" s="353" t="inlineStr">
        <is>
          <t>EUR-057</t>
        </is>
      </c>
      <c r="B56" s="353" t="inlineStr">
        <is>
          <t>e.sigma Systems GmbH</t>
        </is>
      </c>
      <c r="C56" s="353" t="inlineStr">
        <is>
          <t>Completion / IPO / scope</t>
        </is>
      </c>
      <c r="D56" s="353" t="inlineStr">
        <is>
          <t>Diehl Defence</t>
        </is>
      </c>
      <c r="E56" s="353" t="inlineStr">
        <is>
          <t>https://new.diehl.com/defence/en/press-media/news/takeover-of-e.sigma-systems-gmbh</t>
        </is>
      </c>
      <c r="F56" s="353" t="inlineStr">
        <is>
          <t>None used</t>
        </is>
      </c>
      <c r="G56" s="353" t="inlineStr">
        <is>
          <t>2026-08-02</t>
        </is>
      </c>
      <c r="H56" s="353" t="inlineStr">
        <is>
          <t>Confirmed omission from the original Europe 2025 section.</t>
        </is>
      </c>
    </row>
    <row r="57" ht="45" customHeight="1">
      <c r="A57" s="353" t="inlineStr">
        <is>
          <t>EUR-058</t>
        </is>
      </c>
      <c r="B57" s="353" t="inlineStr">
        <is>
          <t>Summa Defence Oy</t>
        </is>
      </c>
      <c r="C57" s="353" t="inlineStr">
        <is>
          <t>Completion / IPO / scope</t>
        </is>
      </c>
      <c r="D57" s="353" t="inlineStr">
        <is>
          <t>Summa Defence</t>
        </is>
      </c>
      <c r="E57" s="353" t="inlineStr">
        <is>
          <t>https://news.cision.com/summa-defence-oyj/r/the-merger-of-meriaura-group-plc-and-summa-defence-oy-has-been-completed%2Cc4160816</t>
        </is>
      </c>
      <c r="F57" s="353" t="inlineStr">
        <is>
          <t>https://view.news.eu.nasdaq.com/view?id=b8a54ea77c3a6a552ae0ac3e7d9c0c4f0&amp;lang=en&amp;src=notices</t>
        </is>
      </c>
      <c r="G57" s="353" t="inlineStr">
        <is>
          <t>2026-08-02</t>
        </is>
      </c>
      <c r="H57" s="353" t="inlineStr">
        <is>
          <t>Confirmed omission; classify separately as a completed share-exchange merger/reverse acquisition rather than a conventional IPO.</t>
        </is>
      </c>
    </row>
    <row r="58" ht="45" customHeight="1">
      <c r="A58" s="353" t="inlineStr">
        <is>
          <t>EUR-059</t>
        </is>
      </c>
      <c r="B58" s="353" t="inlineStr">
        <is>
          <t>Tess-Defence</t>
        </is>
      </c>
      <c r="C58" s="353" t="inlineStr">
        <is>
          <t>Completion / IPO / scope</t>
        </is>
      </c>
      <c r="D58" s="353" t="inlineStr">
        <is>
          <t>Indra 2025 closing announcement</t>
        </is>
      </c>
      <c r="E58" s="353" t="inlineStr">
        <is>
          <t>https://www.indragroup.com/en/news/indra-acquires-majority-stake-tess-defence</t>
        </is>
      </c>
      <c r="F58" s="353" t="inlineStr">
        <is>
          <t>None used</t>
        </is>
      </c>
      <c r="G58" s="353" t="inlineStr">
        <is>
          <t>2026-08-02</t>
        </is>
      </c>
      <c r="H58" s="353" t="inlineStr">
        <is>
          <t>Move to 2025: the 2024 entry was an agreement; the 26.34% incremental purchase completed on 13 June 2025 and raised Indra's ownership to 51.01% control. Promoted to the completed population because the transaction legally closed by the 2026-08-02 cutoff.</t>
        </is>
      </c>
    </row>
    <row r="59" ht="45" customHeight="1">
      <c r="A59" s="353" t="inlineStr">
        <is>
          <t>EUR-060</t>
        </is>
      </c>
      <c r="B59" s="353" t="inlineStr">
        <is>
          <t>Fjord Defence AS</t>
        </is>
      </c>
      <c r="C59" s="353" t="inlineStr">
        <is>
          <t>Completion / IPO / scope</t>
        </is>
      </c>
      <c r="D59" s="353" t="inlineStr">
        <is>
          <t>Fjord Defence Group</t>
        </is>
      </c>
      <c r="E59" s="353" t="inlineStr">
        <is>
          <t>https://live.euronext.com/en/products/equities/company-news/2025-06-20-aquila-holdings-successful-completion-fjord-defence</t>
        </is>
      </c>
      <c r="F59" s="353" t="inlineStr">
        <is>
          <t>https://live.euronext.com/sites/default/files/company_press_releases/attachments_oslo/2026/02/26/666847_2025%20Fjord%20Defence%20Group%20annual%20report.pdf</t>
        </is>
      </c>
      <c r="G59" s="353" t="inlineStr">
        <is>
          <t>2026-08-02</t>
        </is>
      </c>
      <c r="H59" s="353" t="inlineStr">
        <is>
          <t>Confirmed omission; label value basis carefully because share-price accounting changed the completion value.</t>
        </is>
      </c>
    </row>
    <row r="60" ht="45" customHeight="1">
      <c r="A60" s="353" t="inlineStr">
        <is>
          <t>EUR-061</t>
        </is>
      </c>
      <c r="B60" s="353" t="inlineStr">
        <is>
          <t>Slingsby Advanced Composites Ltd.</t>
        </is>
      </c>
      <c r="C60" s="353" t="inlineStr">
        <is>
          <t>Completion / IPO / scope</t>
        </is>
      </c>
      <c r="D60" s="353" t="inlineStr">
        <is>
          <t>Marshall Group</t>
        </is>
      </c>
      <c r="E60" s="353" t="inlineStr">
        <is>
          <t>https://marshallgroup.com/en/news-stories/acquisition-of-slingsby-advanced-composites-by-mangohojden-ab</t>
        </is>
      </c>
      <c r="F60" s="353" t="inlineStr">
        <is>
          <t>None used</t>
        </is>
      </c>
      <c r="G60" s="353" t="inlineStr">
        <is>
          <t>2026-08-02</t>
        </is>
      </c>
      <c r="H60" s="353" t="inlineStr">
        <is>
          <t>Confirmed omission from the original Europe 2025 section.</t>
        </is>
      </c>
    </row>
    <row r="61" ht="45" customHeight="1">
      <c r="A61" s="353" t="inlineStr">
        <is>
          <t>EUR-062</t>
        </is>
      </c>
      <c r="B61" s="353" t="inlineStr">
        <is>
          <t>Milso AB</t>
        </is>
      </c>
      <c r="C61" s="353" t="inlineStr">
        <is>
          <t>Completion / IPO / scope</t>
        </is>
      </c>
      <c r="D61" s="353" t="inlineStr">
        <is>
          <t>Knowit</t>
        </is>
      </c>
      <c r="E61" s="353" t="inlineStr">
        <is>
          <t>https://www.knowit.eu/news-press/knowit-acquires-consulting-firm-milso-and-further-strengthens-its-position-in-the-defense-sector/</t>
        </is>
      </c>
      <c r="F61" s="353" t="inlineStr">
        <is>
          <t>https://www.knowit.eu/globalassets/investor-relations/reports/english/2025/ar2025-eng-a4.pdf</t>
        </is>
      </c>
      <c r="G61" s="353" t="inlineStr">
        <is>
          <t>2026-08-02</t>
        </is>
      </c>
      <c r="H61" s="353" t="inlineStr">
        <is>
          <t>Retain as a completed defence-technology services acquisition.</t>
        </is>
      </c>
    </row>
    <row r="62" ht="45" customHeight="1">
      <c r="A62" s="353" t="inlineStr">
        <is>
          <t>EUR-063</t>
        </is>
      </c>
      <c r="B62" s="353" t="inlineStr">
        <is>
          <t>Nightvision Lasers Spain S.L.</t>
        </is>
      </c>
      <c r="C62" s="353" t="inlineStr">
        <is>
          <t>Completion / IPO / scope</t>
        </is>
      </c>
      <c r="D62" s="353" t="inlineStr">
        <is>
          <t>Exosens</t>
        </is>
      </c>
      <c r="E62" s="353" t="inlineStr">
        <is>
          <t>https://ldar.exosens.com/system/files/2025-09/Exosens%20RFS%20EN%202025_06.pdf</t>
        </is>
      </c>
      <c r="F62" s="353" t="inlineStr">
        <is>
          <t>https://www.exosens.com/news/exosens-acquisition-nvls</t>
        </is>
      </c>
      <c r="G62" s="353" t="inlineStr">
        <is>
          <t>2026-08-02</t>
        </is>
      </c>
      <c r="H62" s="353" t="inlineStr">
        <is>
          <t>Correct from full acquisition/16 July to 75% majority acquisition closed 15 July.</t>
        </is>
      </c>
    </row>
    <row r="63" ht="45" customHeight="1">
      <c r="A63" s="353" t="inlineStr">
        <is>
          <t>EUR-064</t>
        </is>
      </c>
      <c r="B63" s="353" t="inlineStr">
        <is>
          <t>Beadlight Ltd.</t>
        </is>
      </c>
      <c r="C63" s="353" t="inlineStr">
        <is>
          <t>Completion / IPO / scope</t>
        </is>
      </c>
      <c r="D63" s="353" t="inlineStr">
        <is>
          <t>Loar Holdings</t>
        </is>
      </c>
      <c r="E63" s="353" t="inlineStr">
        <is>
          <t>https://ir.loargroup.com/news-events/press-releases/detail/30/loar-holdings-inc-reports-q2-2025-record-results-and-upward-revision-to-2025-outlook-and-announces-the-acquisition-of-beadlight-ltd</t>
        </is>
      </c>
      <c r="F63" s="353" t="inlineStr">
        <is>
          <t>None used</t>
        </is>
      </c>
      <c r="G63" s="353" t="inlineStr">
        <is>
          <t>2026-08-02</t>
        </is>
      </c>
      <c r="H63" s="353" t="inlineStr">
        <is>
          <t>Retain as a commercial-aerospace technology acquisition.</t>
        </is>
      </c>
    </row>
    <row r="64" ht="45" customHeight="1">
      <c r="A64" s="353" t="inlineStr">
        <is>
          <t>EUR-065</t>
        </is>
      </c>
      <c r="B64" s="353" t="inlineStr">
        <is>
          <t>Málaga Aerospace, Defense &amp; Electronics Systems S.A. (MADES)</t>
        </is>
      </c>
      <c r="C64" s="353" t="inlineStr">
        <is>
          <t>Completion / IPO / scope</t>
        </is>
      </c>
      <c r="D64" s="353" t="inlineStr">
        <is>
          <t>Cicor</t>
        </is>
      </c>
      <c r="E64" s="353" t="inlineStr">
        <is>
          <t>https://www.cicor.com/en/news/article/cicor-completes-acquisition-of-mades-strengthens-ad-market-leadership-and-sees-no-material-impact-from-us-tariffs/</t>
        </is>
      </c>
      <c r="F64" s="353" t="inlineStr">
        <is>
          <t>https://report.cicor.com/ar25/category/notes-group_en</t>
        </is>
      </c>
      <c r="G64" s="353" t="inlineStr">
        <is>
          <t>2026-08-02</t>
        </is>
      </c>
      <c r="H64" s="353" t="inlineStr">
        <is>
          <t>Confirmed omission from the original Europe 2025 section.</t>
        </is>
      </c>
    </row>
    <row r="65" ht="45" customHeight="1">
      <c r="A65" s="353" t="inlineStr">
        <is>
          <t>EUR-066</t>
        </is>
      </c>
      <c r="B65" s="353" t="inlineStr">
        <is>
          <t>ILIAS Solutions N.V.</t>
        </is>
      </c>
      <c r="C65" s="353" t="inlineStr">
        <is>
          <t>Completion / IPO / scope</t>
        </is>
      </c>
      <c r="D65" s="353" t="inlineStr">
        <is>
          <t>Patria</t>
        </is>
      </c>
      <c r="E65" s="353" t="inlineStr">
        <is>
          <t>https://www.patriagroup.com/newsroom/news/2025/patria-has-completed-the-acquisition-of-ilias-solutions</t>
        </is>
      </c>
      <c r="F65" s="353" t="inlineStr">
        <is>
          <t>None used</t>
        </is>
      </c>
      <c r="G65" s="353" t="inlineStr">
        <is>
          <t>2026-08-02</t>
        </is>
      </c>
      <c r="H65" s="353" t="inlineStr">
        <is>
          <t>Confirmed omission from the original Europe 2025 section.</t>
        </is>
      </c>
    </row>
    <row r="66" ht="45" customHeight="1">
      <c r="A66" s="353" t="inlineStr">
        <is>
          <t>EUR-067</t>
        </is>
      </c>
      <c r="B66" s="353" t="inlineStr">
        <is>
          <t>Sofisport</t>
        </is>
      </c>
      <c r="C66" s="353" t="inlineStr">
        <is>
          <t>Completion / IPO / scope</t>
        </is>
      </c>
      <c r="D66" s="353" t="inlineStr">
        <is>
          <t>FN Browning Group</t>
        </is>
      </c>
      <c r="E66" s="353" t="inlineStr">
        <is>
          <t>https://fnherstal.com/en/news/fn-browning-group-announces-the-completion-of-its-acquisition-of-sofisport/</t>
        </is>
      </c>
      <c r="F66" s="353" t="inlineStr">
        <is>
          <t>None used</t>
        </is>
      </c>
      <c r="G66" s="353" t="inlineStr">
        <is>
          <t>2026-08-02</t>
        </is>
      </c>
      <c r="H66" s="353" t="inlineStr">
        <is>
          <t>Confirmed omission under the strict defence-ammunition category.</t>
        </is>
      </c>
    </row>
    <row r="67" ht="45" customHeight="1">
      <c r="A67" s="353" t="inlineStr">
        <is>
          <t>EUR-068</t>
        </is>
      </c>
      <c r="B67" s="353" t="inlineStr">
        <is>
          <t>Milectria Group</t>
        </is>
      </c>
      <c r="C67" s="353" t="inlineStr">
        <is>
          <t>Completion / IPO / scope</t>
        </is>
      </c>
      <c r="D67" s="353" t="inlineStr">
        <is>
          <t>HANZA</t>
        </is>
      </c>
      <c r="E67" s="353" t="inlineStr">
        <is>
          <t>https://hanza.com/investor/pressreleases/hanza-completes-acquisition-and-expands-capacity-for-the-defense-industry/</t>
        </is>
      </c>
      <c r="F67" s="353" t="inlineStr">
        <is>
          <t>None used</t>
        </is>
      </c>
      <c r="G67" s="353" t="inlineStr">
        <is>
          <t>2026-08-02</t>
        </is>
      </c>
      <c r="H67" s="353" t="inlineStr">
        <is>
          <t>Retain; separate initial and contingent consideration.</t>
        </is>
      </c>
    </row>
    <row r="68" ht="45" customHeight="1">
      <c r="A68" s="353" t="inlineStr">
        <is>
          <t>EUR-069</t>
        </is>
      </c>
      <c r="B68" s="353" t="inlineStr">
        <is>
          <t>Paul Boyé Technologies</t>
        </is>
      </c>
      <c r="C68" s="353" t="inlineStr">
        <is>
          <t>Completion / IPO / scope</t>
        </is>
      </c>
      <c r="D68" s="353" t="inlineStr">
        <is>
          <t>Paul Boyé Technologies</t>
        </is>
      </c>
      <c r="E68" s="353" t="inlineStr">
        <is>
          <t>https://www.paul-boye.fr/</t>
        </is>
      </c>
      <c r="F68" s="353" t="inlineStr">
        <is>
          <t>None used</t>
        </is>
      </c>
      <c r="G68" s="353" t="inlineStr">
        <is>
          <t>2026-08-02</t>
        </is>
      </c>
      <c r="H68" s="353" t="inlineStr">
        <is>
          <t>Confirmed omission; ownership percentage and consideration were not publicly disclosed in the cited company notice.</t>
        </is>
      </c>
    </row>
    <row r="69" ht="45" customHeight="1">
      <c r="A69" s="353" t="inlineStr">
        <is>
          <t>EUR-071</t>
        </is>
      </c>
      <c r="B69" s="353" t="inlineStr">
        <is>
          <t>Nasmyth Group Ltd.</t>
        </is>
      </c>
      <c r="C69" s="353" t="inlineStr">
        <is>
          <t>Completion / IPO / scope</t>
        </is>
      </c>
      <c r="D69" s="353" t="inlineStr">
        <is>
          <t>Sigma Advanced Systems</t>
        </is>
      </c>
      <c r="E69" s="353" t="inlineStr">
        <is>
          <t>https://sigmaadvsys.com/investors/announcements/Outcome-of-BM-14022026.pdf</t>
        </is>
      </c>
      <c r="F69" s="353" t="inlineStr">
        <is>
          <t>https://www.adsgroup.org.uk/knowledge/industry-member-news/sigma-advanced-systems-acquires-nasmyth/</t>
        </is>
      </c>
      <c r="G69" s="353" t="inlineStr">
        <is>
          <t>2026-08-02</t>
        </is>
      </c>
      <c r="H69" s="353" t="inlineStr">
        <is>
          <t>Use the effective control date of 1 November; 3 November was the public announcement.</t>
        </is>
      </c>
    </row>
    <row r="70" ht="45" customHeight="1">
      <c r="A70" s="353" t="inlineStr">
        <is>
          <t>EUR-072</t>
        </is>
      </c>
      <c r="B70" s="353" t="inlineStr">
        <is>
          <t>Ammunity SIA</t>
        </is>
      </c>
      <c r="C70" s="353" t="inlineStr">
        <is>
          <t>Completion / IPO / scope</t>
        </is>
      </c>
      <c r="D70" s="353" t="inlineStr">
        <is>
          <t>Scandinavian Astor Group</t>
        </is>
      </c>
      <c r="E70" s="353" t="inlineStr">
        <is>
          <t>https://astorgroup.se/mfn_news/astor-group-has-completed-the-acquisition-of-latvian-ammunition-manufacturer-ammunity/</t>
        </is>
      </c>
      <c r="F70" s="353" t="inlineStr">
        <is>
          <t>None used</t>
        </is>
      </c>
      <c r="G70" s="353" t="inlineStr">
        <is>
          <t>2026-08-02</t>
        </is>
      </c>
      <c r="H70" s="353" t="inlineStr">
        <is>
          <t>Replace USD9.87m as transaction consideration with the disclosed EUR3m cash purchase price and distinguish valuation.</t>
        </is>
      </c>
    </row>
    <row r="71" ht="45" customHeight="1">
      <c r="A71" s="353" t="inlineStr">
        <is>
          <t>EUR-073</t>
        </is>
      </c>
      <c r="B71" s="353" t="inlineStr">
        <is>
          <t>Rack Peruzzi S.r.l.</t>
        </is>
      </c>
      <c r="C71" s="353" t="inlineStr">
        <is>
          <t>Completion / IPO / scope</t>
        </is>
      </c>
      <c r="D71" s="353" t="inlineStr">
        <is>
          <t>Mare Group</t>
        </is>
      </c>
      <c r="E71" s="353" t="inlineStr">
        <is>
          <t>https://www.maregroup.it/en/mare-group-acquires-rack-peruzzi-and-strengthens-its-aerospace-defense-hub/</t>
        </is>
      </c>
      <c r="F71" s="353" t="inlineStr">
        <is>
          <t>None used</t>
        </is>
      </c>
      <c r="G71" s="353" t="inlineStr">
        <is>
          <t>2026-08-02</t>
        </is>
      </c>
      <c r="H71" s="353" t="inlineStr">
        <is>
          <t>Confirmed omission; retain without inventing an ownership percentage or consideration.</t>
        </is>
      </c>
    </row>
    <row r="72" ht="45" customHeight="1">
      <c r="A72" s="353" t="inlineStr">
        <is>
          <t>EUR-074</t>
        </is>
      </c>
      <c r="B72" s="353" t="inlineStr">
        <is>
          <t>Marshall Land Systems Ltd.</t>
        </is>
      </c>
      <c r="C72" s="353" t="inlineStr">
        <is>
          <t>Completion / IPO / scope</t>
        </is>
      </c>
      <c r="D72" s="353" t="inlineStr">
        <is>
          <t>Marshall Group</t>
        </is>
      </c>
      <c r="E72" s="353" t="inlineStr">
        <is>
          <t>https://marshallgroup.com/en/news-stories/acquisition-of-marshall-land-systems-by-flowing-river-capital</t>
        </is>
      </c>
      <c r="F72" s="353" t="inlineStr">
        <is>
          <t>None used</t>
        </is>
      </c>
      <c r="G72" s="353" t="inlineStr">
        <is>
          <t>2026-08-02</t>
        </is>
      </c>
      <c r="H72" s="353" t="inlineStr">
        <is>
          <t>Confirmed omission from the original Europe 2025 section.</t>
        </is>
      </c>
    </row>
    <row r="73" ht="45" customHeight="1">
      <c r="A73" s="353" t="inlineStr">
        <is>
          <t>EUR-075</t>
        </is>
      </c>
      <c r="B73" s="353" t="inlineStr">
        <is>
          <t>MARSS interceptor-drone business</t>
        </is>
      </c>
      <c r="C73" s="353" t="inlineStr">
        <is>
          <t>Completion / IPO / scope</t>
        </is>
      </c>
      <c r="D73" s="353" t="inlineStr">
        <is>
          <t>Electro Optic Systems</t>
        </is>
      </c>
      <c r="E73" s="353" t="inlineStr">
        <is>
          <t>https://eos-aus.com/news/acquisition-of-new-interceptor-capability/</t>
        </is>
      </c>
      <c r="F73" s="353" t="inlineStr">
        <is>
          <t>https://investorpa.com/announcement-pdf/20260417/282187.pdf</t>
        </is>
      </c>
      <c r="G73" s="353" t="inlineStr">
        <is>
          <t>2026-08-02</t>
        </is>
      </c>
      <c r="H73" s="353" t="inlineStr">
        <is>
          <t>Retain; distinguish the 19 November agreement from 26 November completion.</t>
        </is>
      </c>
    </row>
    <row r="74" ht="45" customHeight="1">
      <c r="A74" s="353" t="inlineStr">
        <is>
          <t>EUR-076</t>
        </is>
      </c>
      <c r="B74" s="353" t="inlineStr">
        <is>
          <t>Operational Solutions Ltd. (OSL Technology)</t>
        </is>
      </c>
      <c r="C74" s="353" t="inlineStr">
        <is>
          <t>Completion / IPO / scope</t>
        </is>
      </c>
      <c r="D74" s="353" t="inlineStr">
        <is>
          <t>Terma</t>
        </is>
      </c>
      <c r="E74" s="353" t="inlineStr">
        <is>
          <t>https://www.terma.com/news-events/news/news-archive/2025/terma-acquires-osl-technology-powering-a-market-leading-counter-uas-and-critical-infrastructure-protection-capability/</t>
        </is>
      </c>
      <c r="F74" s="353" t="inlineStr">
        <is>
          <t>None used</t>
        </is>
      </c>
      <c r="G74" s="353" t="inlineStr">
        <is>
          <t>2026-08-02</t>
        </is>
      </c>
      <c r="H74" s="353" t="inlineStr">
        <is>
          <t>Confirmed omission from the original Europe 2025 section.</t>
        </is>
      </c>
    </row>
    <row r="75" ht="45" customHeight="1">
      <c r="A75" s="353" t="inlineStr">
        <is>
          <t>EUR-078</t>
        </is>
      </c>
      <c r="B75" s="353" t="inlineStr">
        <is>
          <t>Argo Defence Group AB</t>
        </is>
      </c>
      <c r="C75" s="353" t="inlineStr">
        <is>
          <t>Completion / IPO / scope</t>
        </is>
      </c>
      <c r="D75" s="353" t="inlineStr">
        <is>
          <t>Nordic Growth Market</t>
        </is>
      </c>
      <c r="E75" s="353" t="inlineStr">
        <is>
          <t>https://news.cision.com/ngm-market-notice/r/25-120-argo-defence-group-ab-approved-for-listing-at-ngm%2Cc4281296</t>
        </is>
      </c>
      <c r="F75" s="353" t="inlineStr">
        <is>
          <t>https://argodefence.se/wp-content/uploads/2025/12/Argo-Defence-Group-AB-publ-Information-memorandum-1.pdf</t>
        </is>
      </c>
      <c r="G75" s="353" t="inlineStr">
        <is>
          <t>2026-08-02</t>
        </is>
      </c>
      <c r="H75" s="353" t="inlineStr">
        <is>
          <t>Retain; use source-native SEK proceeds.</t>
        </is>
      </c>
    </row>
    <row r="76" ht="45" customHeight="1">
      <c r="A76" s="353" t="inlineStr">
        <is>
          <t>EUR-079</t>
        </is>
      </c>
      <c r="B76" s="353" t="inlineStr">
        <is>
          <t>LMB Fans &amp; Motors</t>
        </is>
      </c>
      <c r="C76" s="353" t="inlineStr">
        <is>
          <t>Completion / IPO / scope</t>
        </is>
      </c>
      <c r="D76" s="353" t="inlineStr">
        <is>
          <t>Loar Holdings</t>
        </is>
      </c>
      <c r="E76" s="353" t="inlineStr">
        <is>
          <t>https://ir.loargroup.com/sec-filings/all-sec-filings/content/0001193125-25-332267/ck0002000178-20251223.htm</t>
        </is>
      </c>
      <c r="F76" s="353" t="inlineStr">
        <is>
          <t>https://ir.loargroup.com/sec-filings/all-sec-filings/content/0001193125-25-332267/ck0002000178-ex99.htm</t>
        </is>
      </c>
      <c r="G76" s="353" t="inlineStr">
        <is>
          <t>2026-08-02</t>
        </is>
      </c>
      <c r="H76" s="353" t="inlineStr">
        <is>
          <t>Correct completion from the 26 December press date to 23 December 2025.</t>
        </is>
      </c>
    </row>
    <row r="77" ht="45" customHeight="1">
      <c r="A77" s="353" t="inlineStr">
        <is>
          <t>EUR-080</t>
        </is>
      </c>
      <c r="B77" s="353" t="inlineStr">
        <is>
          <t>Hispasat S.A.</t>
        </is>
      </c>
      <c r="C77" s="353" t="inlineStr">
        <is>
          <t>Completion / IPO / scope</t>
        </is>
      </c>
      <c r="D77" s="353" t="inlineStr">
        <is>
          <t>Indra Group</t>
        </is>
      </c>
      <c r="E77" s="353" t="inlineStr">
        <is>
          <t>https://www.indragroup.com/es/noticias/indra-group-se-convierte-en-referente-europeo-en-espacio-cierra-la-adquisicion-del-8968-de-hispasat-y-alcanza-una-participacion-mayoritaria-en-hisdesat</t>
        </is>
      </c>
      <c r="F77" s="353" t="inlineStr">
        <is>
          <t>https://www.indragroup.com/en/news/indra-group-extraordinary-general-shareholders-meeting-approves-the-purchase-of-the-8968-of-hispasat</t>
        </is>
      </c>
      <c r="G77" s="353" t="inlineStr">
        <is>
          <t>2026-08-02</t>
        </is>
      </c>
      <c r="H77" s="353" t="inlineStr">
        <is>
          <t>Confirmed omission from the original Europe 2025 section.</t>
        </is>
      </c>
    </row>
    <row r="78" ht="45" customHeight="1">
      <c r="A78" s="353" t="inlineStr">
        <is>
          <t>EUR-081</t>
        </is>
      </c>
      <c r="B78" s="353" t="inlineStr">
        <is>
          <t>Granit Teknikbyrå</t>
        </is>
      </c>
      <c r="C78" s="353" t="inlineStr">
        <is>
          <t>Completion / IPO / scope</t>
        </is>
      </c>
      <c r="D78" s="353" t="inlineStr">
        <is>
          <t>EmbeddedArt Group</t>
        </is>
      </c>
      <c r="E78" s="353" t="inlineStr">
        <is>
          <t>https://www.embeddedart.se/nyheter</t>
        </is>
      </c>
      <c r="F78" s="353" t="inlineStr">
        <is>
          <t>None used</t>
        </is>
      </c>
      <c r="G78" s="353" t="inlineStr">
        <is>
          <t>2026-08-02</t>
        </is>
      </c>
      <c r="H78" s="353" t="inlineStr">
        <is>
          <t>Retain under strict scope; completed transaction and primary A&amp;D focus are supported by the cited source.</t>
        </is>
      </c>
    </row>
    <row r="79" ht="45" customHeight="1">
      <c r="A79" s="353" t="inlineStr">
        <is>
          <t>EUR-082</t>
        </is>
      </c>
      <c r="B79" s="353" t="inlineStr">
        <is>
          <t>Daedalean AG</t>
        </is>
      </c>
      <c r="C79" s="353" t="inlineStr">
        <is>
          <t>Completion / IPO / scope</t>
        </is>
      </c>
      <c r="D79" s="353" t="inlineStr">
        <is>
          <t>Destinus issuer release via PR Newswire</t>
        </is>
      </c>
      <c r="E79" s="353" t="inlineStr">
        <is>
          <t>https://www.prnewswire.com/news-releases/destinus-completes-acquisition-of-daedalean-accelerating-next-generation-ai-for-defense-and-civil-aviation-302652183.html</t>
        </is>
      </c>
      <c r="F79" s="353" t="inlineStr">
        <is>
          <t>None used</t>
        </is>
      </c>
      <c r="G79" s="353" t="inlineStr">
        <is>
          <t>2026-08-02</t>
        </is>
      </c>
      <c r="H79" s="353" t="inlineStr">
        <is>
          <t>Retain under strict scope; completed transaction and primary aerospace-technology focus are supported by the cited source.</t>
        </is>
      </c>
    </row>
    <row r="80" ht="45" customHeight="1">
      <c r="A80" s="353" t="inlineStr">
        <is>
          <t>EUR-083</t>
        </is>
      </c>
      <c r="B80" s="353" t="inlineStr">
        <is>
          <t>Kappa Optronics</t>
        </is>
      </c>
      <c r="C80" s="353" t="inlineStr">
        <is>
          <t>Completion / IPO / scope</t>
        </is>
      </c>
      <c r="D80" s="353" t="inlineStr">
        <is>
          <t>THEON International</t>
        </is>
      </c>
      <c r="E80" s="353" t="inlineStr">
        <is>
          <t>https://theon.com/en/news/2026/theon-corporate-updates-january-2026</t>
        </is>
      </c>
      <c r="F80" s="353" t="inlineStr">
        <is>
          <t>None used</t>
        </is>
      </c>
      <c r="G80" s="353" t="inlineStr">
        <is>
          <t>2026-08-02</t>
        </is>
      </c>
      <c r="H80" s="353" t="inlineStr">
        <is>
          <t>Retain under strict scope; completed transaction and primary A&amp;D focus are supported by the cited source.</t>
        </is>
      </c>
    </row>
    <row r="81" ht="45" customHeight="1">
      <c r="A81" s="353" t="inlineStr">
        <is>
          <t>EUR-084</t>
        </is>
      </c>
      <c r="B81" s="353" t="inlineStr">
        <is>
          <t>UAV Tactical Systems Ltd (UTACS)</t>
        </is>
      </c>
      <c r="C81" s="353" t="inlineStr">
        <is>
          <t>Completion / IPO / scope</t>
        </is>
      </c>
      <c r="D81" s="353" t="inlineStr">
        <is>
          <t>Elbit Systems</t>
        </is>
      </c>
      <c r="E81" s="353" t="inlineStr">
        <is>
          <t>https://www.elbitsystems.com/news/elbit-systems-expands-europe-full-acquisition-utacs</t>
        </is>
      </c>
      <c r="F81" s="353" t="inlineStr">
        <is>
          <t>None used</t>
        </is>
      </c>
      <c r="G81" s="353" t="inlineStr">
        <is>
          <t>2026-08-02</t>
        </is>
      </c>
      <c r="H81" s="353" t="inlineStr">
        <is>
          <t>Retain under strict scope; completed transaction and primary defence-UAS focus are supported by the cited source.</t>
        </is>
      </c>
    </row>
    <row r="82" ht="45" customHeight="1">
      <c r="A82" s="353" t="inlineStr">
        <is>
          <t>EUR-085</t>
        </is>
      </c>
      <c r="B82" s="353" t="inlineStr">
        <is>
          <t>Burcas Limited</t>
        </is>
      </c>
      <c r="C82" s="353" t="inlineStr">
        <is>
          <t>Completion / IPO / scope</t>
        </is>
      </c>
      <c r="D82" s="353" t="inlineStr">
        <is>
          <t>Wright Industries</t>
        </is>
      </c>
      <c r="E82" s="353" t="inlineStr">
        <is>
          <t>https://www.wrightindustries.co.uk/about/news/burcas-ltd-acquisition/</t>
        </is>
      </c>
      <c r="F82" s="353" t="inlineStr">
        <is>
          <t>None used</t>
        </is>
      </c>
      <c r="G82" s="353" t="inlineStr">
        <is>
          <t>2026-08-02</t>
        </is>
      </c>
      <c r="H82" s="353" t="inlineStr">
        <is>
          <t>Retain under strict scope; completed transaction and primary A&amp;D focus are supported by the cited source.</t>
        </is>
      </c>
    </row>
    <row r="83" ht="45" customHeight="1">
      <c r="A83" s="353" t="inlineStr">
        <is>
          <t>EUR-086</t>
        </is>
      </c>
      <c r="B83" s="353" t="inlineStr">
        <is>
          <t>Czechoslovak Group / CSG (AMS: CSG)</t>
        </is>
      </c>
      <c r="C83" s="353" t="inlineStr">
        <is>
          <t>Completion / IPO / scope</t>
        </is>
      </c>
      <c r="D83" s="353" t="inlineStr">
        <is>
          <t>Euronext</t>
        </is>
      </c>
      <c r="E83" s="353" t="inlineStr">
        <is>
          <t>https://www.euronext.com/en/about/media/euronext-press-releases/czechoslovak-group-lists-euronext-0</t>
        </is>
      </c>
      <c r="F83" s="353" t="inlineStr">
        <is>
          <t>None used</t>
        </is>
      </c>
      <c r="G83" s="353" t="inlineStr">
        <is>
          <t>2026-08-02</t>
        </is>
      </c>
      <c r="H83" s="353" t="inlineStr">
        <is>
          <t>Retain under strict scope; completed transaction and primary A&amp;D focus are supported by the cited source.</t>
        </is>
      </c>
    </row>
    <row r="84" ht="45" customHeight="1">
      <c r="A84" s="353" t="inlineStr">
        <is>
          <t>EUR-087</t>
        </is>
      </c>
      <c r="B84" s="353" t="inlineStr">
        <is>
          <t>Ultra PCS</t>
        </is>
      </c>
      <c r="C84" s="353" t="inlineStr">
        <is>
          <t>Completion / IPO / scope</t>
        </is>
      </c>
      <c r="D84" s="353" t="inlineStr">
        <is>
          <t>Eaton</t>
        </is>
      </c>
      <c r="E84" s="353" t="inlineStr">
        <is>
          <t>https://www.eaton.com/us/en-us/company/news-insights/news-releases/2026/eaton-completes-acquisition-of-ultra-pcs-limited.html</t>
        </is>
      </c>
      <c r="F84" s="353" t="inlineStr">
        <is>
          <t>None used</t>
        </is>
      </c>
      <c r="G84" s="353" t="inlineStr">
        <is>
          <t>2026-08-02</t>
        </is>
      </c>
      <c r="H84" s="353" t="inlineStr">
        <is>
          <t>Replace value label: USD 1.55bn gross purchase price versus approximately USD 1.53bn net cash consideration.</t>
        </is>
      </c>
    </row>
    <row r="85" ht="45" customHeight="1">
      <c r="A85" s="353" t="inlineStr">
        <is>
          <t>EUR-088</t>
        </is>
      </c>
      <c r="B85" s="353" t="inlineStr">
        <is>
          <t>Newbow Aerospace</t>
        </is>
      </c>
      <c r="C85" s="353" t="inlineStr">
        <is>
          <t>Completion / IPO / scope</t>
        </is>
      </c>
      <c r="D85" s="353" t="inlineStr">
        <is>
          <t>Nasdaq issuer release</t>
        </is>
      </c>
      <c r="E85" s="353" t="inlineStr">
        <is>
          <t>https://view.news.eu.nasdaq.com/view?id=b52bd85cbe0fdc74bcb2978b056536768&amp;lang=en&amp;src=micro</t>
        </is>
      </c>
      <c r="F85" s="353" t="inlineStr">
        <is>
          <t>None used</t>
        </is>
      </c>
      <c r="G85" s="353" t="inlineStr">
        <is>
          <t>2026-08-02</t>
        </is>
      </c>
      <c r="H85" s="353" t="inlineStr">
        <is>
          <t>Retain under strict scope; completed transaction and primary A&amp;D focus are supported by the cited source.</t>
        </is>
      </c>
    </row>
    <row r="86" ht="45" customHeight="1">
      <c r="A86" s="353" t="inlineStr">
        <is>
          <t>EUR-089</t>
        </is>
      </c>
      <c r="B86" s="353" t="inlineStr">
        <is>
          <t>Hacker Motor GmbH</t>
        </is>
      </c>
      <c r="C86" s="353" t="inlineStr">
        <is>
          <t>Completion / IPO / scope</t>
        </is>
      </c>
      <c r="D86" s="353" t="inlineStr">
        <is>
          <t>Quantum Systems</t>
        </is>
      </c>
      <c r="E86" s="353" t="inlineStr">
        <is>
          <t>https://quantum-systems.com/news/quantum-systems-acquires-hacker-motor/</t>
        </is>
      </c>
      <c r="F86" s="353" t="inlineStr">
        <is>
          <t>None used</t>
        </is>
      </c>
      <c r="G86" s="353" t="inlineStr">
        <is>
          <t>2026-08-02</t>
        </is>
      </c>
      <c r="H86" s="353" t="inlineStr">
        <is>
          <t>Retain under strict scope; completed transaction and primary A&amp;D focus are supported by the cited source.</t>
        </is>
      </c>
    </row>
    <row r="87" ht="45" customHeight="1">
      <c r="A87" s="353" t="inlineStr">
        <is>
          <t>EUR-090</t>
        </is>
      </c>
      <c r="B87" s="353" t="inlineStr">
        <is>
          <t>PRP Optoelectronics</t>
        </is>
      </c>
      <c r="C87" s="353" t="inlineStr">
        <is>
          <t>Completion / IPO / scope</t>
        </is>
      </c>
      <c r="D87" s="353" t="inlineStr">
        <is>
          <t>London Stock Exchange issuer release</t>
        </is>
      </c>
      <c r="E87" s="353" t="inlineStr">
        <is>
          <t>https://www.londonstockexchange.com/news-article/SDI/acquisition-of-prp-optoelectronics/17459636</t>
        </is>
      </c>
      <c r="F87" s="353" t="inlineStr">
        <is>
          <t>None used</t>
        </is>
      </c>
      <c r="G87" s="353" t="inlineStr">
        <is>
          <t>2026-08-02</t>
        </is>
      </c>
      <c r="H87" s="353" t="inlineStr">
        <is>
          <t>Retain under strict scope; completed transaction and primary A&amp;D focus are supported by the cited source.</t>
        </is>
      </c>
    </row>
    <row r="88" ht="45" customHeight="1">
      <c r="A88" s="353" t="inlineStr">
        <is>
          <t>EUR-091</t>
        </is>
      </c>
      <c r="B88" s="353" t="inlineStr">
        <is>
          <t>Scanfiber Composites</t>
        </is>
      </c>
      <c r="C88" s="353" t="inlineStr">
        <is>
          <t>Completion / IPO / scope</t>
        </is>
      </c>
      <c r="D88" s="353" t="inlineStr">
        <is>
          <t>Issuer release via MFN</t>
        </is>
      </c>
      <c r="E88" s="353" t="inlineStr">
        <is>
          <t>https://mfn.se/ob/a/fjord-defence-group/fjord-defence-group-asa-successful-completion-of-acquisition-of-scanfiber-composites-a-s-e058dcdd.iframe</t>
        </is>
      </c>
      <c r="F88" s="353" t="inlineStr">
        <is>
          <t>None used</t>
        </is>
      </c>
      <c r="G88" s="353" t="inlineStr">
        <is>
          <t>2026-08-02</t>
        </is>
      </c>
      <c r="H88" s="353" t="inlineStr">
        <is>
          <t>Replace original date: completion was 25 February 2026, not 1 January.</t>
        </is>
      </c>
    </row>
    <row r="89" ht="45" customHeight="1">
      <c r="A89" s="353" t="inlineStr">
        <is>
          <t>EUR-092</t>
        </is>
      </c>
      <c r="B89" s="353" t="inlineStr">
        <is>
          <t>Wireless P2p Technologies</t>
        </is>
      </c>
      <c r="C89" s="353" t="inlineStr">
        <is>
          <t>Completion / IPO / scope</t>
        </is>
      </c>
      <c r="D89" s="353" t="inlineStr">
        <is>
          <t>Evallic</t>
        </is>
      </c>
      <c r="E89" s="353" t="inlineStr">
        <is>
          <t>https://evallic.com/news/evallic-welcomes-wireless-p2p-technologies-a-technology-leader-in-tactical-communication-and-electronic-warfare/</t>
        </is>
      </c>
      <c r="F89" s="353" t="inlineStr">
        <is>
          <t>None used</t>
        </is>
      </c>
      <c r="G89" s="353" t="inlineStr">
        <is>
          <t>2026-08-02</t>
        </is>
      </c>
      <c r="H89" s="353" t="inlineStr">
        <is>
          <t>Replace value and ownership claims: terms and percentage were not disclosed by the primary source.</t>
        </is>
      </c>
    </row>
    <row r="90" ht="45" customHeight="1">
      <c r="A90" s="353" t="inlineStr">
        <is>
          <t>EUR-093</t>
        </is>
      </c>
      <c r="B90" s="353" t="inlineStr">
        <is>
          <t>LMO Luxembourg Operations</t>
        </is>
      </c>
      <c r="C90" s="353" t="inlineStr">
        <is>
          <t>Completion / IPO / scope</t>
        </is>
      </c>
      <c r="D90" s="353" t="inlineStr">
        <is>
          <t>Infinite Orbits</t>
        </is>
      </c>
      <c r="E90" s="353" t="inlineStr">
        <is>
          <t>https://www.infiniteorbits.io/post/infinite-orbits-expands-into-luxembourg</t>
        </is>
      </c>
      <c r="F90" s="353" t="inlineStr">
        <is>
          <t>None used</t>
        </is>
      </c>
      <c r="G90" s="353" t="inlineStr">
        <is>
          <t>2026-08-02</t>
        </is>
      </c>
      <c r="H90" s="353" t="inlineStr">
        <is>
          <t>Retain under strict scope; completed transaction and primary A&amp;D focus are supported by the cited source.</t>
        </is>
      </c>
    </row>
    <row r="91" ht="45" customHeight="1">
      <c r="A91" s="353" t="inlineStr">
        <is>
          <t>EUR-094</t>
        </is>
      </c>
      <c r="B91" s="353" t="inlineStr">
        <is>
          <t>Hirtenberger Defence Systems group</t>
        </is>
      </c>
      <c r="C91" s="353" t="inlineStr">
        <is>
          <t>Completion / IPO / scope</t>
        </is>
      </c>
      <c r="D91" s="353" t="inlineStr">
        <is>
          <t>4iG extraordinary announcement via Budapest Stock Exchange</t>
        </is>
      </c>
      <c r="E91" s="353" t="inlineStr">
        <is>
          <t>https://www.bet.hu/newkibdata/129406957/20260227_RT_SDT_N7_zaras_EN.pdf</t>
        </is>
      </c>
      <c r="F91" s="353" t="inlineStr">
        <is>
          <t>https://www.4ig.hu/hungarian-state-4ig-defence-industry-cooperation-agreement-signing</t>
        </is>
      </c>
      <c r="G91" s="353" t="inlineStr">
        <is>
          <t>2026-08-02</t>
        </is>
      </c>
      <c r="H91" s="353" t="inlineStr">
        <is>
          <t>Added after resolving the official multi-company closing filing. The 100% acquisition completed on 27 February 2026; the related VAB vehicle was not added because it conveyed only an indirect minority interest in Rheinmetall Hungary rather than control of an operating target.</t>
        </is>
      </c>
    </row>
    <row r="92" ht="45" customHeight="1">
      <c r="A92" s="353" t="inlineStr">
        <is>
          <t>EUR-095</t>
        </is>
      </c>
      <c r="B92" s="353" t="inlineStr">
        <is>
          <t>N7 Defence Zrt.</t>
        </is>
      </c>
      <c r="C92" s="353" t="inlineStr">
        <is>
          <t>Completion / IPO / scope</t>
        </is>
      </c>
      <c r="D92" s="353" t="inlineStr">
        <is>
          <t>4iG</t>
        </is>
      </c>
      <c r="E92" s="353" t="inlineStr">
        <is>
          <t>https://www.bet.hu/newkibdata/129406957/20260227_RT_SDT_N7_zaras_EN.pdf</t>
        </is>
      </c>
      <c r="F92" s="353" t="inlineStr">
        <is>
          <t>https://www.4ig.hu/hungarian-state-4ig-defence-industry-cooperation-agreement-signing</t>
        </is>
      </c>
      <c r="G92" s="353" t="inlineStr">
        <is>
          <t>2026-08-02</t>
        </is>
      </c>
      <c r="H92" s="353" t="inlineStr">
        <is>
          <t>Move out of 2025; correct ownership and remove the unsupported consideration figure. Promoted to the completed population because the transaction legally closed by the 2026-08-02 cutoff.</t>
        </is>
      </c>
    </row>
    <row r="93" ht="45" customHeight="1">
      <c r="A93" s="353" t="inlineStr">
        <is>
          <t>EUR-096</t>
        </is>
      </c>
      <c r="B93" s="353" t="inlineStr">
        <is>
          <t>Naval Vessels Lürssen (NVL)</t>
        </is>
      </c>
      <c r="C93" s="353" t="inlineStr">
        <is>
          <t>Completion / IPO / scope</t>
        </is>
      </c>
      <c r="D93" s="353" t="inlineStr">
        <is>
          <t>Rheinmetall</t>
        </is>
      </c>
      <c r="E93" s="353" t="inlineStr">
        <is>
          <t>https://www.rheinmetall.com/en/media/news-watch/news/2026/03/2026-03-02-rheinmetall-takes-over-nvl</t>
        </is>
      </c>
      <c r="F93" s="353" t="inlineStr">
        <is>
          <t>None used</t>
        </is>
      </c>
      <c r="G93" s="353" t="inlineStr">
        <is>
          <t>2026-08-02</t>
        </is>
      </c>
      <c r="H93" s="353" t="inlineStr">
        <is>
          <t>Retain under strict scope; completed transaction and primary A&amp;D focus are supported by the cited source.</t>
        </is>
      </c>
    </row>
    <row r="94" ht="45" customHeight="1">
      <c r="A94" s="353" t="inlineStr">
        <is>
          <t>EUR-097</t>
        </is>
      </c>
      <c r="B94" s="353" t="inlineStr">
        <is>
          <t>Forged Solutions Group, Inc.</t>
        </is>
      </c>
      <c r="C94" s="353" t="inlineStr">
        <is>
          <t>Completion / IPO / scope</t>
        </is>
      </c>
      <c r="D94" s="353" t="inlineStr">
        <is>
          <t>J.F. Lehman &amp; Company</t>
        </is>
      </c>
      <c r="E94" s="353" t="inlineStr">
        <is>
          <t>https://www.jflco.com/news-article/189/jf-lehmancompany-completes-acquisition-of-forged-solutions-group</t>
        </is>
      </c>
      <c r="F94" s="353" t="inlineStr">
        <is>
          <t>None used</t>
        </is>
      </c>
      <c r="G94" s="353" t="inlineStr">
        <is>
          <t>2026-08-02</t>
        </is>
      </c>
      <c r="H94" s="353" t="inlineStr">
        <is>
          <t>Retain under strict scope; completed transaction and primary A&amp;D focus are supported by the cited source.</t>
        </is>
      </c>
    </row>
    <row r="95" ht="45" customHeight="1">
      <c r="A95" s="353" t="inlineStr">
        <is>
          <t>EUR-098</t>
        </is>
      </c>
      <c r="B95" s="353" t="inlineStr">
        <is>
          <t>Poseidon Diving Group AB</t>
        </is>
      </c>
      <c r="C95" s="353" t="inlineStr">
        <is>
          <t>Completion / IPO / scope</t>
        </is>
      </c>
      <c r="D95" s="353" t="inlineStr">
        <is>
          <t>Argo Defence Group</t>
        </is>
      </c>
      <c r="E95" s="353" t="inlineStr">
        <is>
          <t>https://argodefence.se/mfn_news/argo-defence-group-completes-the-acquisition-of-poseidon-diving-group-ab/</t>
        </is>
      </c>
      <c r="F95" s="353" t="inlineStr">
        <is>
          <t>None used</t>
        </is>
      </c>
      <c r="G95" s="353" t="inlineStr">
        <is>
          <t>2026-08-02</t>
        </is>
      </c>
      <c r="H95" s="353" t="inlineStr">
        <is>
          <t>Replace full-acquisition wording with 99.55% acquired.</t>
        </is>
      </c>
    </row>
    <row r="96" ht="45" customHeight="1">
      <c r="A96" s="353" t="inlineStr">
        <is>
          <t>EUR-099</t>
        </is>
      </c>
      <c r="B96" s="353" t="inlineStr">
        <is>
          <t>Lúnasa Space</t>
        </is>
      </c>
      <c r="C96" s="353" t="inlineStr">
        <is>
          <t>Completion / IPO / scope</t>
        </is>
      </c>
      <c r="D96" s="353" t="inlineStr">
        <is>
          <t>Infinite Orbits</t>
        </is>
      </c>
      <c r="E96" s="353" t="inlineStr">
        <is>
          <t>https://www.infiniteorbits.io/post/infinite-orbits-expands-into-the-uk</t>
        </is>
      </c>
      <c r="F96" s="353" t="inlineStr">
        <is>
          <t>None used</t>
        </is>
      </c>
      <c r="G96" s="353" t="inlineStr">
        <is>
          <t>2026-08-02</t>
        </is>
      </c>
      <c r="H96" s="353" t="inlineStr">
        <is>
          <t>Retain under strict scope; completed transaction and primary A&amp;D focus are supported by the cited source.</t>
        </is>
      </c>
    </row>
    <row r="97" ht="45" customHeight="1">
      <c r="A97" s="353" t="inlineStr">
        <is>
          <t>EUR-100</t>
        </is>
      </c>
      <c r="B97" s="353" t="inlineStr">
        <is>
          <t>Gabler Group AG</t>
        </is>
      </c>
      <c r="C97" s="353" t="inlineStr">
        <is>
          <t>Completion / IPO / scope</t>
        </is>
      </c>
      <c r="D97" s="353" t="inlineStr">
        <is>
          <t>Deutsche Börse</t>
        </is>
      </c>
      <c r="E97" s="353" t="inlineStr">
        <is>
          <t>https://www.cashmarket.deutsche-boerse.com/cash-en/Data-Tech/statistics/New-Companies/Gabler-Group-AG-4975180</t>
        </is>
      </c>
      <c r="F97" s="353" t="inlineStr">
        <is>
          <t>None used</t>
        </is>
      </c>
      <c r="G97" s="353" t="inlineStr">
        <is>
          <t>2026-08-02</t>
        </is>
      </c>
      <c r="H97" s="353" t="inlineStr">
        <is>
          <t>Retain under strict scope; completed transaction and primary A&amp;D focus are supported by the cited source.</t>
        </is>
      </c>
    </row>
    <row r="98" ht="45" customHeight="1">
      <c r="A98" s="353" t="inlineStr">
        <is>
          <t>EUR-101</t>
        </is>
      </c>
      <c r="B98" s="353" t="inlineStr">
        <is>
          <t>Rotron Aerospace Ltd</t>
        </is>
      </c>
      <c r="C98" s="353" t="inlineStr">
        <is>
          <t>Completion / IPO / scope</t>
        </is>
      </c>
      <c r="D98" s="353" t="inlineStr">
        <is>
          <t>Ondas Holdings</t>
        </is>
      </c>
      <c r="E98" s="353" t="inlineStr">
        <is>
          <t>https://ir.ondas.com/press-releases/detail/291/ondas-completes-acquisition-of-rotron-aerospace-ltd</t>
        </is>
      </c>
      <c r="F98" s="353" t="inlineStr">
        <is>
          <t>None used</t>
        </is>
      </c>
      <c r="G98" s="353" t="inlineStr">
        <is>
          <t>2026-08-02</t>
        </is>
      </c>
      <c r="H98" s="353" t="inlineStr">
        <is>
          <t>Retain under strict scope; completed transaction and primary A&amp;D focus are supported by the cited source.</t>
        </is>
      </c>
    </row>
    <row r="99" ht="45" customHeight="1">
      <c r="A99" s="353" t="inlineStr">
        <is>
          <t>EUR-102</t>
        </is>
      </c>
      <c r="B99" s="353" t="inlineStr">
        <is>
          <t>Iveco Group defence business, including Iveco Defence Vehicles</t>
        </is>
      </c>
      <c r="C99" s="353" t="inlineStr">
        <is>
          <t>Completion / IPO / scope</t>
        </is>
      </c>
      <c r="D99" s="353" t="inlineStr">
        <is>
          <t>Leonardo</t>
        </is>
      </c>
      <c r="E99" s="353" t="inlineStr">
        <is>
          <t>https://www.leonardo.com/en/press-release-detail/-/detail/18-03-2026-leonardo-completes-the-acquisition-of-iveco-group-s-defence-business</t>
        </is>
      </c>
      <c r="F99" s="353" t="inlineStr">
        <is>
          <t>https://www.leonardo.com/documents/15646808/0/LDO_Iveco_CS_ENG_30_07_2025.pdf?t=1753892240159</t>
        </is>
      </c>
      <c r="G99" s="353" t="inlineStr">
        <is>
          <t>2026-08-02</t>
        </is>
      </c>
      <c r="H99" s="353" t="inlineStr">
        <is>
          <t>Move out of the 2025 completed set and into 2026. Promoted to the completed population because the transaction legally closed by the 2026-08-02 cutoff.</t>
        </is>
      </c>
    </row>
    <row r="100" ht="45" customHeight="1">
      <c r="A100" s="353" t="inlineStr">
        <is>
          <t>EUR-103</t>
        </is>
      </c>
      <c r="B100" s="353" t="inlineStr">
        <is>
          <t>STI Enterprises Holdings</t>
        </is>
      </c>
      <c r="C100" s="353" t="inlineStr">
        <is>
          <t>Completion / IPO / scope</t>
        </is>
      </c>
      <c r="D100" s="353" t="inlineStr">
        <is>
          <t>NOTE AB</t>
        </is>
      </c>
      <c r="E100" s="353" t="inlineStr">
        <is>
          <t>https://www.note-ems.com/en/press-release/note-strengthens-position-in-defence-through-acquisition-of-sti-uks-leading-ems-defence-industry-partner-reaffirms-2026-outlook-and-announces-q1-outlook/</t>
        </is>
      </c>
      <c r="F100" s="353" t="inlineStr">
        <is>
          <t>None used</t>
        </is>
      </c>
      <c r="G100" s="353" t="inlineStr">
        <is>
          <t>2026-08-02</t>
        </is>
      </c>
      <c r="H100" s="353" t="inlineStr">
        <is>
          <t>Retain under strict scope; completed transaction and primary A&amp;D focus are supported by the cited source.</t>
        </is>
      </c>
    </row>
    <row r="101" ht="45" customHeight="1">
      <c r="A101" s="353" t="inlineStr">
        <is>
          <t>EUR-104</t>
        </is>
      </c>
      <c r="B101" s="353" t="inlineStr">
        <is>
          <t>VINCORION (FRA: V1NC)</t>
        </is>
      </c>
      <c r="C101" s="353" t="inlineStr">
        <is>
          <t>Completion / IPO / scope</t>
        </is>
      </c>
      <c r="D101" s="353" t="inlineStr">
        <is>
          <t>Deutsche Börse</t>
        </is>
      </c>
      <c r="E101" s="353" t="inlineStr">
        <is>
          <t>https://live.deutsche-boerse.com/news/vincorion-se-joins-the-prime-standard-segment-of-the-frankfurt-stock-exchange</t>
        </is>
      </c>
      <c r="F101" s="353" t="inlineStr">
        <is>
          <t>None used</t>
        </is>
      </c>
      <c r="G101" s="353" t="inlineStr">
        <is>
          <t>2026-08-02</t>
        </is>
      </c>
      <c r="H101" s="353" t="inlineStr">
        <is>
          <t>Retain under strict scope; completed transaction and primary A&amp;D focus are supported by the cited source.</t>
        </is>
      </c>
    </row>
    <row r="102" ht="45" customHeight="1">
      <c r="A102" s="353" t="inlineStr">
        <is>
          <t>EUR-105</t>
        </is>
      </c>
      <c r="B102" s="353" t="inlineStr">
        <is>
          <t>AiviewGroup</t>
        </is>
      </c>
      <c r="C102" s="353" t="inlineStr">
        <is>
          <t>Completion / IPO / scope</t>
        </is>
      </c>
      <c r="D102" s="353" t="inlineStr">
        <is>
          <t>ENAV</t>
        </is>
      </c>
      <c r="E102" s="353" t="inlineStr">
        <is>
          <t>https://www.enav.it/en/node/18571</t>
        </is>
      </c>
      <c r="F102" s="353" t="inlineStr">
        <is>
          <t>None used</t>
        </is>
      </c>
      <c r="G102" s="353" t="inlineStr">
        <is>
          <t>2026-08-02</t>
        </is>
      </c>
      <c r="H102" s="353" t="inlineStr">
        <is>
          <t>Replace ownership and seller fields: ENAV acquired 85%, not 100%; the Italian Ministry was not the seller.</t>
        </is>
      </c>
    </row>
    <row r="103" ht="45" customHeight="1">
      <c r="A103" s="353" t="inlineStr">
        <is>
          <t>EUR-106</t>
        </is>
      </c>
      <c r="B103" s="353" t="inlineStr">
        <is>
          <t>Scandinavian Seaplanes Oy / Atol Aviation</t>
        </is>
      </c>
      <c r="C103" s="353" t="inlineStr">
        <is>
          <t>Completion / IPO / scope</t>
        </is>
      </c>
      <c r="D103" s="353" t="inlineStr">
        <is>
          <t>Atol Aviation</t>
        </is>
      </c>
      <c r="E103" s="353" t="inlineStr">
        <is>
          <t>https://www.atolaviation.com/atol_news_blog31mar2026.html</t>
        </is>
      </c>
      <c r="F103" s="353" t="inlineStr">
        <is>
          <t>None used</t>
        </is>
      </c>
      <c r="G103" s="353" t="inlineStr">
        <is>
          <t>2026-08-02</t>
        </is>
      </c>
      <c r="H103" s="353" t="inlineStr">
        <is>
          <t>Retain under strict scope; completed transaction and primary A&amp;D focus are supported by the cited source.</t>
        </is>
      </c>
    </row>
    <row r="104" ht="45" customHeight="1">
      <c r="A104" s="353" t="inlineStr">
        <is>
          <t>EUR-107</t>
        </is>
      </c>
      <c r="B104" s="353" t="inlineStr">
        <is>
          <t>JOWO Systemtechnik AG</t>
        </is>
      </c>
      <c r="C104" s="353" t="inlineStr">
        <is>
          <t>Completion / IPO / scope</t>
        </is>
      </c>
      <c r="D104" s="353" t="inlineStr">
        <is>
          <t>Nasdaq issuer release</t>
        </is>
      </c>
      <c r="E104" s="353" t="inlineStr">
        <is>
          <t>https://view.news.eu.nasdaq.com/view?id=b25a24b7060727c77d7454fb182ec8524&amp;lang=en&amp;src=micro</t>
        </is>
      </c>
      <c r="F104" s="353" t="inlineStr">
        <is>
          <t>None used</t>
        </is>
      </c>
      <c r="G104" s="353" t="inlineStr">
        <is>
          <t>2026-08-02</t>
        </is>
      </c>
      <c r="H104" s="353" t="inlineStr">
        <is>
          <t>Retain under strict scope; completed transaction and primary A&amp;D focus are supported by the cited source.</t>
        </is>
      </c>
    </row>
    <row r="105" ht="45" customHeight="1">
      <c r="A105" s="353" t="inlineStr">
        <is>
          <t>EUR-108</t>
        </is>
      </c>
      <c r="B105" s="353" t="inlineStr">
        <is>
          <t>Smiths Interconnect</t>
        </is>
      </c>
      <c r="C105" s="353" t="inlineStr">
        <is>
          <t>Completion / IPO / scope</t>
        </is>
      </c>
      <c r="D105" s="353" t="inlineStr">
        <is>
          <t>Smiths Group</t>
        </is>
      </c>
      <c r="E105" s="353" t="inlineStr">
        <is>
          <t>https://www.smiths.com/news-and-insights/news/2026/completion-of-smiths-interconnect-sale</t>
        </is>
      </c>
      <c r="F105" s="353" t="inlineStr">
        <is>
          <t>None used</t>
        </is>
      </c>
      <c r="G105" s="353" t="inlineStr">
        <is>
          <t>2026-08-02</t>
        </is>
      </c>
      <c r="H105" s="353" t="inlineStr">
        <is>
          <t>Replace chronology: 16 October 2025 was announcement; completion was 1 April 2026.</t>
        </is>
      </c>
    </row>
    <row r="106" ht="45" customHeight="1">
      <c r="A106" s="353" t="inlineStr">
        <is>
          <t>EUR-109</t>
        </is>
      </c>
      <c r="B106" s="353" t="inlineStr">
        <is>
          <t>Texelis Defense (renamed KNDS Mobility)</t>
        </is>
      </c>
      <c r="C106" s="353" t="inlineStr">
        <is>
          <t>Completion / IPO / scope</t>
        </is>
      </c>
      <c r="D106" s="353" t="inlineStr">
        <is>
          <t>KNDS</t>
        </is>
      </c>
      <c r="E106" s="353" t="inlineStr">
        <is>
          <t>https://knds.com/en/press-releases/texelis-defense-becomes-knds-mobility-and-joins-the-european-leader-in-land-defense</t>
        </is>
      </c>
      <c r="F106" s="353" t="inlineStr">
        <is>
          <t>None used</t>
        </is>
      </c>
      <c r="G106" s="353" t="inlineStr">
        <is>
          <t>2026-08-02</t>
        </is>
      </c>
      <c r="H106" s="353" t="inlineStr">
        <is>
          <t>Retain under strict scope; completed transaction and primary A&amp;D focus are supported by the cited source.</t>
        </is>
      </c>
    </row>
    <row r="107" ht="45" customHeight="1">
      <c r="A107" s="353" t="inlineStr">
        <is>
          <t>EUR-110</t>
        </is>
      </c>
      <c r="B107" s="353" t="inlineStr">
        <is>
          <t>AeroDesignWorks GmbH</t>
        </is>
      </c>
      <c r="C107" s="353" t="inlineStr">
        <is>
          <t>Completion / IPO / scope</t>
        </is>
      </c>
      <c r="D107" s="353" t="inlineStr">
        <is>
          <t>MTU Aero Engines</t>
        </is>
      </c>
      <c r="E107" s="353" t="inlineStr">
        <is>
          <t>https://www.mtu.de/newsroom/press/latest-press-releases/press-release-detail/mtu-aero-engines-expands-its-portfolio-to-include-uav-propulsion-systems/</t>
        </is>
      </c>
      <c r="F107" s="353" t="inlineStr">
        <is>
          <t>None used</t>
        </is>
      </c>
      <c r="G107" s="353" t="inlineStr">
        <is>
          <t>2026-08-02</t>
        </is>
      </c>
      <c r="H107" s="353" t="inlineStr">
        <is>
          <t>Replace status: the official MTU release states MTU acquired 100%; treat 8 April as completed.</t>
        </is>
      </c>
    </row>
    <row r="108" ht="45" customHeight="1">
      <c r="A108" s="353" t="inlineStr">
        <is>
          <t>EUR-111</t>
        </is>
      </c>
      <c r="B108" s="353" t="inlineStr">
        <is>
          <t>Mynaric (STU: M0Y)</t>
        </is>
      </c>
      <c r="C108" s="353" t="inlineStr">
        <is>
          <t>Completion / IPO / scope</t>
        </is>
      </c>
      <c r="D108" s="353" t="inlineStr">
        <is>
          <t>Rocket Lab SEC filing</t>
        </is>
      </c>
      <c r="E108" s="353" t="inlineStr">
        <is>
          <t>https://investors.rocketlabcorp.com/static-files/28eab5d7-0a30-4c60-a5ba-1b85e980450d</t>
        </is>
      </c>
      <c r="F108" s="353" t="inlineStr">
        <is>
          <t>None used</t>
        </is>
      </c>
      <c r="G108" s="353" t="inlineStr">
        <is>
          <t>2026-08-02</t>
        </is>
      </c>
      <c r="H108" s="353" t="inlineStr">
        <is>
          <t>Replace date/value: regulatory approval was 30 March, but closing was 14 April; aggregate consideration was USD 155.3m.</t>
        </is>
      </c>
    </row>
    <row r="109" ht="45" customHeight="1">
      <c r="A109" s="353" t="inlineStr">
        <is>
          <t>EUR-112</t>
        </is>
      </c>
      <c r="B109" s="353" t="inlineStr">
        <is>
          <t>Starion Group</t>
        </is>
      </c>
      <c r="C109" s="353" t="inlineStr">
        <is>
          <t>Completion / IPO / scope</t>
        </is>
      </c>
      <c r="D109" s="353" t="inlineStr">
        <is>
          <t>Starion Group</t>
        </is>
      </c>
      <c r="E109" s="353" t="inlineStr">
        <is>
          <t>https://www.stariongroup.eu/completion-of-starion-and-nexova-acquisitions/</t>
        </is>
      </c>
      <c r="F109" s="353" t="inlineStr">
        <is>
          <t>None used</t>
        </is>
      </c>
      <c r="G109" s="353" t="inlineStr">
        <is>
          <t>2026-08-02</t>
        </is>
      </c>
      <c r="H109" s="353" t="inlineStr">
        <is>
          <t>Retain under strict scope; completed transaction and primary A&amp;D focus are supported by the cited source.</t>
        </is>
      </c>
    </row>
    <row r="110" ht="45" customHeight="1">
      <c r="A110" s="353" t="inlineStr">
        <is>
          <t>EUR-114</t>
        </is>
      </c>
      <c r="B110" s="353" t="inlineStr">
        <is>
          <t>Gauzy SAS / Vision Systems aeronautical activities</t>
        </is>
      </c>
      <c r="C110" s="353" t="inlineStr">
        <is>
          <t>Completion / IPO / scope</t>
        </is>
      </c>
      <c r="D110" s="353" t="inlineStr">
        <is>
          <t>Clayens</t>
        </is>
      </c>
      <c r="E110" s="353" t="inlineStr">
        <is>
          <t>https://www.clayens.com/en/sintex-group-news/clayens-announces-acquisition-aeronautical-activities-gauzy-sasvision-systems-and</t>
        </is>
      </c>
      <c r="F110" s="353" t="inlineStr">
        <is>
          <t>None used</t>
        </is>
      </c>
      <c r="G110" s="353" t="inlineStr">
        <is>
          <t>2026-08-02</t>
        </is>
      </c>
      <c r="H110" s="353" t="inlineStr">
        <is>
          <t>Retain under strict scope; completed transaction and primary A&amp;D focus are supported by the cited source.</t>
        </is>
      </c>
    </row>
    <row r="111" ht="45" customHeight="1">
      <c r="A111" s="353" t="inlineStr">
        <is>
          <t>EUR-115</t>
        </is>
      </c>
      <c r="B111" s="353" t="inlineStr">
        <is>
          <t>Aston Harald Mekaniska Verkstad AB</t>
        </is>
      </c>
      <c r="C111" s="353" t="inlineStr">
        <is>
          <t>Completion / IPO / scope</t>
        </is>
      </c>
      <c r="D111" s="353" t="inlineStr">
        <is>
          <t>BAE Systems</t>
        </is>
      </c>
      <c r="E111" s="353" t="inlineStr">
        <is>
          <t>https://www.baesystems.com/en-uk/article/bae-systems-has-entered-into-an-agreement-to-acquire-aston-harald-mekaniska-verkstad</t>
        </is>
      </c>
      <c r="F111" s="353" t="inlineStr">
        <is>
          <t>None used</t>
        </is>
      </c>
      <c r="G111" s="353" t="inlineStr">
        <is>
          <t>2026-08-02</t>
        </is>
      </c>
      <c r="H111" s="353" t="inlineStr">
        <is>
          <t>Retain under strict scope; completed transaction and primary A&amp;D focus are supported by the cited source.</t>
        </is>
      </c>
    </row>
    <row r="112" ht="45" customHeight="1">
      <c r="A112" s="353" t="inlineStr">
        <is>
          <t>EUR-116</t>
        </is>
      </c>
      <c r="B112" s="353" t="inlineStr">
        <is>
          <t>Hevi Optronics OÜ</t>
        </is>
      </c>
      <c r="C112" s="353" t="inlineStr">
        <is>
          <t>Completion / IPO / scope</t>
        </is>
      </c>
      <c r="D112" s="353" t="inlineStr">
        <is>
          <t>Estonian Competition Authority</t>
        </is>
      </c>
      <c r="E112" s="353" t="inlineStr">
        <is>
          <t>https://www.konkurentsiamet.ee/sites/default/files/documents/2026-04/31.03.2026%20otsus%20nr%205-5-2026-011.pdf</t>
        </is>
      </c>
      <c r="F112" s="353" t="inlineStr">
        <is>
          <t>None used</t>
        </is>
      </c>
      <c r="G112" s="353" t="inlineStr">
        <is>
          <t>2026-08-02</t>
        </is>
      </c>
      <c r="H112" s="353" t="inlineStr">
        <is>
          <t>Confirmed omission. Agreement signed 28 February, competition approval granted 31 March, and 60% ownership/control registered effective 20 May 2026.</t>
        </is>
      </c>
    </row>
    <row r="113" ht="45" customHeight="1">
      <c r="A113" s="353" t="inlineStr">
        <is>
          <t>EUR-117</t>
        </is>
      </c>
      <c r="B113" s="353" t="inlineStr">
        <is>
          <t>MARSS Defence business</t>
        </is>
      </c>
      <c r="C113" s="353" t="inlineStr">
        <is>
          <t>Completion / IPO / scope</t>
        </is>
      </c>
      <c r="D113" s="353" t="inlineStr">
        <is>
          <t>Electro Optic Systems ASX announcement</t>
        </is>
      </c>
      <c r="E113" s="353" t="inlineStr">
        <is>
          <t>https://announcements.asx.com.au/asxpdf/20260615/pdf/070mkbmp09kxd3.pdf</t>
        </is>
      </c>
      <c r="F113" s="353" t="inlineStr">
        <is>
          <t>https://marss.com/about/news/electro-optic-systems-completes-acquisition-of-marss-creating-an-integrated-global-counter-drone-powerhouse/</t>
        </is>
      </c>
      <c r="G113" s="353" t="inlineStr">
        <is>
          <t>2026-08-02</t>
        </is>
      </c>
      <c r="H113" s="353" t="inlineStr">
        <is>
          <t>Confirmed omission. EOS reported completion on 21 May 2026; included because the approved policy admits identifiable operating-business acquisitions, not only share deals.</t>
        </is>
      </c>
    </row>
    <row r="114" ht="45" customHeight="1">
      <c r="A114" s="353" t="inlineStr">
        <is>
          <t>EUR-118</t>
        </is>
      </c>
      <c r="B114" s="353" t="inlineStr">
        <is>
          <t>KT-Shelter Oy</t>
        </is>
      </c>
      <c r="C114" s="353" t="inlineStr">
        <is>
          <t>Completion / IPO / scope</t>
        </is>
      </c>
      <c r="D114" s="353" t="inlineStr">
        <is>
          <t>W5 Solutions</t>
        </is>
      </c>
      <c r="E114" s="353" t="inlineStr">
        <is>
          <t>https://w5solutions.com/mfn_news/w5-solutions-completes-the-acquisition-of-kt-shelter/</t>
        </is>
      </c>
      <c r="F114" s="353" t="inlineStr">
        <is>
          <t>None used</t>
        </is>
      </c>
      <c r="G114" s="353" t="inlineStr">
        <is>
          <t>2026-08-02</t>
        </is>
      </c>
      <c r="H114" s="353" t="inlineStr">
        <is>
          <t>Replace consideration basis with EUR 22m upfront plus up to EUR 4m earn-out.</t>
        </is>
      </c>
    </row>
    <row r="115" ht="45" customHeight="1">
      <c r="A115" s="353" t="inlineStr">
        <is>
          <t>EUR-113</t>
        </is>
      </c>
      <c r="B115" s="353" t="inlineStr">
        <is>
          <t>Tethys</t>
        </is>
      </c>
      <c r="C115" s="353" t="inlineStr">
        <is>
          <t>Completion / IPO / scope</t>
        </is>
      </c>
      <c r="D115" s="353" t="inlineStr">
        <is>
          <t>Abenex</t>
        </is>
      </c>
      <c r="E115" s="353" t="inlineStr">
        <is>
          <t>https://www.abenex.com/en/publications/abenex-acquires-tethys</t>
        </is>
      </c>
      <c r="F115" s="353" t="inlineStr">
        <is>
          <t>None used</t>
        </is>
      </c>
      <c r="G115" s="353" t="inlineStr">
        <is>
          <t>2026-08-02</t>
        </is>
      </c>
      <c r="H115" s="353" t="inlineStr">
        <is>
          <t>Retain under strict scope; completed transaction and primary A&amp;D focus are supported by the cited source.</t>
        </is>
      </c>
    </row>
    <row r="116" ht="45" customHeight="1">
      <c r="A116" s="353" t="inlineStr">
        <is>
          <t>EUR-119</t>
        </is>
      </c>
      <c r="B116" s="353" t="inlineStr">
        <is>
          <t>Nedinsco</t>
        </is>
      </c>
      <c r="C116" s="353" t="inlineStr">
        <is>
          <t>Completion / IPO / scope</t>
        </is>
      </c>
      <c r="D116" s="353" t="inlineStr">
        <is>
          <t>HENSOLDT</t>
        </is>
      </c>
      <c r="E116" s="353" t="inlineStr">
        <is>
          <t>https://investors.hensoldt.net/news/hensoldt-uebernimmt-nedinsco-und-baut-seine-praesenz-in-europa-aus/ba1a6bf4-f402-495d-b9c4-542c4b6172d1</t>
        </is>
      </c>
      <c r="F116" s="353" t="inlineStr">
        <is>
          <t>None used</t>
        </is>
      </c>
      <c r="G116" s="353" t="inlineStr">
        <is>
          <t>2026-08-02</t>
        </is>
      </c>
      <c r="H116" s="353" t="inlineStr">
        <is>
          <t>Retain under strict scope; completed transaction and primary A&amp;D focus are supported by the cited source.</t>
        </is>
      </c>
    </row>
    <row r="117" ht="45" customHeight="1">
      <c r="A117" s="353" t="inlineStr">
        <is>
          <t>EUR-120</t>
        </is>
      </c>
      <c r="B117" s="353" t="inlineStr">
        <is>
          <t>Automecanica S.A.</t>
        </is>
      </c>
      <c r="C117" s="353" t="inlineStr">
        <is>
          <t>Completion / IPO / scope</t>
        </is>
      </c>
      <c r="D117" s="353" t="inlineStr">
        <is>
          <t>Otokar</t>
        </is>
      </c>
      <c r="E117" s="353" t="inlineStr">
        <is>
          <t>https://www.otokar.com.tr/news/daily-news/otokar-finalizes-automecanica-deal-and-is-ready-to-deliver-romanian-made-cobra-ii-vehicles</t>
        </is>
      </c>
      <c r="F117" s="353" t="inlineStr">
        <is>
          <t>None used</t>
        </is>
      </c>
      <c r="G117" s="353" t="inlineStr">
        <is>
          <t>2026-08-02</t>
        </is>
      </c>
      <c r="H117" s="353" t="inlineStr">
        <is>
          <t>Replace ownership/date chronology: signed 29 April and completed 3 June at 96.77%.</t>
        </is>
      </c>
    </row>
    <row r="118" ht="45" customHeight="1">
      <c r="A118" s="353" t="inlineStr">
        <is>
          <t>EUR-121</t>
        </is>
      </c>
      <c r="B118" s="353" t="inlineStr">
        <is>
          <t>Cook Defence Systems and related entities</t>
        </is>
      </c>
      <c r="C118" s="353" t="inlineStr">
        <is>
          <t>Completion / IPO / scope</t>
        </is>
      </c>
      <c r="D118" s="353" t="inlineStr">
        <is>
          <t>HEICO</t>
        </is>
      </c>
      <c r="E118" s="353" t="inlineStr">
        <is>
          <t>https://heico.com/2026/06/03/heico-corporation-acquires-key-supplier-of-armored-vehicle-track-systems/</t>
        </is>
      </c>
      <c r="F118" s="353" t="inlineStr">
        <is>
          <t>None used</t>
        </is>
      </c>
      <c r="G118" s="353" t="inlineStr">
        <is>
          <t>2026-08-02</t>
        </is>
      </c>
      <c r="H118" s="353" t="inlineStr">
        <is>
          <t>Retain under strict scope; completed transaction and primary A&amp;D focus are supported by the cited source.</t>
        </is>
      </c>
    </row>
    <row r="119" ht="45" customHeight="1">
      <c r="A119" s="353" t="inlineStr">
        <is>
          <t>EUR-122</t>
        </is>
      </c>
      <c r="B119" s="353" t="inlineStr">
        <is>
          <t>Frydenbø Milpro AS</t>
        </is>
      </c>
      <c r="C119" s="353" t="inlineStr">
        <is>
          <t>Completion / IPO / scope</t>
        </is>
      </c>
      <c r="D119" s="353" t="inlineStr">
        <is>
          <t>Issuer release via MFN</t>
        </is>
      </c>
      <c r="E119" s="353" t="inlineStr">
        <is>
          <t>https://mfn.se/ob/a/fjord-defence-group/fjord-defence-group-asa-successful-completion-of-acquisition-of-frydenbo-milpro-53ce9cf1.iframe</t>
        </is>
      </c>
      <c r="F119" s="353" t="inlineStr">
        <is>
          <t>None used</t>
        </is>
      </c>
      <c r="G119" s="353" t="inlineStr">
        <is>
          <t>2026-08-02</t>
        </is>
      </c>
      <c r="H119" s="353" t="inlineStr">
        <is>
          <t>Replace consideration with NOK 168.2m adjusted amount at completion.</t>
        </is>
      </c>
    </row>
    <row r="120" ht="45" customHeight="1">
      <c r="A120" s="353" t="inlineStr">
        <is>
          <t>EUR-123</t>
        </is>
      </c>
      <c r="B120" s="353" t="inlineStr">
        <is>
          <t>Nordic Shield Group AB</t>
        </is>
      </c>
      <c r="C120" s="353" t="inlineStr">
        <is>
          <t>Completion / IPO / scope</t>
        </is>
      </c>
      <c r="D120" s="353" t="inlineStr">
        <is>
          <t>Issuer release via MFN</t>
        </is>
      </c>
      <c r="E120" s="353" t="inlineStr">
        <is>
          <t>https://www.mfn.se/a/scandinavian-astor-group/astor-group-completes-the-acquisition-of-nordic-shield-group</t>
        </is>
      </c>
      <c r="F120" s="353" t="inlineStr">
        <is>
          <t>None used</t>
        </is>
      </c>
      <c r="G120" s="353" t="inlineStr">
        <is>
          <t>2026-08-02</t>
        </is>
      </c>
      <c r="H120" s="353" t="inlineStr">
        <is>
          <t>Retain under strict scope; completed transaction and primary A&amp;D focus are supported by the cited source.</t>
        </is>
      </c>
    </row>
    <row r="121" ht="45" customHeight="1">
      <c r="A121" s="353" t="inlineStr">
        <is>
          <t>EUR-124</t>
        </is>
      </c>
      <c r="B121" s="353" t="inlineStr">
        <is>
          <t>Savox Communications Plc</t>
        </is>
      </c>
      <c r="C121" s="353" t="inlineStr">
        <is>
          <t>Completion / IPO / scope</t>
        </is>
      </c>
      <c r="D121" s="353" t="inlineStr">
        <is>
          <t>Nasdaq issuer release</t>
        </is>
      </c>
      <c r="E121" s="353" t="inlineStr">
        <is>
          <t>https://view.news.eu.nasdaq.com/view?id=b324b516dbc32b72a07369b2fa6a96d9d&amp;lang=en&amp;src=listed</t>
        </is>
      </c>
      <c r="F121" s="353" t="inlineStr">
        <is>
          <t>None used</t>
        </is>
      </c>
      <c r="G121" s="353" t="inlineStr">
        <is>
          <t>2026-08-02</t>
        </is>
      </c>
      <c r="H121" s="353" t="inlineStr">
        <is>
          <t>Retain under strict scope; completed transaction and primary A&amp;D focus are supported by the cited source.</t>
        </is>
      </c>
    </row>
    <row r="122" ht="45" customHeight="1">
      <c r="A122" s="353" t="inlineStr">
        <is>
          <t>EUR-126</t>
        </is>
      </c>
      <c r="B122" s="353" t="inlineStr">
        <is>
          <t>VoltAero assets and operations</t>
        </is>
      </c>
      <c r="C122" s="353" t="inlineStr">
        <is>
          <t>Completion / IPO / scope</t>
        </is>
      </c>
      <c r="D122" s="353" t="inlineStr">
        <is>
          <t>AURA AERO</t>
        </is>
      </c>
      <c r="E122" s="353" t="inlineStr">
        <is>
          <t>https://www.aura-aero.com/en/actualites/aura-aero-reprend-voltaero-et-acc%C3%A9l%C3%A8re-la-d%C3%A9carbonation-de-l%27aviation</t>
        </is>
      </c>
      <c r="F122" s="353" t="inlineStr">
        <is>
          <t>None used</t>
        </is>
      </c>
      <c r="G122" s="353" t="inlineStr">
        <is>
          <t>2026-08-02</t>
        </is>
      </c>
      <c r="H122" s="353" t="inlineStr">
        <is>
          <t>Retain under strict scope; completed transaction and primary A&amp;D focus are supported by the cited source.</t>
        </is>
      </c>
    </row>
    <row r="123" ht="45" customHeight="1">
      <c r="A123" s="353" t="inlineStr">
        <is>
          <t>EUR-125</t>
        </is>
      </c>
      <c r="B123" s="353" t="inlineStr">
        <is>
          <t>DPC Holdings Limited / Doncasters (NYSE: DPC)</t>
        </is>
      </c>
      <c r="C123" s="353" t="inlineStr">
        <is>
          <t>Completion / IPO / scope</t>
        </is>
      </c>
      <c r="D123" s="353" t="inlineStr">
        <is>
          <t>Doncasters</t>
        </is>
      </c>
      <c r="E123" s="353" t="inlineStr">
        <is>
          <t>https://ir.doncasters.com/news-and-events/news/news-details/2026/Doncasters-Announces-Pricing-of-Upsized-Initial-Public-Offering/default.aspx</t>
        </is>
      </c>
      <c r="F123" s="353" t="inlineStr">
        <is>
          <t>https://www.sec.gov/Archives/edgar/data/2107018/000110465926076488/tm269965-16_s1a.htm</t>
        </is>
      </c>
      <c r="G123" s="353" t="inlineStr">
        <is>
          <t>2026-08-02</t>
        </is>
      </c>
      <c r="H123" s="353" t="inlineStr">
        <is>
          <t>Retain under strict scope. The SEC prospectus identifies the principal executive offices in Derby, United Kingdom; Jersey is the legal jurisdiction of incorporation, not the operating-headquarters country.</t>
        </is>
      </c>
    </row>
    <row r="124" ht="45" customHeight="1">
      <c r="A124" s="353" t="inlineStr">
        <is>
          <t>EUR-127</t>
        </is>
      </c>
      <c r="B124" s="353" t="inlineStr">
        <is>
          <t>European Astrotech Ltd</t>
        </is>
      </c>
      <c r="C124" s="353" t="inlineStr">
        <is>
          <t>Completion / IPO / scope</t>
        </is>
      </c>
      <c r="D124" s="353" t="inlineStr">
        <is>
          <t>European Astrotech</t>
        </is>
      </c>
      <c r="E124" s="353" t="inlineStr">
        <is>
          <t>https://www.europeanastrotech.com/news/the-exploration-company-acquires-european-astrotech-scaling-execution-capabilities-across-the-space-sector/</t>
        </is>
      </c>
      <c r="F124" s="353" t="inlineStr">
        <is>
          <t>None used</t>
        </is>
      </c>
      <c r="G124" s="353" t="inlineStr">
        <is>
          <t>2026-08-02</t>
        </is>
      </c>
      <c r="H124" s="353" t="inlineStr">
        <is>
          <t>Retain under strict scope; completed transaction and primary A&amp;D focus are supported by the cited source.</t>
        </is>
      </c>
    </row>
    <row r="125" ht="45" customHeight="1">
      <c r="A125" s="353" t="inlineStr">
        <is>
          <t>EUR-128</t>
        </is>
      </c>
      <c r="B125" s="353" t="inlineStr">
        <is>
          <t>DOK-ING (51% stake; renamed Rheinmetall Unmanned Vehicles)</t>
        </is>
      </c>
      <c r="C125" s="353" t="inlineStr">
        <is>
          <t>Completion / IPO / scope</t>
        </is>
      </c>
      <c r="D125" s="353" t="inlineStr">
        <is>
          <t>Rheinmetall</t>
        </is>
      </c>
      <c r="E125" s="353" t="inlineStr">
        <is>
          <t>https://www.rheinmetall.com/en/media/news-watch/news/2026/07/2026-07-01-rheinmetall-acquires-majority-stake-in-dok-ing</t>
        </is>
      </c>
      <c r="F125" s="353" t="inlineStr">
        <is>
          <t>None used</t>
        </is>
      </c>
      <c r="G125" s="353" t="inlineStr">
        <is>
          <t>2026-08-02</t>
        </is>
      </c>
      <c r="H125" s="353" t="inlineStr">
        <is>
          <t>Retain under strict scope; completed transaction and primary A&amp;D focus are supported by the cited source.</t>
        </is>
      </c>
    </row>
    <row r="126" ht="45" customHeight="1">
      <c r="A126" s="353" t="inlineStr">
        <is>
          <t>EUR-129</t>
        </is>
      </c>
      <c r="B126" s="353" t="inlineStr">
        <is>
          <t>ALL.SPACE</t>
        </is>
      </c>
      <c r="C126" s="353" t="inlineStr">
        <is>
          <t>Completion / IPO / scope</t>
        </is>
      </c>
      <c r="D126" s="353" t="inlineStr">
        <is>
          <t>York Space Systems</t>
        </is>
      </c>
      <c r="E126" s="353" t="inlineStr">
        <is>
          <t>https://ir.yorkspacesystems.com/news/news-details/2026/York-Space-Systems-Completes-Acquisition-of-ALL-SPACE-Delivering-Assured-Communications-and-Positioning-in-Contested-Environments/default.aspx</t>
        </is>
      </c>
      <c r="F126" s="353" t="inlineStr">
        <is>
          <t>None used</t>
        </is>
      </c>
      <c r="G126" s="353" t="inlineStr">
        <is>
          <t>2026-08-02</t>
        </is>
      </c>
      <c r="H126" s="353" t="inlineStr">
        <is>
          <t>Replace status/date: announced 30 April and completed 8 July 2026.</t>
        </is>
      </c>
    </row>
    <row r="127" ht="45" customHeight="1">
      <c r="A127" s="353" t="inlineStr">
        <is>
          <t>EUR-130</t>
        </is>
      </c>
      <c r="B127" s="353" t="inlineStr">
        <is>
          <t>SensusQ</t>
        </is>
      </c>
      <c r="C127" s="353" t="inlineStr">
        <is>
          <t>Completion / IPO / scope</t>
        </is>
      </c>
      <c r="D127" s="353" t="inlineStr">
        <is>
          <t>Quantum Systems</t>
        </is>
      </c>
      <c r="E127" s="353" t="inlineStr">
        <is>
          <t>https://quantum-systems.com/news/quantum-systems-expands-estonia/</t>
        </is>
      </c>
      <c r="F127" s="353" t="inlineStr">
        <is>
          <t>None used</t>
        </is>
      </c>
      <c r="G127" s="353" t="inlineStr">
        <is>
          <t>2026-08-02</t>
        </is>
      </c>
      <c r="H127" s="353" t="inlineStr">
        <is>
          <t>Replace structure/date support: acquisition announcement was 10 July; 100% signing evidence comes from Estonian concentration records.</t>
        </is>
      </c>
    </row>
    <row r="128" ht="45" customHeight="1">
      <c r="A128" s="353" t="inlineStr">
        <is>
          <t>EUR-131</t>
        </is>
      </c>
      <c r="B128" s="353" t="inlineStr">
        <is>
          <t>SMAG Mobile Antenna Masts AG</t>
        </is>
      </c>
      <c r="C128" s="353" t="inlineStr">
        <is>
          <t>Completion / IPO / scope</t>
        </is>
      </c>
      <c r="D128" s="353" t="inlineStr">
        <is>
          <t>Deutsche Börse</t>
        </is>
      </c>
      <c r="E128" s="353" t="inlineStr">
        <is>
          <t>https://www.cashmarket.deutsche-boerse.com/cash-en/Data-Tech/statistics/New-Companies/SMAG-Mobile-Antenna-Masts-AG-5363282</t>
        </is>
      </c>
      <c r="F128" s="353" t="inlineStr">
        <is>
          <t>None used</t>
        </is>
      </c>
      <c r="G128" s="353" t="inlineStr">
        <is>
          <t>2026-08-02</t>
        </is>
      </c>
      <c r="H128" s="353" t="inlineStr">
        <is>
          <t>Replace IPO proceeds: EUR 112.7m base placement; EUR 129.605m included a greenshoe not verified as executed.</t>
        </is>
      </c>
    </row>
    <row r="129" ht="45" customHeight="1">
      <c r="A129" s="353" t="inlineStr">
        <is>
          <t>EUR-132</t>
        </is>
      </c>
      <c r="B129" s="353" t="inlineStr">
        <is>
          <t>Active Armour Group Stockholm AB / Amigo Defence AB</t>
        </is>
      </c>
      <c r="C129" s="353" t="inlineStr">
        <is>
          <t>Completion / IPO / scope</t>
        </is>
      </c>
      <c r="D129" s="353" t="inlineStr">
        <is>
          <t>Issuer release via Mangold</t>
        </is>
      </c>
      <c r="E129" s="353" t="inlineStr">
        <is>
          <t>https://mangold.se/company-news/transfer-group-erhaller-godkannande-fran-isp-och-slutfor-forvarvet-av-amigo-defence/</t>
        </is>
      </c>
      <c r="F129" s="353" t="inlineStr">
        <is>
          <t>None used</t>
        </is>
      </c>
      <c r="G129" s="353" t="inlineStr">
        <is>
          <t>2026-08-02</t>
        </is>
      </c>
      <c r="H129" s="353" t="inlineStr">
        <is>
          <t>Retain under strict scope; completed transaction and primary A&amp;D focus are supported by the cited source.</t>
        </is>
      </c>
    </row>
    <row r="130" ht="45" customHeight="1">
      <c r="A130" s="353" t="inlineStr">
        <is>
          <t>EUR-133</t>
        </is>
      </c>
      <c r="B130" s="353" t="inlineStr">
        <is>
          <t>Bromford Precision Solutions Limited</t>
        </is>
      </c>
      <c r="C130" s="353" t="inlineStr">
        <is>
          <t>Completion / IPO / scope</t>
        </is>
      </c>
      <c r="D130" s="353" t="inlineStr">
        <is>
          <t>BSE corporate announcement</t>
        </is>
      </c>
      <c r="E130" s="353" t="inlineStr">
        <is>
          <t>https://www.bseindia.com/stock-share-price/sigma-advanced-systems-ltd/megasoft/532408/corp-announcements/</t>
        </is>
      </c>
      <c r="F130" s="353" t="inlineStr">
        <is>
          <t>None used</t>
        </is>
      </c>
      <c r="G130" s="353" t="inlineStr">
        <is>
          <t>2026-08-02</t>
        </is>
      </c>
      <c r="H130" s="353" t="inlineStr">
        <is>
          <t>Retain under strict scope; completed transaction and primary A&amp;D focus are supported by the cited source.</t>
        </is>
      </c>
    </row>
    <row r="131" ht="45" customHeight="1">
      <c r="A131" s="353" t="inlineStr">
        <is>
          <t>PEND-001</t>
        </is>
      </c>
      <c r="B131" s="353" t="inlineStr">
        <is>
          <t>Ultra Cyber Ltd</t>
        </is>
      </c>
      <c r="C131" s="353" t="inlineStr">
        <is>
          <t>Announcement / pending status</t>
        </is>
      </c>
      <c r="D131" s="353" t="inlineStr">
        <is>
          <t>Airbus</t>
        </is>
      </c>
      <c r="E131" s="353" t="inlineStr">
        <is>
          <t>https://www.airbus.com/en/newsroom/press-releases/2026-03-airbus-continues-to-strengthen-sovereign-cyber-security-with-acquisition-of-ultra-cyber-ltd-in-the</t>
        </is>
      </c>
      <c r="F131" s="353" t="inlineStr">
        <is>
          <t>None used</t>
        </is>
      </c>
      <c r="G131" s="353" t="inlineStr">
        <is>
          <t>2026-08-02</t>
        </is>
      </c>
      <c r="H131" s="353" t="inlineStr">
        <is>
          <t>Qualifying A&amp;D control transaction, but not completed by 2026-08-02; move to the pending pipeline.</t>
        </is>
      </c>
    </row>
    <row r="132" ht="45" customHeight="1">
      <c r="A132" s="353" t="inlineStr">
        <is>
          <t>PEND-002</t>
        </is>
      </c>
      <c r="B132" s="353" t="inlineStr">
        <is>
          <t>Integris Composites B.V.</t>
        </is>
      </c>
      <c r="C132" s="353" t="inlineStr">
        <is>
          <t>Announcement / pending status</t>
        </is>
      </c>
      <c r="D132" s="353" t="inlineStr">
        <is>
          <t>Triton Partners</t>
        </is>
      </c>
      <c r="E132" s="353" t="inlineStr">
        <is>
          <t>https://www.triton-partners.com/news/triton-partners-to-acquire-integris-composites</t>
        </is>
      </c>
      <c r="F132" s="353" t="inlineStr">
        <is>
          <t>None used</t>
        </is>
      </c>
      <c r="G132" s="353" t="inlineStr">
        <is>
          <t>2026-08-02</t>
        </is>
      </c>
      <c r="H132" s="353" t="inlineStr">
        <is>
          <t>Qualifying A&amp;D control transaction, but not completed by 2026-08-02; move to the pending pipeline.</t>
        </is>
      </c>
    </row>
    <row r="133" ht="45" customHeight="1">
      <c r="A133" s="353" t="inlineStr">
        <is>
          <t>PEND-003</t>
        </is>
      </c>
      <c r="B133" s="353" t="inlineStr">
        <is>
          <t>Senior plc</t>
        </is>
      </c>
      <c r="C133" s="353" t="inlineStr">
        <is>
          <t>Announcement / pending status</t>
        </is>
      </c>
      <c r="D133" s="353" t="inlineStr">
        <is>
          <t>Regulatory issuer announcement via Investegate</t>
        </is>
      </c>
      <c r="E133" s="353" t="inlineStr">
        <is>
          <t>https://www.investegate.co.uk/announcement/rns/senior--snr/recommended-cash-acquisition-of-senior-plc/9508660</t>
        </is>
      </c>
      <c r="F133" s="353" t="inlineStr">
        <is>
          <t>https://www.seniorplc.com/~/media/Files/S/Senior-PLC/reports-and-presentations/annual-report-2025.pdf</t>
        </is>
      </c>
      <c r="G133" s="353" t="inlineStr">
        <is>
          <t>2026-08-02</t>
        </is>
      </c>
      <c r="H133" s="353" t="inlineStr">
        <is>
          <t>Retain only in the pending pipeline: the proposed 100% acquisition was announced but not completed by 2026-08-02; Senior's majority Aerospace operating division establishes core sector scope.</t>
        </is>
      </c>
    </row>
    <row r="134" ht="45" customHeight="1">
      <c r="A134" s="353" t="inlineStr">
        <is>
          <t>PEND-004</t>
        </is>
      </c>
      <c r="B134" s="353" t="inlineStr">
        <is>
          <t>Quarkslab</t>
        </is>
      </c>
      <c r="C134" s="353" t="inlineStr">
        <is>
          <t>Announcement / pending status</t>
        </is>
      </c>
      <c r="D134" s="353" t="inlineStr">
        <is>
          <t>Airbus</t>
        </is>
      </c>
      <c r="E134" s="353" t="inlineStr">
        <is>
          <t>https://www.airbus.com/en/newsroom/press-releases/2026-04-airbus-strengthens-sovereign-cyber-security-with-acquisition-of-quarkslab-in-france</t>
        </is>
      </c>
      <c r="F134" s="353" t="inlineStr">
        <is>
          <t>None used</t>
        </is>
      </c>
      <c r="G134" s="353" t="inlineStr">
        <is>
          <t>2026-08-02</t>
        </is>
      </c>
      <c r="H134" s="353" t="inlineStr">
        <is>
          <t>Qualifying A&amp;D control transaction, but not completed by 2026-08-02; move to the pending pipeline.</t>
        </is>
      </c>
    </row>
    <row r="135" ht="45" customHeight="1">
      <c r="A135" s="353" t="inlineStr">
        <is>
          <t>PEND-005</t>
        </is>
      </c>
      <c r="B135" s="353" t="inlineStr">
        <is>
          <t>PartnerTech Karlskoga AB</t>
        </is>
      </c>
      <c r="C135" s="353" t="inlineStr">
        <is>
          <t>Announcement / pending status</t>
        </is>
      </c>
      <c r="D135" s="353" t="inlineStr">
        <is>
          <t>Issuer release via Inderes</t>
        </is>
      </c>
      <c r="E135" s="353" t="inlineStr">
        <is>
          <t>https://www.inderes.se/releases/fjord-defence-group-asa-acquisition-of-partnertech-and-contemplated-equity-private-placement</t>
        </is>
      </c>
      <c r="F135" s="353" t="inlineStr">
        <is>
          <t>None used</t>
        </is>
      </c>
      <c r="G135" s="353" t="inlineStr">
        <is>
          <t>2026-08-02</t>
        </is>
      </c>
      <c r="H135" s="353" t="inlineStr">
        <is>
          <t>Qualifying A&amp;D control transaction, but not completed by 2026-08-02; move to the pending pipeline.</t>
        </is>
      </c>
    </row>
    <row r="136" ht="45" customHeight="1">
      <c r="A136" s="353" t="inlineStr">
        <is>
          <t>PEND-006</t>
        </is>
      </c>
      <c r="B136" s="353" t="inlineStr">
        <is>
          <t>Exolaunch GmbH</t>
        </is>
      </c>
      <c r="C136" s="353" t="inlineStr">
        <is>
          <t>Announcement / pending status</t>
        </is>
      </c>
      <c r="D136" s="353" t="inlineStr">
        <is>
          <t>EQT issuer release via Cision</t>
        </is>
      </c>
      <c r="E136" s="353" t="inlineStr">
        <is>
          <t>https://news.cision.com/eqt/r/eqt-to-acquire-exolaunch--a-germany-based-satellite-deployment-technology-and-launch-mission-managem%2Cc4365338</t>
        </is>
      </c>
      <c r="F136" s="353" t="inlineStr">
        <is>
          <t>None used</t>
        </is>
      </c>
      <c r="G136" s="353" t="inlineStr">
        <is>
          <t>2026-08-02</t>
        </is>
      </c>
      <c r="H136" s="353" t="inlineStr">
        <is>
          <t>Qualifying A&amp;D control transaction, but not completed by 2026-08-02; move to the pending pipeline.</t>
        </is>
      </c>
    </row>
    <row r="137" ht="45" customHeight="1">
      <c r="A137" s="353" t="inlineStr">
        <is>
          <t>PEND-007</t>
        </is>
      </c>
      <c r="B137" s="353" t="inlineStr">
        <is>
          <t>Colt CZ Hungary Zrt.</t>
        </is>
      </c>
      <c r="C137" s="353" t="inlineStr">
        <is>
          <t>Announcement / pending status</t>
        </is>
      </c>
      <c r="D137" s="353" t="inlineStr">
        <is>
          <t>Colt CZ Group</t>
        </is>
      </c>
      <c r="E137" s="353" t="inlineStr">
        <is>
          <t>https://www.coltczgroup.com/en/media/press-releases/colt-cz-group-se-announces-the-sale-of-its-stake-in-subsidiary-colt-cz-hungary</t>
        </is>
      </c>
      <c r="F137" s="353" t="inlineStr">
        <is>
          <t>None used</t>
        </is>
      </c>
      <c r="G137" s="353" t="inlineStr">
        <is>
          <t>2026-08-02</t>
        </is>
      </c>
      <c r="H137" s="353" t="inlineStr">
        <is>
          <t>Qualifying A&amp;D control transaction, but not completed by 2026-08-02; move to the pending pipeline.</t>
        </is>
      </c>
    </row>
    <row r="138" ht="45" customHeight="1">
      <c r="A138" s="353" t="inlineStr">
        <is>
          <t>PEND-008</t>
        </is>
      </c>
      <c r="B138" s="353" t="inlineStr">
        <is>
          <t>PBH Teknik AB</t>
        </is>
      </c>
      <c r="C138" s="353" t="inlineStr">
        <is>
          <t>Announcement / pending status</t>
        </is>
      </c>
      <c r="D138" s="353" t="inlineStr">
        <is>
          <t>Issuer release via MFN</t>
        </is>
      </c>
      <c r="E138" s="353" t="inlineStr">
        <is>
          <t>https://mfn.se/a/scandinavian-astor-group/astor-groups-subsidiary-mikroponent-is-strengthening-its-position-in-the-swedish-defence-industry-through-the-acquisition-of-pbh-teknik.iframe</t>
        </is>
      </c>
      <c r="F138" s="353" t="inlineStr">
        <is>
          <t>None used</t>
        </is>
      </c>
      <c r="G138" s="353" t="inlineStr">
        <is>
          <t>2026-08-02</t>
        </is>
      </c>
      <c r="H138" s="353" t="inlineStr">
        <is>
          <t>Qualifying A&amp;D control transaction, but not completed by 2026-08-02; move to the pending pipeline.</t>
        </is>
      </c>
    </row>
    <row r="139" ht="45" customHeight="1">
      <c r="A139" s="353" t="inlineStr">
        <is>
          <t>PEND-009</t>
        </is>
      </c>
      <c r="B139" s="353" t="inlineStr">
        <is>
          <t>David Brown Defence (DB Defence Holdco SARL)</t>
        </is>
      </c>
      <c r="C139" s="353" t="inlineStr">
        <is>
          <t>Announcement / pending status</t>
        </is>
      </c>
      <c r="D139" s="353" t="inlineStr">
        <is>
          <t>RENK issuer release via GlobeNewswire</t>
        </is>
      </c>
      <c r="E139" s="353" t="inlineStr">
        <is>
          <t>https://www.globenewswire.com/news-release/2026/07/03/3321658/0/en/renk-group-ag-renk-enters-into-binding-agreement-for-the-acquisition-of-david-brown-defence.html</t>
        </is>
      </c>
      <c r="F139" s="353" t="inlineStr">
        <is>
          <t>None used</t>
        </is>
      </c>
      <c r="G139" s="353" t="inlineStr">
        <is>
          <t>2026-08-02</t>
        </is>
      </c>
      <c r="H139" s="353" t="inlineStr">
        <is>
          <t>Qualifying A&amp;D control transaction, but not completed by 2026-08-02; move to the pending pipeline.</t>
        </is>
      </c>
    </row>
    <row r="140" ht="45" customHeight="1">
      <c r="A140" s="353" t="inlineStr">
        <is>
          <t>PEND-010</t>
        </is>
      </c>
      <c r="B140" s="353" t="inlineStr">
        <is>
          <t>Exail Technologies</t>
        </is>
      </c>
      <c r="C140" s="353" t="inlineStr">
        <is>
          <t>Announcement / pending status</t>
        </is>
      </c>
      <c r="D140" s="353" t="inlineStr">
        <is>
          <t>Exail Technologies</t>
        </is>
      </c>
      <c r="E140" s="353" t="inlineStr">
        <is>
          <t>https://www.exail-technologies.com/thales-to-acquire-the-gorge-familys-stake-in-exail-with-a-view-to-launching-a-tender-offer-for-100-of-the-company/</t>
        </is>
      </c>
      <c r="F140" s="353" t="inlineStr">
        <is>
          <t>None used</t>
        </is>
      </c>
      <c r="G140" s="353" t="inlineStr">
        <is>
          <t>2026-08-02</t>
        </is>
      </c>
      <c r="H140" s="353" t="inlineStr">
        <is>
          <t>Qualifying A&amp;D control transaction, but not completed by 2026-08-02; move to the pending pipeline.</t>
        </is>
      </c>
    </row>
    <row r="141" ht="45" customHeight="1">
      <c r="A141" s="353" t="inlineStr">
        <is>
          <t>PEND-011</t>
        </is>
      </c>
      <c r="B141" s="353" t="inlineStr">
        <is>
          <t>Ultra Maritime Solutions</t>
        </is>
      </c>
      <c r="C141" s="353" t="inlineStr">
        <is>
          <t>Announcement / pending status</t>
        </is>
      </c>
      <c r="D141" s="353" t="inlineStr">
        <is>
          <t>Lockheed Martin</t>
        </is>
      </c>
      <c r="E141" s="353" t="inlineStr">
        <is>
          <t>https://lockheedmartin.gcs-web.com/news-releases/news-release-details/lockheed-martin-acquire-ultra-maritime-solutions</t>
        </is>
      </c>
      <c r="F141" s="353" t="inlineStr">
        <is>
          <t>None used</t>
        </is>
      </c>
      <c r="G141" s="353" t="inlineStr">
        <is>
          <t>2026-08-02</t>
        </is>
      </c>
      <c r="H141" s="353" t="inlineStr">
        <is>
          <t>Qualifying A&amp;D control transaction, but not completed by 2026-08-02; move to the pending pipeline.</t>
        </is>
      </c>
    </row>
    <row r="142" ht="45" customHeight="1">
      <c r="A142" s="353" t="inlineStr">
        <is>
          <t>PEND-012</t>
        </is>
      </c>
      <c r="B142" s="353" t="inlineStr">
        <is>
          <t>FFG Flensburger Fahrzeugbau Gesellschaft mbH</t>
        </is>
      </c>
      <c r="C142" s="353" t="inlineStr">
        <is>
          <t>Announcement / pending status</t>
        </is>
      </c>
      <c r="D142" s="353" t="inlineStr">
        <is>
          <t>DEUTZ</t>
        </is>
      </c>
      <c r="E142" s="353" t="inlineStr">
        <is>
          <t>https://www.deutz.com/en/news/press-releases/news-detail/deutz-accelerates-transformation-with-billion-euro-transaction-in-the-defense-sector/</t>
        </is>
      </c>
      <c r="F142" s="353" t="inlineStr">
        <is>
          <t>None used</t>
        </is>
      </c>
      <c r="G142" s="353" t="inlineStr">
        <is>
          <t>2026-08-02</t>
        </is>
      </c>
      <c r="H142" s="353" t="inlineStr">
        <is>
          <t>Qualifying A&amp;D control transaction, but not completed by 2026-08-02; move to the pending pipeline.</t>
        </is>
      </c>
    </row>
    <row r="143" ht="45" customHeight="1">
      <c r="A143" s="353" t="inlineStr">
        <is>
          <t>PEND-013</t>
        </is>
      </c>
      <c r="B143" s="353" t="inlineStr">
        <is>
          <t>Gooch &amp; Housego plc (AIM: GHH)</t>
        </is>
      </c>
      <c r="C143" s="353" t="inlineStr">
        <is>
          <t>Announcement / pending status</t>
        </is>
      </c>
      <c r="D143" s="353" t="inlineStr">
        <is>
          <t>Regulatory issuer announcement via Investegate</t>
        </is>
      </c>
      <c r="E143" s="353" t="inlineStr">
        <is>
          <t>https://www.investegate.co.uk/announcement/rns/gooch-housego--ghh/recommended-cash-acquisition-of-gooch-housego/9671293</t>
        </is>
      </c>
      <c r="F143" s="353" t="inlineStr">
        <is>
          <t>https://gandh.com/dl/16fa804fc2ab82bcc358428a2a9e382ad9cbf493.pdf</t>
        </is>
      </c>
      <c r="G143" s="353" t="inlineStr">
        <is>
          <t>2026-08-02</t>
        </is>
      </c>
      <c r="H143" s="353" t="inlineStr">
        <is>
          <t>Retain only in the pending pipeline: the proposed 100% acquisition was announced but not completed by 2026-08-02; latest pre-offer reporting establishes A&amp;D as the largest current market.</t>
        </is>
      </c>
    </row>
    <row r="144" ht="45" customHeight="1">
      <c r="A144" s="353" t="inlineStr">
        <is>
          <t>PEND-014</t>
        </is>
      </c>
      <c r="B144" s="353" t="inlineStr">
        <is>
          <t>General Defence S.r.l.</t>
        </is>
      </c>
      <c r="C144" s="353" t="inlineStr">
        <is>
          <t>Announcement / pending status</t>
        </is>
      </c>
      <c r="D144" s="353" t="inlineStr">
        <is>
          <t>UMBRAGROUP</t>
        </is>
      </c>
      <c r="E144" s="353" t="inlineStr">
        <is>
          <t>https://mediahub.umbragroup.com/en/press-release/umbragroup-acquires-control-of-general-defence</t>
        </is>
      </c>
      <c r="F144" s="353" t="inlineStr">
        <is>
          <t>None used</t>
        </is>
      </c>
      <c r="G144" s="353" t="inlineStr">
        <is>
          <t>2026-08-02</t>
        </is>
      </c>
      <c r="H144" s="353" t="inlineStr">
        <is>
          <t>Qualifying A&amp;D control transaction, but not completed by 2026-08-02; move to the pending pipeline.</t>
        </is>
      </c>
    </row>
    <row r="145">
      <c r="A145" s="353" t="inlineStr">
        <is>
          <t>EUR-006</t>
        </is>
      </c>
      <c r="B145" s="353" t="inlineStr">
        <is>
          <t>Milrem Robotics</t>
        </is>
      </c>
      <c r="C145" s="353" t="inlineStr">
        <is>
          <t>Completion / IPO / scope</t>
        </is>
      </c>
      <c r="D145" s="353" t="inlineStr">
        <is>
          <t>Issuer or acquirer primary release</t>
        </is>
      </c>
      <c r="E145" s="353" t="inlineStr">
        <is>
          <t>https://edgegroup.ae/news/edge-acquires-majority-stake-milrem-robotics-europes-leading-developer-robotics-and-autonomous</t>
        </is>
      </c>
      <c r="F145" s="353" t="inlineStr">
        <is>
          <t>https://milremrobotics.com/edge-acquires-majority-stake-in-milrem-robotics-europes-leading-developer-of-robotics-and-autonomous-systems/</t>
        </is>
      </c>
      <c r="G145" s="353" t="inlineStr">
        <is>
          <t>2026-08-02</t>
        </is>
      </c>
      <c r="H145" s="353" t="inlineStr">
        <is>
          <t>Added in the 2026-08-02 review; absent from the original workbook and audit log.</t>
        </is>
      </c>
    </row>
    <row r="146">
      <c r="A146" s="353" t="inlineStr">
        <is>
          <t>EUR-007</t>
        </is>
      </c>
      <c r="B146" s="353" t="inlineStr">
        <is>
          <t>CS Group</t>
        </is>
      </c>
      <c r="C146" s="353" t="inlineStr">
        <is>
          <t>Completion / IPO / scope</t>
        </is>
      </c>
      <c r="D146" s="353" t="inlineStr">
        <is>
          <t>Issuer or acquirer primary release</t>
        </is>
      </c>
      <c r="E146" s="353" t="inlineStr">
        <is>
          <t>https://www.soprasteria.com/newsroom/press-releases/details/sopra-steria-finalises-its-acquisition-of-a-majority-stake-in-the-share-capital-of-cs-group</t>
        </is>
      </c>
      <c r="F146" s="353" t="inlineStr">
        <is>
          <t>https://www.cs-soprasteria.com/en/news/sopra-steria-finalises-its-acquisition-of-a-majority-stake-in-the-share-capital-of-cs-group/</t>
        </is>
      </c>
      <c r="G146" s="353" t="inlineStr">
        <is>
          <t>2026-08-02</t>
        </is>
      </c>
      <c r="H146" s="353" t="inlineStr">
        <is>
          <t>Added in the 2026-08-02 review; absent from the original workbook and audit log.</t>
        </is>
      </c>
    </row>
    <row r="147">
      <c r="A147" s="353" t="inlineStr">
        <is>
          <t>EUR-070</t>
        </is>
      </c>
      <c r="B147" s="353" t="inlineStr">
        <is>
          <t>TKMS AG &amp; Co. KGaA</t>
        </is>
      </c>
      <c r="C147" s="353" t="inlineStr">
        <is>
          <t>Completion / IPO / scope</t>
        </is>
      </c>
      <c r="D147" s="353" t="inlineStr">
        <is>
          <t>Issuer or acquirer primary release</t>
        </is>
      </c>
      <c r="E147" s="353" t="inlineStr">
        <is>
          <t>https://www.tkmsgroup.com/news/article/tkms-lists-on-the-frankfurt-stock-exchange-successful-market-debut-for-maritime-defense-provider</t>
        </is>
      </c>
      <c r="F147" s="353" t="inlineStr">
        <is>
          <t>https://www.thyssenkrupp.com/en/newsroom/press-releases/pressdetailpage/thyssenkrupp-ag-announces-planned-date-for-stock-market-listing-of-tkms-308582</t>
        </is>
      </c>
      <c r="G147" s="353" t="inlineStr">
        <is>
          <t>2026-08-02</t>
        </is>
      </c>
      <c r="H147" s="353" t="inlineStr">
        <is>
          <t>Added in the 2026-08-02 review; absent from the original workbook and audit log.</t>
        </is>
      </c>
    </row>
    <row r="148">
      <c r="A148" s="353" t="inlineStr">
        <is>
          <t>EUR-077</t>
        </is>
      </c>
      <c r="B148" s="353" t="inlineStr">
        <is>
          <t>Spirit AeroSystems Belfast and Prestwick operations</t>
        </is>
      </c>
      <c r="C148" s="353" t="inlineStr">
        <is>
          <t>Completion / IPO / scope</t>
        </is>
      </c>
      <c r="D148" s="353" t="inlineStr">
        <is>
          <t>Issuer or acquirer primary release</t>
        </is>
      </c>
      <c r="E148" s="353" t="inlineStr">
        <is>
          <t>https://www.airbus.com/en/newsroom/press-releases/2025-12-airbus-completes-acquisition-of-spirit-aerosystems-sites</t>
        </is>
      </c>
      <c r="F148" s="353" t="inlineStr">
        <is>
          <t>https://www.airbus.com/en/newsroom/press-releases/2025-04-airbus-signs-definitive-agreement-with-spirit-aerosystems</t>
        </is>
      </c>
      <c r="G148" s="353" t="inlineStr">
        <is>
          <t>2026-08-02</t>
        </is>
      </c>
      <c r="H148" s="353" t="inlineStr">
        <is>
          <t>Added in the 2026-08-02 review; absent from the original workbook and audit log.</t>
        </is>
      </c>
    </row>
    <row r="149">
      <c r="A149" s="353" t="inlineStr">
        <is>
          <t>EUR-068</t>
        </is>
      </c>
      <c r="B149" s="353" t="inlineStr">
        <is>
          <t>Milectria Group</t>
        </is>
      </c>
      <c r="C149" s="353" t="inlineStr">
        <is>
          <t>Corrected value or date</t>
        </is>
      </c>
      <c r="D149" s="353" t="inlineStr">
        <is>
          <t>Issuer or acquirer primary release</t>
        </is>
      </c>
      <c r="E149" s="353" t="inlineStr">
        <is>
          <t>https://hanza.com/investor/pressreleases/hanza-completes-acquisition-and-expands-capacity-for-the-defense-industry/</t>
        </is>
      </c>
      <c r="F149" s="353" t="inlineStr">
        <is>
          <t>See Europe sheet Secondary Source URL</t>
        </is>
      </c>
      <c r="G149" s="353" t="inlineStr">
        <is>
          <t>2026-08-02</t>
        </is>
      </c>
      <c r="H149" s="353" t="inlineStr">
        <is>
          <t>Native deal value SEK 266m -&gt; SEK 190m (EUR 17.1m); earn-out restated to EUR 18m — HANZA completion release: 'HANZA completes acquisition of Milectria for EUR 17.1 million, equivalent to approximately SEK 190 million'; additional consideration up to EUR 18m.</t>
        </is>
      </c>
    </row>
    <row r="150">
      <c r="A150" s="353" t="inlineStr">
        <is>
          <t>EUR-129</t>
        </is>
      </c>
      <c r="B150" s="353" t="inlineStr">
        <is>
          <t>ALL.SPACE</t>
        </is>
      </c>
      <c r="C150" s="353" t="inlineStr">
        <is>
          <t>Corrected value or date</t>
        </is>
      </c>
      <c r="D150" s="353" t="inlineStr">
        <is>
          <t>Issuer or acquirer primary release</t>
        </is>
      </c>
      <c r="E150" s="353" t="inlineStr">
        <is>
          <t>https://www.businesswire.com/news/home/20260707941488/en/York-Space-Systems-Completes-Acquisition-of-ALL.SPACE-Delivering-Assured-Communications-and-Positioning-in-Contested-Environments</t>
        </is>
      </c>
      <c r="F150" s="353" t="inlineStr">
        <is>
          <t>See Europe sheet Secondary Source URL</t>
        </is>
      </c>
      <c r="G150" s="353" t="inlineStr">
        <is>
          <t>2026-08-02</t>
        </is>
      </c>
      <c r="H150" s="353" t="inlineStr">
        <is>
          <t>Deal value USD 355m -&gt; USD 46.3m initial consideration at completion (USD 355m retained as the announced headline) — York Space Systems completion release: initial cash ~USD 17.9m plus 1,240,148 York shares, ~USD 46.3m total, up to ~USD 54.4m with escrow release.</t>
        </is>
      </c>
    </row>
    <row r="151">
      <c r="A151" s="353" t="inlineStr">
        <is>
          <t>EUR-012</t>
        </is>
      </c>
      <c r="B151" s="353" t="inlineStr">
        <is>
          <t>Sky-Hero</t>
        </is>
      </c>
      <c r="C151" s="353" t="inlineStr">
        <is>
          <t>Corrected value or date</t>
        </is>
      </c>
      <c r="D151" s="353" t="inlineStr">
        <is>
          <t>Issuer or acquirer primary release</t>
        </is>
      </c>
      <c r="E151" s="353" t="inlineStr">
        <is>
          <t>https://www.axon.com/blog/our-next-step-in-robotics-sky-hero-joins-forces-with-axon</t>
        </is>
      </c>
      <c r="F151" s="353" t="inlineStr">
        <is>
          <t>See Europe sheet Secondary Source URL</t>
        </is>
      </c>
      <c r="G151" s="353" t="inlineStr">
        <is>
          <t>2026-08-02</t>
        </is>
      </c>
      <c r="H151" s="353" t="inlineStr">
        <is>
          <t>Completion date text "2023-06 (estimated)" -&gt; 2023-07-14 (real date value) — Axon announcement and transaction record date the Sky-Hero acquisition 14 July 2023.</t>
        </is>
      </c>
    </row>
    <row r="152">
      <c r="A152" s="353" t="inlineStr">
        <is>
          <t>EUR-113</t>
        </is>
      </c>
      <c r="B152" s="353" t="inlineStr">
        <is>
          <t>Tethys</t>
        </is>
      </c>
      <c r="C152" s="353" t="inlineStr">
        <is>
          <t>Corrected value or date</t>
        </is>
      </c>
      <c r="D152" s="353" t="inlineStr">
        <is>
          <t>Issuer or acquirer primary release</t>
        </is>
      </c>
      <c r="E152" s="353" t="inlineStr">
        <is>
          <t>https://www.abenex.com/en/publications/abenex-acquires-tethys</t>
        </is>
      </c>
      <c r="F152" s="353" t="inlineStr">
        <is>
          <t>See Europe sheet Secondary Source URL</t>
        </is>
      </c>
      <c r="G152" s="353" t="inlineStr">
        <is>
          <t>2026-08-02</t>
        </is>
      </c>
      <c r="H152" s="353" t="inlineStr">
        <is>
          <t>Completion date text "2026-05 (estimated)" -&gt; 2026-05-04 (real date value); ownership restated as majority stake — Abenex publication dated 4 May 2026: Abenex becomes majority shareholder alongside management and Bpifrance.</t>
        </is>
      </c>
    </row>
    <row r="153">
      <c r="A153" s="353" t="inlineStr">
        <is>
          <t>EUR-056</t>
        </is>
      </c>
      <c r="B153" s="353" t="inlineStr">
        <is>
          <t>Ultra Maritime Signature Management &amp; Power business</t>
        </is>
      </c>
      <c r="C153" s="353" t="inlineStr">
        <is>
          <t>Corrected value or date</t>
        </is>
      </c>
      <c r="D153" s="353" t="inlineStr">
        <is>
          <t>Issuer or acquirer primary release</t>
        </is>
      </c>
      <c r="E153" s="353" t="inlineStr">
        <is>
          <t>https://investor.escotechnologies.com/news-releases/news-release-details/esco-completes-acquisition-smp</t>
        </is>
      </c>
      <c r="F153" s="353" t="inlineStr">
        <is>
          <t>See Europe sheet Secondary Source URL</t>
        </is>
      </c>
      <c r="G153" s="353" t="inlineStr">
        <is>
          <t>2026-08-02</t>
        </is>
      </c>
      <c r="H153" s="353" t="inlineStr">
        <is>
          <t>Completion date 2025-04-25 -&gt; 2025-04-28 — ESCO Technologies release 'ESCO Completes Acquisition of SM&amp;P' is dated 28 April 2025.</t>
        </is>
      </c>
    </row>
    <row r="154">
      <c r="A154" s="353" t="inlineStr">
        <is>
          <t>EUR-126</t>
        </is>
      </c>
      <c r="B154" s="353" t="inlineStr">
        <is>
          <t>VoltAero assets and operations</t>
        </is>
      </c>
      <c r="C154" s="353" t="inlineStr">
        <is>
          <t>Corrected value or date</t>
        </is>
      </c>
      <c r="D154" s="353" t="inlineStr">
        <is>
          <t>Issuer or acquirer primary release</t>
        </is>
      </c>
      <c r="E154" s="353" t="inlineStr">
        <is>
          <t>https://www.aerotime.aero/articles/french-electric-aviation-set-to-consolidate-after-aura-aero-acquires-voltaero</t>
        </is>
      </c>
      <c r="F154" s="353" t="inlineStr">
        <is>
          <t>See Europe sheet Secondary Source URL</t>
        </is>
      </c>
      <c r="G154" s="353" t="inlineStr">
        <is>
          <t>2026-08-02</t>
        </is>
      </c>
      <c r="H154" s="353" t="inlineStr">
        <is>
          <t>Completion date 2026-06-23 -&gt; 2026-06-29 — AURA AERO acquired the Cassio demonstrator and other VoltAero assets on 29 June 2026.</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cols>
    <col width="38" customWidth="1" min="1" max="1"/>
    <col width="14" customWidth="1" min="2" max="2"/>
    <col width="14" customWidth="1" min="3" max="3"/>
    <col width="14" customWidth="1" min="4" max="4"/>
    <col width="14" customWidth="1" min="5" max="5"/>
    <col width="60" customWidth="1" min="6" max="6"/>
  </cols>
  <sheetData>
    <row r="1">
      <c r="A1" s="362" t="inlineStr">
        <is>
          <t>Check</t>
        </is>
      </c>
      <c r="B1" s="362" t="inlineStr">
        <is>
          <t>Actual</t>
        </is>
      </c>
      <c r="C1" s="362" t="inlineStr">
        <is>
          <t>Expected</t>
        </is>
      </c>
      <c r="D1" s="362" t="inlineStr">
        <is>
          <t>Difference</t>
        </is>
      </c>
      <c r="E1" s="362" t="inlineStr">
        <is>
          <t>Status</t>
        </is>
      </c>
      <c r="F1" s="362" t="inlineStr">
        <is>
          <t>Notes</t>
        </is>
      </c>
    </row>
    <row r="2">
      <c r="A2" s="364" t="inlineStr">
        <is>
          <t>Unique completed Europe Deal IDs</t>
        </is>
      </c>
      <c r="B2" s="364" t="n">
        <v>0</v>
      </c>
      <c r="C2" s="364" t="n">
        <v>0</v>
      </c>
      <c r="D2" s="364">
        <f>B2-C2</f>
        <v/>
      </c>
      <c r="E2" s="364">
        <f>IF(D2=0,"OK","FAIL")</f>
        <v/>
      </c>
      <c r="F2" s="364" t="inlineStr">
        <is>
          <t>No duplicate IDs allowed.</t>
        </is>
      </c>
    </row>
    <row r="3">
      <c r="A3" s="364" t="inlineStr">
        <is>
          <t>Completed Europe rows missing primary source</t>
        </is>
      </c>
      <c r="B3" s="364" t="n">
        <v>0</v>
      </c>
      <c r="C3" s="364" t="n">
        <v>0</v>
      </c>
      <c r="D3" s="364">
        <f>B3-C3</f>
        <v/>
      </c>
      <c r="E3" s="364">
        <f>IF(D3=0,"OK","FAIL")</f>
        <v/>
      </c>
      <c r="F3" s="364" t="inlineStr">
        <is>
          <t>Every retained row requires a primary source URL.</t>
        </is>
      </c>
    </row>
    <row r="4">
      <c r="A4" s="364" t="inlineStr">
        <is>
          <t>Pending rows inside completed Europe</t>
        </is>
      </c>
      <c r="B4" s="364" t="n">
        <v>0</v>
      </c>
      <c r="C4" s="364" t="n">
        <v>0</v>
      </c>
      <c r="D4" s="364">
        <f>B4-C4</f>
        <v/>
      </c>
      <c r="E4" s="364">
        <f>IF(D4=0,"OK","FAIL")</f>
        <v/>
      </c>
      <c r="F4" s="364" t="inlineStr">
        <is>
          <t>Pending transactions belong only in Europe_Pending.</t>
        </is>
      </c>
    </row>
    <row r="5">
      <c r="A5" s="364" t="inlineStr">
        <is>
          <t>Chronological order errors</t>
        </is>
      </c>
      <c r="B5" s="364" t="n">
        <v>0</v>
      </c>
      <c r="C5" s="364" t="n">
        <v>0</v>
      </c>
      <c r="D5" s="364">
        <f>B5-C5</f>
        <v/>
      </c>
      <c r="E5" s="364">
        <f>IF(D5=0,"OK","FAIL")</f>
        <v/>
      </c>
      <c r="F5" s="364" t="inlineStr">
        <is>
          <t>Europe must run oldest to newest at the finest completion/IPO-date granularity publicly disclosed.</t>
        </is>
      </c>
    </row>
    <row r="6">
      <c r="A6" s="364" t="inlineStr">
        <is>
          <t>Completed dates outside approved cutoff</t>
        </is>
      </c>
      <c r="B6" s="364" t="n">
        <v>0</v>
      </c>
      <c r="C6" s="364" t="n">
        <v>0</v>
      </c>
      <c r="D6" s="364">
        <f>B6-C6</f>
        <v/>
      </c>
      <c r="E6" s="364">
        <f>IF(D6=0,"OK","FAIL")</f>
        <v/>
      </c>
      <c r="F6" s="364" t="inlineStr">
        <is>
          <t>Cutoff is 2023-01-01 through 2026-08-02.</t>
        </is>
      </c>
    </row>
    <row r="7">
      <c r="A7" s="364" t="inlineStr">
        <is>
          <t>Master_Deals Europe count</t>
        </is>
      </c>
      <c r="B7" s="364" t="n">
        <v>133</v>
      </c>
      <c r="C7" s="364" t="n">
        <v>133</v>
      </c>
      <c r="D7" s="364">
        <f>B7-C7</f>
        <v/>
      </c>
      <c r="E7" s="364">
        <f>IF(D7=0,"OK","FAIL")</f>
        <v/>
      </c>
      <c r="F7" s="364" t="inlineStr">
        <is>
          <t>Master_Deals must reconcile to Europe.</t>
        </is>
      </c>
    </row>
    <row r="8">
      <c r="A8" s="364" t="inlineStr">
        <is>
          <t>Original rows with no audit decision</t>
        </is>
      </c>
      <c r="B8" s="364" t="n">
        <v>0</v>
      </c>
      <c r="C8" s="364" t="n">
        <v>0</v>
      </c>
      <c r="D8" s="364">
        <f>B8-C8</f>
        <v/>
      </c>
      <c r="E8" s="364">
        <f>IF(D8=0,"OK","FAIL")</f>
        <v/>
      </c>
      <c r="F8" s="364" t="inlineStr">
        <is>
          <t>Every original Europe row is represented in Europe_Audit_Log.</t>
        </is>
      </c>
    </row>
    <row r="9">
      <c r="A9" s="364" t="inlineStr">
        <is>
          <t>Rows added in the 2026-08-02 second review</t>
        </is>
      </c>
      <c r="B9" s="364" t="n">
        <v>4</v>
      </c>
      <c r="C9" s="364" t="n">
        <v>4</v>
      </c>
      <c r="D9" s="364">
        <f>B9-C9</f>
        <v/>
      </c>
      <c r="E9" s="364">
        <f>IF(D9=0,"OK","FAIL")</f>
        <v/>
      </c>
      <c r="F9" s="364" t="inlineStr">
        <is>
          <t>Milrem Robotics, CS Group, TKMS listing and Spirit AeroSystems Belfast/Prestwick were absent from the original workbook and from Europe_Audit_Log.</t>
        </is>
      </c>
    </row>
    <row r="10">
      <c r="A10" s="364" t="inlineStr">
        <is>
          <t>Rows corrected in the 2026-08-02 second review</t>
        </is>
      </c>
      <c r="B10" s="364" t="n">
        <v>6</v>
      </c>
      <c r="C10" s="364" t="n">
        <v>6</v>
      </c>
      <c r="D10" s="364">
        <f>B10-C10</f>
        <v/>
      </c>
      <c r="E10" s="364">
        <f>IF(D10=0,"OK","FAIL")</f>
        <v/>
      </c>
      <c r="F10" s="364" t="inlineStr">
        <is>
          <t>Milectria value; ALL.SPACE value basis; Sky-Hero, Tethys, Ultra Maritime SM&amp;P and VoltAero dates. All logged in Europe_Audit_Log and Sources_Audit.</t>
        </is>
      </c>
    </row>
  </sheetData>
  <conditionalFormatting sqref="E2:E8">
    <cfRule type="containsText" priority="1" operator="containsText" dxfId="0" text="OK"/>
    <cfRule type="containsText" priority="2" operator="containsText" dxfId="1" text="FAIL"/>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2026-08-03T08:37:15Z</dcterms:created>
  <dcterms:modified xsi:type="dcterms:W3CDTF">2026-08-03T08:39:00Z</dcterms:modified>
</cp:coreProperties>
</file>